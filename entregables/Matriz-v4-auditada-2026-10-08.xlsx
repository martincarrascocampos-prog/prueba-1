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triz resumen" sheetId="1" state="visible" r:id="rId1"/>
    <sheet xmlns:r="http://schemas.openxmlformats.org/officeDocument/2006/relationships" name="Detalle y fuentes" sheetId="2" state="visible" r:id="rId2"/>
    <sheet xmlns:r="http://schemas.openxmlformats.org/officeDocument/2006/relationships" name="Chile - Instituciones" sheetId="3" state="visible" r:id="rId3"/>
    <sheet xmlns:r="http://schemas.openxmlformats.org/officeDocument/2006/relationships" name=" Bolivia - Instituciones" sheetId="4" state="visible" r:id="rId4"/>
    <sheet xmlns:r="http://schemas.openxmlformats.org/officeDocument/2006/relationships" name="Honduras - Instituciones" sheetId="5" state="visible" r:id="rId5"/>
    <sheet xmlns:r="http://schemas.openxmlformats.org/officeDocument/2006/relationships" name=" Panamá - Instituciones" sheetId="6" state="visible" r:id="rId6"/>
    <sheet xmlns:r="http://schemas.openxmlformats.org/officeDocument/2006/relationships" name="México - Instituciones" sheetId="7" state="visible" r:id="rId7"/>
    <sheet xmlns:r="http://schemas.openxmlformats.org/officeDocument/2006/relationships" name="Brasil - Instituciones" sheetId="8" state="visible" r:id="rId8"/>
    <sheet xmlns:r="http://schemas.openxmlformats.org/officeDocument/2006/relationships" name="Perú - Instituciones" sheetId="9" state="visible" r:id="rId9"/>
    <sheet xmlns:r="http://schemas.openxmlformats.org/officeDocument/2006/relationships" name="Costa Rica - Instituciones" sheetId="10" state="visible" r:id="rId10"/>
    <sheet xmlns:r="http://schemas.openxmlformats.org/officeDocument/2006/relationships" name="Argentina - Instituciones" sheetId="11" state="visible" r:id="rId11"/>
    <sheet xmlns:r="http://schemas.openxmlformats.org/officeDocument/2006/relationships" name="Colombia - Instituciones" sheetId="12" state="visible" r:id="rId12"/>
    <sheet xmlns:r="http://schemas.openxmlformats.org/officeDocument/2006/relationships" name=" Ecuador- Instituciones" sheetId="13" state="visible" r:id="rId13"/>
    <sheet xmlns:r="http://schemas.openxmlformats.org/officeDocument/2006/relationships" name="Guatemala - Instituciones" sheetId="14" state="visible" r:id="rId14"/>
    <sheet xmlns:r="http://schemas.openxmlformats.org/officeDocument/2006/relationships" name="Uruguay - Instituciones" sheetId="15" state="visible" r:id="rId15"/>
    <sheet xmlns:r="http://schemas.openxmlformats.org/officeDocument/2006/relationships" name="Pendientes - fuente no oficial" sheetId="16" state="visible" r:id="rId16"/>
    <sheet xmlns:r="http://schemas.openxmlformats.org/officeDocument/2006/relationships" name="Antigua y Barbuda - Instituciones" sheetId="17" state="visible" r:id="rId17"/>
    <sheet xmlns:r="http://schemas.openxmlformats.org/officeDocument/2006/relationships" name="Bahamas - Instituciones" sheetId="18" state="visible" r:id="rId18"/>
    <sheet xmlns:r="http://schemas.openxmlformats.org/officeDocument/2006/relationships" name="Barbados - Instituciones" sheetId="19" state="visible" r:id="rId19"/>
    <sheet xmlns:r="http://schemas.openxmlformats.org/officeDocument/2006/relationships" name="Belice - Instituciones" sheetId="20" state="visible" r:id="rId20"/>
    <sheet xmlns:r="http://schemas.openxmlformats.org/officeDocument/2006/relationships" name="Cuba - Instituciones" sheetId="21" state="visible" r:id="rId21"/>
    <sheet xmlns:r="http://schemas.openxmlformats.org/officeDocument/2006/relationships" name="Dominica - Instituciones" sheetId="22" state="visible" r:id="rId22"/>
    <sheet xmlns:r="http://schemas.openxmlformats.org/officeDocument/2006/relationships" name="El Salvador - Instituciones" sheetId="23" state="visible" r:id="rId23"/>
    <sheet xmlns:r="http://schemas.openxmlformats.org/officeDocument/2006/relationships" name="Granada - Instituciones" sheetId="24" state="visible" r:id="rId24"/>
    <sheet xmlns:r="http://schemas.openxmlformats.org/officeDocument/2006/relationships" name="Guyana - Instituciones" sheetId="25" state="visible" r:id="rId25"/>
    <sheet xmlns:r="http://schemas.openxmlformats.org/officeDocument/2006/relationships" name="Haití - Instituciones" sheetId="26" state="visible" r:id="rId26"/>
    <sheet xmlns:r="http://schemas.openxmlformats.org/officeDocument/2006/relationships" name="Jamaica - Instituciones" sheetId="27" state="visible" r:id="rId27"/>
    <sheet xmlns:r="http://schemas.openxmlformats.org/officeDocument/2006/relationships" name="Nicaragua - Instituciones" sheetId="28" state="visible" r:id="rId28"/>
    <sheet xmlns:r="http://schemas.openxmlformats.org/officeDocument/2006/relationships" name="Paraguay - Instituciones" sheetId="29" state="visible" r:id="rId29"/>
    <sheet xmlns:r="http://schemas.openxmlformats.org/officeDocument/2006/relationships" name="República Dominicana - Instituciones" sheetId="30" state="visible" r:id="rId30"/>
    <sheet xmlns:r="http://schemas.openxmlformats.org/officeDocument/2006/relationships" name="San Cristóbal y Nieves - Instituciones" sheetId="31" state="visible" r:id="rId31"/>
    <sheet xmlns:r="http://schemas.openxmlformats.org/officeDocument/2006/relationships" name="San Vicente y las Granadinas - Instituciones" sheetId="32" state="visible" r:id="rId32"/>
    <sheet xmlns:r="http://schemas.openxmlformats.org/officeDocument/2006/relationships" name="Santa Lucía - Instituciones" sheetId="33" state="visible" r:id="rId33"/>
    <sheet xmlns:r="http://schemas.openxmlformats.org/officeDocument/2006/relationships" name="Surinam - Instituciones" sheetId="34" state="visible" r:id="rId34"/>
    <sheet xmlns:r="http://schemas.openxmlformats.org/officeDocument/2006/relationships" name="Trinidad y Tobago - Instituciones" sheetId="35" state="visible" r:id="rId35"/>
    <sheet xmlns:r="http://schemas.openxmlformats.org/officeDocument/2006/relationships" name="Venezuela - Instituciones" sheetId="36" state="visible" r:id="rId36"/>
  </sheets>
  <definedNames>
    <definedName name="Z_09BFC25B_F15E_410D_96BF_57D018595B24_.wvu.FilterData" localSheetId="1" hidden="1">'Detalle y fuentes'!$A$1:$G$232</definedName>
    <definedName name="_xlnm._FilterDatabase" localSheetId="1" hidden="1">'Detalle y fuentes'!$A$1:$G$232</definedName>
    <definedName name="Z_EACBF09B_2AEF_44DE_A4A5_9E9BF7A2D41B_.wvu.FilterData" localSheetId="2" hidden="1">'Chile - Instituciones'!$A$1:$N$87</definedName>
    <definedName name="_xlnm._FilterDatabase" localSheetId="2" hidden="1">'Chile - Instituciones'!$A$1:$N$87</definedName>
    <definedName name="Z_EACBF09B_2AEF_44DE_A4A5_9E9BF7A2D41B_.wvu.FilterData" localSheetId="3" hidden="1">' Bolivia - Instituciones'!$A$1:$M$38</definedName>
    <definedName name="_xlnm._FilterDatabase" localSheetId="3" hidden="1">' Bolivia - Instituciones'!$A$1:$M$38</definedName>
    <definedName name="Z_EACBF09B_2AEF_44DE_A4A5_9E9BF7A2D41B_.wvu.FilterData" localSheetId="4" hidden="1">'Honduras - Instituciones'!$A$1:$M$10</definedName>
    <definedName name="_xlnm._FilterDatabase" localSheetId="4" hidden="1">'Honduras - Instituciones'!$A$1:$M$10</definedName>
    <definedName name="Z_EACBF09B_2AEF_44DE_A4A5_9E9BF7A2D41B_.wvu.FilterData" localSheetId="5" hidden="1">' Panamá - Instituciones'!$A$1:$M$31</definedName>
    <definedName name="_xlnm._FilterDatabase" localSheetId="5" hidden="1">' Panamá - Instituciones'!$A$1:$M$31</definedName>
    <definedName name="Z_EACBF09B_2AEF_44DE_A4A5_9E9BF7A2D41B_.wvu.FilterData" localSheetId="6" hidden="1">'México - Instituciones'!$A$1:$M$141</definedName>
    <definedName name="_xlnm._FilterDatabase" localSheetId="6" hidden="1">'México - Instituciones'!$A$1:$M$141</definedName>
    <definedName name="Z_EACBF09B_2AEF_44DE_A4A5_9E9BF7A2D41B_.wvu.FilterData" localSheetId="7" hidden="1">'Brasil - Instituciones'!$A$1:$M$125</definedName>
    <definedName name="_xlnm._FilterDatabase" localSheetId="7" hidden="1">'Brasil - Instituciones'!$A$1:$M$125</definedName>
    <definedName name="Z_EACBF09B_2AEF_44DE_A4A5_9E9BF7A2D41B_.wvu.FilterData" localSheetId="8" hidden="1">'Perú - Instituciones'!$A$1:$M$298</definedName>
    <definedName name="_xlnm._FilterDatabase" localSheetId="8" hidden="1">'Perú - Instituciones'!$A$1:$M$298</definedName>
    <definedName name="Z_EACBF09B_2AEF_44DE_A4A5_9E9BF7A2D41B_.wvu.FilterData" localSheetId="9" hidden="1">'Costa Rica - Instituciones'!$A$1:$M$92</definedName>
    <definedName name="_xlnm._FilterDatabase" localSheetId="9" hidden="1">'Costa Rica - Instituciones'!$A$1:$M$92</definedName>
    <definedName name="Z_EACBF09B_2AEF_44DE_A4A5_9E9BF7A2D41B_.wvu.FilterData" localSheetId="10" hidden="1">'Argentina - Instituciones'!$A$1:$M$79</definedName>
    <definedName name="_xlnm._FilterDatabase" localSheetId="10" hidden="1">'Argentina - Instituciones'!$A$1:$M$79</definedName>
    <definedName name="Z_EACBF09B_2AEF_44DE_A4A5_9E9BF7A2D41B_.wvu.FilterData" localSheetId="11" hidden="1">'Colombia - Instituciones'!$A$1:$M$153</definedName>
    <definedName name="_xlnm._FilterDatabase" localSheetId="11" hidden="1">'Colombia - Instituciones'!$A$1:$M$153</definedName>
    <definedName name="Z_EACBF09B_2AEF_44DE_A4A5_9E9BF7A2D41B_.wvu.FilterData" localSheetId="12" hidden="1">' Ecuador- Instituciones'!$A$1:$M$53</definedName>
    <definedName name="_xlnm._FilterDatabase" localSheetId="12" hidden="1">' Ecuador- Instituciones'!$A$1:$M$53</definedName>
    <definedName name="Z_EACBF09B_2AEF_44DE_A4A5_9E9BF7A2D41B_.wvu.FilterData" localSheetId="13" hidden="1">'Guatemala - Instituciones'!$A$1:$M$65</definedName>
    <definedName name="_xlnm._FilterDatabase" localSheetId="13" hidden="1">'Guatemala - Instituciones'!$A$1:$M$65</definedName>
    <definedName name="Z_EACBF09B_2AEF_44DE_A4A5_9E9BF7A2D41B_.wvu.FilterData" localSheetId="14" hidden="1">'Uruguay - Instituciones'!$A$1:$M$79</definedName>
    <definedName name="_xlnm._FilterDatabase" localSheetId="14" hidden="1">'Uruguay - Instituciones'!$A$1:$M$79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6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theme="1"/>
      <sz val="10"/>
    </font>
    <font>
      <name val="Arial"/>
      <color theme="1"/>
      <sz val="9"/>
    </font>
    <font>
      <name val="Arial"/>
      <i val="1"/>
      <color rgb="FFA6A6A6"/>
      <sz val="9"/>
    </font>
    <font>
      <name val="Arial"/>
      <b val="1"/>
      <color theme="1"/>
      <sz val="9"/>
    </font>
    <font>
      <name val="Arial"/>
      <color rgb="FF0000FF"/>
      <sz val="9"/>
      <u val="single"/>
    </font>
    <font>
      <name val="Arial"/>
      <b val="1"/>
      <color rgb="FF375623"/>
      <sz val="9"/>
    </font>
    <font>
      <name val="Arial"/>
      <color rgb="FF595959"/>
      <sz val="8"/>
    </font>
    <font>
      <name val="Arial"/>
      <b val="1"/>
      <color rgb="FF9C4E20"/>
      <sz val="9"/>
    </font>
    <font>
      <name val="Arial"/>
      <i val="1"/>
      <color rgb="FF7F7F7F"/>
      <sz val="9"/>
    </font>
    <font>
      <name val="Arial"/>
      <color rgb="FF000000"/>
      <sz val="9"/>
    </font>
    <font>
      <name val="Arial"/>
      <b val="1"/>
      <color rgb="FF7F6000"/>
      <sz val="9"/>
    </font>
    <font>
      <name val="Arial"/>
      <color rgb="FF0000FF"/>
      <sz val="9"/>
      <u val="single"/>
    </font>
    <font>
      <name val="Arial"/>
      <color rgb="FF434343"/>
      <sz val="9"/>
      <u val="single"/>
    </font>
    <font>
      <name val="Calibri"/>
      <color theme="10"/>
      <sz val="11"/>
      <u val="single"/>
    </font>
    <font>
      <name val="Arial"/>
      <color rgb="FFA6A6A6"/>
      <sz val="9"/>
    </font>
    <font>
      <name val="Arial"/>
      <color rgb="FF1155CC"/>
      <sz val="9"/>
      <u val="single"/>
    </font>
    <font>
      <name val="Arial"/>
      <color rgb="FF0000FF"/>
      <sz val="9"/>
      <u val="single"/>
    </font>
    <font>
      <name val="Arial"/>
      <color rgb="FF434343"/>
      <sz val="9"/>
      <u val="single"/>
    </font>
    <font>
      <name val="Arial"/>
      <color rgb="FF333333"/>
      <sz val="9"/>
    </font>
    <font>
      <name val="Arial"/>
      <color rgb="FF1F1F1F"/>
      <sz val="9"/>
    </font>
    <font>
      <name val="&quot;Open Sans&quot;"/>
      <color rgb="FF000000"/>
      <sz val="9"/>
    </font>
    <font>
      <name val="Arial"/>
      <color rgb="FF434343"/>
      <sz val="9"/>
      <u val="single"/>
    </font>
    <font>
      <name val="Arial"/>
      <color rgb="FF434343"/>
      <sz val="9"/>
      <u val="single"/>
    </font>
    <font>
      <name val="Arial"/>
      <color rgb="FF434343"/>
      <sz val="9"/>
      <u val="single"/>
    </font>
    <font>
      <name val="Arial"/>
      <color rgb="FF434343"/>
      <sz val="9"/>
      <u val="single"/>
    </font>
    <font>
      <name val="Arial"/>
      <color rgb="FF434343"/>
      <sz val="9"/>
      <u val="single"/>
    </font>
    <font>
      <name val="Arial"/>
      <color rgb="FF434343"/>
      <sz val="9"/>
      <u val="single"/>
    </font>
    <font>
      <name val="Arial"/>
      <color rgb="FF1155CC"/>
      <sz val="9"/>
      <u val="single"/>
    </font>
    <font>
      <name val="Arial"/>
      <color rgb="FF212121"/>
      <sz val="9"/>
    </font>
    <font>
      <name val="Arial"/>
      <color rgb="FF0000FF"/>
      <sz val="9"/>
      <u val="single"/>
    </font>
    <font>
      <name val="Arial"/>
      <color rgb="FF0000FF"/>
      <sz val="9"/>
      <u val="single"/>
    </font>
    <font>
      <name val="Arial"/>
      <i val="1"/>
      <color rgb="FF000000"/>
      <sz val="9"/>
    </font>
    <font>
      <name val="Arial"/>
      <b val="1"/>
      <color theme="6"/>
      <sz val="9"/>
    </font>
    <font>
      <name val="Arial"/>
      <color rgb="FF434343"/>
      <sz val="9"/>
      <u val="single"/>
    </font>
    <font>
      <name val="Arial"/>
      <color rgb="FF434343"/>
      <sz val="9"/>
      <u val="single"/>
    </font>
    <font>
      <name val="Arial"/>
      <color rgb="FF0000FF"/>
      <sz val="9"/>
      <u val="single"/>
    </font>
    <font>
      <name val="Arial"/>
      <color rgb="FF434343"/>
      <sz val="9"/>
      <u val="single"/>
    </font>
    <font>
      <name val="Arial"/>
      <color theme="1"/>
      <sz val="9"/>
      <u val="single"/>
    </font>
    <font>
      <name val="Arial"/>
      <color rgb="FF231F20"/>
      <sz val="9"/>
    </font>
    <font>
      <name val="Arial"/>
      <color rgb="FF0000FF"/>
      <sz val="9"/>
      <u val="single"/>
    </font>
    <font>
      <name val="Arial"/>
      <color rgb="FF434343"/>
      <sz val="9"/>
      <u val="single"/>
    </font>
    <font>
      <name val="Arial"/>
      <strike val="1"/>
      <color theme="1"/>
      <sz val="9"/>
      <u val="single"/>
    </font>
    <font>
      <name val="Arial"/>
      <strike val="1"/>
      <color rgb="FF434343"/>
      <sz val="9"/>
      <u val="single"/>
    </font>
    <font>
      <name val="Arial"/>
      <strike val="1"/>
      <color rgb="FF434343"/>
      <sz val="9"/>
      <u val="single"/>
    </font>
    <font>
      <name val="&quot;Roboto Condensed&quot;"/>
      <color rgb="FF333333"/>
      <sz val="9"/>
    </font>
    <font>
      <name val="Arial"/>
      <color theme="1"/>
      <sz val="9"/>
      <u val="single"/>
    </font>
    <font>
      <name val="Arial"/>
      <color rgb="FF434343"/>
      <sz val="9"/>
      <u val="single"/>
    </font>
    <font>
      <name val="Arial"/>
      <color rgb="FF212529"/>
      <sz val="9"/>
    </font>
    <font>
      <name val="Arial"/>
      <color rgb="FF0000FF"/>
      <sz val="9"/>
      <u val="single"/>
    </font>
    <font>
      <name val="Arial"/>
      <color rgb="FF434343"/>
      <sz val="9"/>
      <u val="single"/>
    </font>
    <font>
      <name val="Arial"/>
      <color rgb="FF000000"/>
      <sz val="9"/>
      <u val="single"/>
    </font>
    <font>
      <name val="Roboto"/>
      <color rgb="FF000000"/>
      <sz val="9"/>
    </font>
    <font>
      <name val="Arial"/>
      <color rgb="FF1155CC"/>
      <sz val="9"/>
      <u val="single"/>
    </font>
    <font>
      <name val="Calibri"/>
      <color theme="1"/>
      <sz val="9"/>
      <scheme val="minor"/>
    </font>
    <font>
      <name val="Calibri"/>
      <color rgb="FF000000"/>
      <sz val="9"/>
      <scheme val="minor"/>
    </font>
    <font>
      <name val="Arial"/>
      <color rgb="FF595959"/>
      <sz val="9"/>
    </font>
    <font>
      <name val="Arial"/>
      <color rgb="FF434343"/>
      <sz val="9"/>
    </font>
    <font>
      <name val="Arial"/>
      <b val="1"/>
      <color rgb="FFF1C232"/>
      <sz val="9"/>
    </font>
    <font>
      <name val="Arial"/>
      <color rgb="FF000000"/>
      <sz val="9"/>
      <u val="single"/>
    </font>
    <font>
      <name val="Arial"/>
      <b val="1"/>
      <color theme="5"/>
      <sz val="9"/>
    </font>
    <font>
      <name val="Arial"/>
      <color rgb="FF000000"/>
      <sz val="9"/>
      <u val="single"/>
    </font>
    <font>
      <name val="Arial"/>
      <color rgb="FF000000"/>
      <sz val="9"/>
      <u val="single"/>
    </font>
    <font>
      <name val="Arial"/>
      <color rgb="FF434343"/>
      <sz val="9"/>
      <u val="single"/>
    </font>
    <font>
      <name val="&quot;Noto Sans&quot;"/>
      <color rgb="FF231F20"/>
      <sz val="9"/>
    </font>
    <font>
      <name val="Calibri"/>
      <color rgb="FF000000"/>
      <sz val="9"/>
    </font>
    <font>
      <name val="Roboto"/>
      <color rgb="FF000000"/>
      <sz val="9"/>
      <u val="single"/>
    </font>
    <font>
      <name val="Arial"/>
      <color rgb="FF000000"/>
      <sz val="9"/>
      <u val="single"/>
    </font>
    <font>
      <name val="Arial"/>
      <color rgb="FF000000"/>
      <sz val="9"/>
      <u val="single"/>
    </font>
    <font>
      <name val="Arial"/>
      <color rgb="FF000000"/>
      <sz val="9"/>
      <u val="single"/>
    </font>
    <font>
      <name val="Arial"/>
      <color rgb="FF000000"/>
      <sz val="9"/>
      <u val="single"/>
    </font>
    <font>
      <name val="Arial"/>
      <color rgb="FF434343"/>
      <sz val="9"/>
      <u val="single"/>
    </font>
    <font>
      <name val="Arial"/>
      <color rgb="FF0000FF"/>
      <sz val="9"/>
      <u val="single"/>
    </font>
    <font>
      <name val="Arial"/>
      <color rgb="FF050505"/>
      <sz val="9"/>
    </font>
    <font>
      <name val="Arial"/>
      <color theme="1"/>
      <sz val="9"/>
      <u val="single"/>
    </font>
  </fonts>
  <fills count="16">
    <fill>
      <patternFill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E6F5F2"/>
        <bgColor rgb="FFE6F5F2"/>
      </patternFill>
    </fill>
    <fill>
      <patternFill patternType="solid">
        <fgColor rgb="FFFBEEE3"/>
        <bgColor rgb="FFFBEEE3"/>
      </patternFill>
    </fill>
    <fill>
      <patternFill patternType="solid">
        <fgColor rgb="FFFDF3E3"/>
        <bgColor rgb="FFFDF3E3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6"/>
        <bgColor theme="6"/>
      </patternFill>
    </fill>
    <fill>
      <patternFill patternType="solid">
        <fgColor rgb="FFE36C09"/>
        <bgColor rgb="FFE36C09"/>
      </patternFill>
    </fill>
    <fill>
      <patternFill patternType="solid">
        <fgColor rgb="FFFFFFFF"/>
        <bgColor rgb="FFFFFFFF"/>
      </patternFill>
    </fill>
    <fill>
      <patternFill patternType="solid">
        <fgColor rgb="FFDBE5F1"/>
        <bgColor rgb="FFDBE5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/>
      <top/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</borders>
  <cellStyleXfs count="1">
    <xf numFmtId="0" fontId="0" fillId="0" borderId="0"/>
  </cellStyleXfs>
  <cellXfs count="23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 wrapText="1"/>
    </xf>
    <xf numFmtId="0" fontId="8" fillId="0" borderId="7" applyAlignment="1" pivotButton="0" quotePrefix="0" xfId="0">
      <alignment vertical="top" wrapText="1"/>
    </xf>
    <xf numFmtId="0" fontId="9" fillId="8" borderId="1" applyAlignment="1" pivotButton="0" quotePrefix="0" xfId="0">
      <alignment horizontal="center" vertical="center" wrapText="1"/>
    </xf>
    <xf numFmtId="0" fontId="10" fillId="3" borderId="8" pivotButton="0" quotePrefix="0" xfId="0"/>
    <xf numFmtId="0" fontId="10" fillId="5" borderId="8" pivotButton="0" quotePrefix="0" xfId="0"/>
    <xf numFmtId="0" fontId="10" fillId="4" borderId="8" pivotButton="0" quotePrefix="0" xfId="0"/>
    <xf numFmtId="0" fontId="3" fillId="0" borderId="7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9" fillId="9" borderId="1" applyAlignment="1" pivotButton="0" quotePrefix="0" xfId="0">
      <alignment horizontal="center" vertical="center" wrapText="1"/>
    </xf>
    <xf numFmtId="0" fontId="8" fillId="0" borderId="7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9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  <xf numFmtId="0" fontId="3" fillId="10" borderId="6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7" fillId="7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0" fontId="20" fillId="12" borderId="0" applyAlignment="1" pivotButton="0" quotePrefix="0" xfId="0">
      <alignment horizontal="left" vertical="center"/>
    </xf>
    <xf numFmtId="0" fontId="3" fillId="0" borderId="5" applyAlignment="1" pivotButton="0" quotePrefix="0" xfId="0">
      <alignment vertical="top" wrapText="1"/>
    </xf>
    <xf numFmtId="0" fontId="5" fillId="6" borderId="10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7" fillId="7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vertical="top" wrapText="1"/>
    </xf>
    <xf numFmtId="0" fontId="21" fillId="0" borderId="0" applyAlignment="1" pivotButton="0" quotePrefix="0" xfId="0">
      <alignment vertical="bottom"/>
    </xf>
    <xf numFmtId="0" fontId="22" fillId="1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bottom"/>
    </xf>
    <xf numFmtId="49" fontId="3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3" fillId="0" borderId="1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3" fillId="12" borderId="1" applyAlignment="1" pivotButton="0" quotePrefix="0" xfId="0">
      <alignment vertical="top" wrapText="1"/>
    </xf>
    <xf numFmtId="0" fontId="24" fillId="12" borderId="1" applyAlignment="1" pivotButton="0" quotePrefix="0" xfId="0">
      <alignment vertical="top" wrapText="1"/>
    </xf>
    <xf numFmtId="0" fontId="25" fillId="13" borderId="1" applyAlignment="1" pivotButton="0" quotePrefix="0" xfId="0">
      <alignment vertical="top" wrapText="1"/>
    </xf>
    <xf numFmtId="0" fontId="26" fillId="13" borderId="1" applyAlignment="1" pivotButton="0" quotePrefix="0" xfId="0">
      <alignment vertical="top" wrapText="1"/>
    </xf>
    <xf numFmtId="0" fontId="27" fillId="12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8" fillId="13" borderId="1" applyAlignment="1" pivotButton="0" quotePrefix="0" xfId="0">
      <alignment vertical="top" wrapText="1"/>
    </xf>
    <xf numFmtId="0" fontId="11" fillId="12" borderId="0" applyAlignment="1" pivotButton="0" quotePrefix="0" xfId="0">
      <alignment vertical="center"/>
    </xf>
    <xf numFmtId="0" fontId="29" fillId="0" borderId="0" applyAlignment="1" pivotButton="0" quotePrefix="0" xfId="0">
      <alignment vertical="bottom"/>
    </xf>
    <xf numFmtId="0" fontId="30" fillId="0" borderId="0" applyAlignment="1" pivotButton="0" quotePrefix="0" xfId="0">
      <alignment vertical="center"/>
    </xf>
    <xf numFmtId="0" fontId="9" fillId="10" borderId="1" applyAlignment="1" pivotButton="0" quotePrefix="0" xfId="0">
      <alignment horizontal="center" vertical="center" wrapText="1"/>
    </xf>
    <xf numFmtId="0" fontId="3" fillId="0" borderId="9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8" fillId="0" borderId="1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1" fillId="13" borderId="1" applyAlignment="1" pivotButton="0" quotePrefix="0" xfId="0">
      <alignment vertical="top" wrapText="1"/>
    </xf>
    <xf numFmtId="0" fontId="32" fillId="12" borderId="1" applyAlignment="1" pivotButton="0" quotePrefix="0" xfId="0">
      <alignment vertical="top" wrapText="1"/>
    </xf>
    <xf numFmtId="0" fontId="33" fillId="0" borderId="1" applyAlignment="1" pivotButton="0" quotePrefix="0" xfId="0">
      <alignment vertical="top" wrapText="1"/>
    </xf>
    <xf numFmtId="0" fontId="34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bottom"/>
    </xf>
    <xf numFmtId="0" fontId="35" fillId="12" borderId="12" applyAlignment="1" pivotButton="0" quotePrefix="0" xfId="0">
      <alignment vertical="top" wrapText="1"/>
    </xf>
    <xf numFmtId="0" fontId="36" fillId="12" borderId="12" applyAlignment="1" pivotButton="0" quotePrefix="0" xfId="0">
      <alignment vertical="top" wrapText="1"/>
    </xf>
    <xf numFmtId="0" fontId="11" fillId="0" borderId="0" applyAlignment="1" pivotButton="0" quotePrefix="0" xfId="0">
      <alignment vertical="bottom"/>
    </xf>
    <xf numFmtId="0" fontId="37" fillId="0" borderId="9" applyAlignment="1" pivotButton="0" quotePrefix="0" xfId="0">
      <alignment vertical="top" wrapText="1"/>
    </xf>
    <xf numFmtId="0" fontId="38" fillId="12" borderId="0" applyAlignment="1" pivotButton="0" quotePrefix="0" xfId="0">
      <alignment vertical="top" wrapText="1"/>
    </xf>
    <xf numFmtId="0" fontId="39" fillId="1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center"/>
    </xf>
    <xf numFmtId="0" fontId="41" fillId="0" borderId="0" applyAlignment="1" pivotButton="0" quotePrefix="0" xfId="0">
      <alignment vertical="top" wrapText="1"/>
    </xf>
    <xf numFmtId="0" fontId="34" fillId="8" borderId="0" applyAlignment="1" pivotButton="0" quotePrefix="0" xfId="0">
      <alignment horizontal="center" vertical="center" wrapText="1"/>
    </xf>
    <xf numFmtId="0" fontId="20" fillId="12" borderId="0" applyAlignment="1" pivotButton="0" quotePrefix="0" xfId="0">
      <alignment vertical="center"/>
    </xf>
    <xf numFmtId="0" fontId="42" fillId="12" borderId="0" applyAlignment="1" pivotButton="0" quotePrefix="1" xfId="0">
      <alignment vertical="top" wrapText="1"/>
    </xf>
    <xf numFmtId="0" fontId="43" fillId="12" borderId="0" applyAlignment="1" pivotButton="0" quotePrefix="0" xfId="0">
      <alignment vertical="top" wrapText="1"/>
    </xf>
    <xf numFmtId="0" fontId="44" fillId="12" borderId="0" applyAlignment="1" pivotButton="0" quotePrefix="1" xfId="0">
      <alignment vertical="top" wrapText="1"/>
    </xf>
    <xf numFmtId="0" fontId="45" fillId="12" borderId="0" applyAlignment="1" pivotButton="0" quotePrefix="0" xfId="0">
      <alignment vertical="top" wrapText="1"/>
    </xf>
    <xf numFmtId="0" fontId="46" fillId="12" borderId="0" applyAlignment="1" pivotButton="0" quotePrefix="0" xfId="0">
      <alignment vertical="center"/>
    </xf>
    <xf numFmtId="0" fontId="47" fillId="0" borderId="0" applyAlignment="1" pivotButton="0" quotePrefix="0" xfId="0">
      <alignment vertical="bottom"/>
    </xf>
    <xf numFmtId="0" fontId="48" fillId="12" borderId="0" applyAlignment="1" pivotButton="0" quotePrefix="0" xfId="0">
      <alignment vertical="top" wrapText="1"/>
    </xf>
    <xf numFmtId="0" fontId="20" fillId="0" borderId="0" applyAlignment="1" pivotButton="0" quotePrefix="0" xfId="0">
      <alignment vertical="center"/>
    </xf>
    <xf numFmtId="0" fontId="4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9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5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 wrapText="1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54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left" vertical="bottom"/>
    </xf>
    <xf numFmtId="0" fontId="55" fillId="0" borderId="0" pivotButton="0" quotePrefix="0" xfId="0"/>
    <xf numFmtId="0" fontId="56" fillId="0" borderId="0" applyAlignment="1" pivotButton="0" quotePrefix="0" xfId="0">
      <alignment vertical="center"/>
    </xf>
    <xf numFmtId="0" fontId="57" fillId="0" borderId="7" applyAlignment="1" pivotButton="0" quotePrefix="0" xfId="0">
      <alignment vertical="top" wrapText="1"/>
    </xf>
    <xf numFmtId="0" fontId="34" fillId="0" borderId="1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8" fillId="0" borderId="1" applyAlignment="1" pivotButton="0" quotePrefix="0" xfId="0">
      <alignment vertical="top" wrapText="1"/>
    </xf>
    <xf numFmtId="0" fontId="12" fillId="8" borderId="1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center" vertical="center" wrapText="1"/>
    </xf>
    <xf numFmtId="0" fontId="57" fillId="0" borderId="7" applyAlignment="1" pivotButton="0" quotePrefix="0" xfId="0">
      <alignment vertical="top" wrapText="1"/>
    </xf>
    <xf numFmtId="0" fontId="11" fillId="0" borderId="0" applyAlignment="1" pivotButton="0" quotePrefix="0" xfId="0">
      <alignment vertical="bottom"/>
    </xf>
    <xf numFmtId="0" fontId="11" fillId="0" borderId="1" applyAlignment="1" pivotButton="0" quotePrefix="0" xfId="0">
      <alignment vertical="top" wrapText="1"/>
    </xf>
    <xf numFmtId="0" fontId="60" fillId="0" borderId="0" applyAlignment="1" pivotButton="0" quotePrefix="0" xfId="0">
      <alignment vertical="bottom"/>
    </xf>
    <xf numFmtId="0" fontId="61" fillId="0" borderId="1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bottom"/>
    </xf>
    <xf numFmtId="0" fontId="63" fillId="0" borderId="0" applyAlignment="1" pivotButton="0" quotePrefix="0" xfId="0">
      <alignment vertical="bottom"/>
    </xf>
    <xf numFmtId="0" fontId="58" fillId="0" borderId="1" applyAlignment="1" pivotButton="0" quotePrefix="0" xfId="0">
      <alignment vertical="top" wrapText="1"/>
    </xf>
    <xf numFmtId="0" fontId="59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4" fillId="0" borderId="1" applyAlignment="1" pivotButton="0" quotePrefix="0" xfId="0">
      <alignment vertical="top" wrapText="1"/>
    </xf>
    <xf numFmtId="0" fontId="7" fillId="9" borderId="1" applyAlignment="1" pivotButton="0" quotePrefix="0" xfId="0">
      <alignment horizontal="center" vertical="center" wrapText="1"/>
    </xf>
    <xf numFmtId="0" fontId="65" fillId="12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34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vertical="bottom"/>
    </xf>
    <xf numFmtId="0" fontId="67" fillId="0" borderId="0" applyAlignment="1" pivotButton="0" quotePrefix="0" xfId="0">
      <alignment vertical="center"/>
    </xf>
    <xf numFmtId="0" fontId="66" fillId="0" borderId="0" applyAlignment="1" pivotButton="0" quotePrefix="0" xfId="0">
      <alignment vertical="bottom"/>
    </xf>
    <xf numFmtId="0" fontId="68" fillId="0" borderId="0" applyAlignment="1" pivotButton="0" quotePrefix="0" xfId="0">
      <alignment vertical="bottom"/>
    </xf>
    <xf numFmtId="0" fontId="9" fillId="8" borderId="0" applyAlignment="1" pivotButton="0" quotePrefix="0" xfId="0">
      <alignment horizontal="center" vertical="center" wrapText="1"/>
    </xf>
    <xf numFmtId="0" fontId="69" fillId="0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vertical="bottom"/>
    </xf>
    <xf numFmtId="0" fontId="70" fillId="0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 vertical="bottom"/>
    </xf>
    <xf numFmtId="0" fontId="12" fillId="9" borderId="1" applyAlignment="1" pivotButton="0" quotePrefix="0" xfId="0">
      <alignment horizontal="center" vertical="center" wrapText="1"/>
    </xf>
    <xf numFmtId="0" fontId="71" fillId="0" borderId="1" applyAlignment="1" pivotButton="0" quotePrefix="0" xfId="0">
      <alignment vertical="top" wrapText="1"/>
    </xf>
    <xf numFmtId="0" fontId="58" fillId="0" borderId="0" applyAlignment="1" pivotButton="0" quotePrefix="0" xfId="0">
      <alignment vertical="top" wrapText="1"/>
    </xf>
    <xf numFmtId="0" fontId="59" fillId="8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bottom"/>
    </xf>
    <xf numFmtId="0" fontId="58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0" fontId="55" fillId="0" borderId="0" applyAlignment="1" pivotButton="0" quotePrefix="0" xfId="0">
      <alignment vertical="center"/>
    </xf>
    <xf numFmtId="0" fontId="9" fillId="9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top"/>
    </xf>
    <xf numFmtId="0" fontId="73" fillId="0" borderId="0" applyAlignment="1" pivotButton="0" quotePrefix="0" xfId="0">
      <alignment vertical="top"/>
    </xf>
    <xf numFmtId="0" fontId="74" fillId="12" borderId="0" applyAlignment="1" pivotButton="0" quotePrefix="0" xfId="0">
      <alignment vertical="center"/>
    </xf>
    <xf numFmtId="0" fontId="75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58" fillId="0" borderId="9" applyAlignment="1" pivotButton="0" quotePrefix="0" xfId="0">
      <alignment vertical="top" wrapText="1"/>
    </xf>
    <xf numFmtId="0" fontId="58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14" borderId="1" applyAlignment="1" pivotButton="0" quotePrefix="0" xfId="0">
      <alignment vertical="top" wrapText="1"/>
    </xf>
    <xf numFmtId="0" fontId="8" fillId="14" borderId="7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9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vertical="top" wrapText="1"/>
    </xf>
    <xf numFmtId="0" fontId="7" fillId="14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vertical="top" wrapText="1"/>
    </xf>
    <xf numFmtId="0" fontId="23" fillId="14" borderId="1" applyAlignment="1" pivotButton="0" quotePrefix="0" xfId="0">
      <alignment vertical="top" wrapText="1"/>
    </xf>
    <xf numFmtId="0" fontId="25" fillId="14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26" fillId="14" borderId="1" applyAlignment="1" pivotButton="0" quotePrefix="0" xfId="0">
      <alignment vertical="top" wrapText="1"/>
    </xf>
    <xf numFmtId="0" fontId="28" fillId="14" borderId="1" applyAlignment="1" pivotButton="0" quotePrefix="0" xfId="0">
      <alignment vertical="top" wrapText="1"/>
    </xf>
    <xf numFmtId="0" fontId="24" fillId="14" borderId="1" applyAlignment="1" pivotButton="0" quotePrefix="0" xfId="0">
      <alignment vertical="top" wrapText="1"/>
    </xf>
    <xf numFmtId="0" fontId="31" fillId="14" borderId="1" applyAlignment="1" pivotButton="0" quotePrefix="0" xfId="0">
      <alignment vertical="top" wrapText="1"/>
    </xf>
    <xf numFmtId="0" fontId="8" fillId="14" borderId="0" applyAlignment="1" pivotButton="0" quotePrefix="0" xfId="0">
      <alignment vertical="top" wrapText="1"/>
    </xf>
    <xf numFmtId="0" fontId="35" fillId="14" borderId="12" applyAlignment="1" pivotButton="0" quotePrefix="0" xfId="0">
      <alignment vertical="top" wrapText="1"/>
    </xf>
    <xf numFmtId="0" fontId="3" fillId="14" borderId="0" applyAlignment="1" pivotButton="0" quotePrefix="0" xfId="0">
      <alignment vertical="top" wrapText="1"/>
    </xf>
    <xf numFmtId="0" fontId="39" fillId="14" borderId="0" applyAlignment="1" pivotButton="0" quotePrefix="0" xfId="0">
      <alignment vertical="top" wrapText="1"/>
    </xf>
    <xf numFmtId="0" fontId="38" fillId="14" borderId="0" applyAlignment="1" pivotButton="0" quotePrefix="0" xfId="0">
      <alignment vertical="top" wrapText="1"/>
    </xf>
    <xf numFmtId="0" fontId="42" fillId="14" borderId="0" applyAlignment="1" pivotButton="0" quotePrefix="1" xfId="0">
      <alignment vertical="top" wrapText="1"/>
    </xf>
    <xf numFmtId="0" fontId="3" fillId="14" borderId="0" applyAlignment="1" pivotButton="0" quotePrefix="0" xfId="0">
      <alignment vertical="bottom"/>
    </xf>
    <xf numFmtId="0" fontId="3" fillId="14" borderId="0" applyAlignment="1" pivotButton="0" quotePrefix="0" xfId="0">
      <alignment horizontal="center" vertical="bottom"/>
    </xf>
    <xf numFmtId="0" fontId="34" fillId="14" borderId="1" applyAlignment="1" pivotButton="0" quotePrefix="0" xfId="0">
      <alignment horizontal="center" vertical="center" wrapText="1"/>
    </xf>
    <xf numFmtId="0" fontId="8" fillId="14" borderId="11" applyAlignment="1" pivotButton="0" quotePrefix="0" xfId="0">
      <alignment vertical="top" wrapText="1"/>
    </xf>
    <xf numFmtId="0" fontId="34" fillId="14" borderId="0" applyAlignment="1" pivotButton="0" quotePrefix="0" xfId="0">
      <alignment horizontal="center" vertical="center" wrapText="1"/>
    </xf>
    <xf numFmtId="0" fontId="41" fillId="14" borderId="0" applyAlignment="1" pivotButton="0" quotePrefix="0" xfId="0">
      <alignment vertical="top" wrapText="1"/>
    </xf>
    <xf numFmtId="0" fontId="18" fillId="14" borderId="0" applyAlignment="1" pivotButton="0" quotePrefix="0" xfId="0">
      <alignment vertical="bottom"/>
    </xf>
    <xf numFmtId="0" fontId="51" fillId="14" borderId="0" applyAlignment="1" pivotButton="0" quotePrefix="0" xfId="0">
      <alignment vertical="top" wrapText="1"/>
    </xf>
    <xf numFmtId="0" fontId="11" fillId="14" borderId="0" applyAlignment="1" pivotButton="0" quotePrefix="0" xfId="0">
      <alignment vertical="top" wrapText="1"/>
    </xf>
    <xf numFmtId="0" fontId="11" fillId="14" borderId="1" applyAlignment="1" pivotButton="0" quotePrefix="0" xfId="0">
      <alignment vertical="top" wrapText="1"/>
    </xf>
    <xf numFmtId="0" fontId="17" fillId="14" borderId="0" applyAlignment="1" pivotButton="0" quotePrefix="0" xfId="0">
      <alignment vertical="bottom"/>
    </xf>
    <xf numFmtId="0" fontId="34" fillId="14" borderId="10" applyAlignment="1" pivotButton="0" quotePrefix="0" xfId="0">
      <alignment horizontal="center" vertical="center" wrapText="1"/>
    </xf>
    <xf numFmtId="0" fontId="59" fillId="14" borderId="10" applyAlignment="1" pivotButton="0" quotePrefix="0" xfId="0">
      <alignment horizontal="center" vertical="center" wrapText="1"/>
    </xf>
    <xf numFmtId="0" fontId="61" fillId="14" borderId="1" applyAlignment="1" pivotButton="0" quotePrefix="0" xfId="0">
      <alignment horizontal="center" vertical="center" wrapText="1"/>
    </xf>
    <xf numFmtId="0" fontId="59" fillId="14" borderId="1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59" fillId="14" borderId="0" applyAlignment="1" pivotButton="0" quotePrefix="0" xfId="0">
      <alignment horizontal="center" vertical="center" wrapText="1"/>
    </xf>
    <xf numFmtId="0" fontId="11" fillId="14" borderId="0" applyAlignment="1" pivotButton="0" quotePrefix="0" xfId="0">
      <alignment vertical="bottom"/>
    </xf>
    <xf numFmtId="0" fontId="63" fillId="14" borderId="0" applyAlignment="1" pivotButton="0" quotePrefix="0" xfId="0">
      <alignment vertical="bottom"/>
    </xf>
    <xf numFmtId="0" fontId="57" fillId="14" borderId="7" applyAlignment="1" pivotButton="0" quotePrefix="0" xfId="0">
      <alignment vertical="top" wrapText="1"/>
    </xf>
    <xf numFmtId="0" fontId="12" fillId="14" borderId="1" applyAlignment="1" pivotButton="0" quotePrefix="0" xfId="0">
      <alignment horizontal="center" vertical="center" wrapText="1"/>
    </xf>
    <xf numFmtId="0" fontId="58" fillId="14" borderId="1" applyAlignment="1" pivotButton="0" quotePrefix="0" xfId="0">
      <alignment vertical="top" wrapText="1"/>
    </xf>
    <xf numFmtId="0" fontId="3" fillId="14" borderId="9" applyAlignment="1" pivotButton="0" quotePrefix="0" xfId="0">
      <alignment vertical="top" wrapText="1"/>
    </xf>
    <xf numFmtId="0" fontId="54" fillId="14" borderId="0" applyAlignment="1" pivotButton="0" quotePrefix="0" xfId="0">
      <alignment vertical="bottom"/>
    </xf>
    <xf numFmtId="0" fontId="0" fillId="14" borderId="0" pivotButton="0" quotePrefix="0" xfId="0"/>
    <xf numFmtId="0" fontId="55" fillId="14" borderId="0" pivotButton="0" quotePrefix="0" xfId="0"/>
    <xf numFmtId="0" fontId="0" fillId="15" borderId="0" pivotButton="0" quotePrefix="0" xfId="0"/>
    <xf numFmtId="0" fontId="55" fillId="15" borderId="0" pivotButton="0" quotePrefix="0" xfId="0"/>
    <xf numFmtId="0" fontId="3" fillId="14" borderId="6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7" fillId="15" borderId="1" applyAlignment="1" pivotButton="0" quotePrefix="0" xfId="0">
      <alignment horizontal="center" vertical="center" wrapText="1"/>
    </xf>
    <xf numFmtId="0" fontId="8" fillId="15" borderId="7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4" defaultTableStyle="TableStyleMedium9" defaultPivotStyle="PivotStyleLight16">
    <tableStyle name=" Bolivia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hile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etalle y fuent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Honduras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 Panamá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México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Brasil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erú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sta Rica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rgentina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lombia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 Ecuador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Guatemala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Uruguay - Instituci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ables/table1.xml><?xml version="1.0" encoding="utf-8"?>
<table xmlns="http://schemas.openxmlformats.org/spreadsheetml/2006/main" id="1" name="Table1" displayName="Table1" ref="A1:G232" headerRowCount="1">
  <tableColumns count="7">
    <tableColumn id="1" name="País"/>
    <tableColumn id="2" name="Región"/>
    <tableColumn id="3" name="Categoría"/>
    <tableColumn id="4" name="Organismo / registro"/>
    <tableColumn id="5" name="URL"/>
    <tableColumn id="6" name="Notas de verificación"/>
    <tableColumn id="7" name="Columna 1"/>
  </tableColumns>
  <tableStyleInfo name="Detalle y fuentes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N87" headerRowCount="1">
  <tableColumns count="14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(29-jul-2026)"/>
    <tableColumn id="14" name="Notas de revisión (Ariela)"/>
  </tableColumns>
  <tableStyleInfo name="Chile - Instituciones-style" showFirstColumn="1" showLastColumn="1" showRowStripes="1" showColumnStripes="0"/>
</table>
</file>

<file path=xl/tables/table3.xml><?xml version="1.0" encoding="utf-8"?>
<table xmlns="http://schemas.openxmlformats.org/spreadsheetml/2006/main" id="3" name="Table2_12" displayName="Table2_12" ref="A1:M38" headerRowCount="1">
  <tableColumns count="13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"/>
  </tableColumns>
  <tableStyleInfo name=" Bolivia - Instituciones-style" showFirstColumn="1" showLastColumn="1" showRowStripes="1" showColumnStripes="0"/>
</table>
</file>

<file path=xl/tables/table4.xml><?xml version="1.0" encoding="utf-8"?>
<table xmlns="http://schemas.openxmlformats.org/spreadsheetml/2006/main" id="4" name="Table2_11" displayName="Table2_11" ref="A1:M10" headerRowCount="1">
  <tableColumns count="13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"/>
  </tableColumns>
  <tableStyleInfo name="Honduras - Instituciones-style" showFirstColumn="1" showLastColumn="1" showRowStripes="1" showColumnStripes="0"/>
</table>
</file>

<file path=xl/tables/table5.xml><?xml version="1.0" encoding="utf-8"?>
<table xmlns="http://schemas.openxmlformats.org/spreadsheetml/2006/main" id="5" name="Table2_10" displayName="Table2_10" ref="A1:M31" headerRowCount="1">
  <tableColumns count="13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)"/>
  </tableColumns>
  <tableStyleInfo name=" Panamá - Instituciones-style" showFirstColumn="1" showLastColumn="1" showRowStripes="1" showColumnStripes="0"/>
</table>
</file>

<file path=xl/tables/table6.xml><?xml version="1.0" encoding="utf-8"?>
<table xmlns="http://schemas.openxmlformats.org/spreadsheetml/2006/main" id="6" name="Table2_2" displayName="Table2_2" ref="A1:M141" headerRowCount="1">
  <tableColumns count="13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"/>
  </tableColumns>
  <tableStyleInfo name="México - Instituciones-style" showFirstColumn="1" showLastColumn="1" showRowStripes="1" showColumnStripes="0"/>
</table>
</file>

<file path=xl/tables/table7.xml><?xml version="1.0" encoding="utf-8"?>
<table xmlns="http://schemas.openxmlformats.org/spreadsheetml/2006/main" id="7" name="Table2_9" displayName="Table2_9" ref="A1:M125" headerRowCount="1">
  <tableColumns count="13">
    <tableColumn id="1" name="Columna 1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"/>
  </tableColumns>
  <tableStyleInfo name="Brasil - Instituciones-style" showFirstColumn="1" showLastColumn="1" showRowStripes="1" showColumnStripes="0"/>
</table>
</file>

<file path=xl/tables/table8.xml><?xml version="1.0" encoding="utf-8"?>
<table xmlns="http://schemas.openxmlformats.org/spreadsheetml/2006/main" id="8" name="Table2_7" displayName="Table2_7" ref="A1:M298" headerRowCount="1">
  <tableColumns count="13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"/>
  </tableColumns>
  <tableStyleInfo name="Perú - Instituciones-style" showFirstColumn="1" showLastColumn="1" showRowStripes="1" showColumnStripes="0"/>
</table>
</file>

<file path=xl/tables/table9.xml><?xml version="1.0" encoding="utf-8"?>
<table xmlns="http://schemas.openxmlformats.org/spreadsheetml/2006/main" id="9" name="Table2_3" displayName="Table2_3" ref="A1:M92" headerRowCount="1">
  <tableColumns count="13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"/>
  </tableColumns>
  <tableStyleInfo name="Costa Rica - Instituciones-style" showFirstColumn="1" showLastColumn="1" showRowStripes="1" showColumnStripes="0"/>
</table>
</file>

<file path=xl/tables/table10.xml><?xml version="1.0" encoding="utf-8"?>
<table xmlns="http://schemas.openxmlformats.org/spreadsheetml/2006/main" id="10" name="Table2_8" displayName="Table2_8" ref="A1:M79" headerRowCount="1">
  <tableColumns count="13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"/>
  </tableColumns>
  <tableStyleInfo name="Argentina - Instituciones-style" showFirstColumn="1" showLastColumn="1" showRowStripes="1" showColumnStripes="0"/>
</table>
</file>

<file path=xl/tables/table11.xml><?xml version="1.0" encoding="utf-8"?>
<table xmlns="http://schemas.openxmlformats.org/spreadsheetml/2006/main" id="11" name="Table2_5" displayName="Table2_5" ref="A1:M153" headerRowCount="1">
  <tableColumns count="13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"/>
  </tableColumns>
  <tableStyleInfo name="Colombia - Instituciones-style" showFirstColumn="1" showLastColumn="1" showRowStripes="1" showColumnStripes="0"/>
</table>
</file>

<file path=xl/tables/table12.xml><?xml version="1.0" encoding="utf-8"?>
<table xmlns="http://schemas.openxmlformats.org/spreadsheetml/2006/main" id="12" name="Table2_4" displayName="Table2_4" ref="A1:M53" headerRowCount="1">
  <tableColumns count="13">
    <tableColumn id="1" name="País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"/>
  </tableColumns>
  <tableStyleInfo name=" Ecuador- Instituciones-style" showFirstColumn="1" showLastColumn="1" showRowStripes="1" showColumnStripes="0"/>
</table>
</file>

<file path=xl/tables/table13.xml><?xml version="1.0" encoding="utf-8"?>
<table xmlns="http://schemas.openxmlformats.org/spreadsheetml/2006/main" id="13" name="Table2_6" displayName="Table2_6" ref="A1:M65" headerRowCount="1">
  <tableColumns count="13">
    <tableColumn id="1" name="Columna 1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"/>
  </tableColumns>
  <tableStyleInfo name="Guatemala - Instituciones-style" showFirstColumn="1" showLastColumn="1" showRowStripes="1" showColumnStripes="0"/>
</table>
</file>

<file path=xl/tables/table14.xml><?xml version="1.0" encoding="utf-8"?>
<table xmlns="http://schemas.openxmlformats.org/spreadsheetml/2006/main" id="14" name="Table2_13" displayName="Table2_13" ref="A1:M79" headerRowCount="1">
  <tableColumns count="13">
    <tableColumn id="1" name="Columna 1"/>
    <tableColumn id="2" name="Categoría"/>
    <tableColumn id="3" name="Sub categoría"/>
    <tableColumn id="4" name="Nombre de la institución"/>
    <tableColumn id="5" name="Visación Dirección del programa"/>
    <tableColumn id="6" name="Unidad de contacto"/>
    <tableColumn id="7" name="Página web"/>
    <tableColumn id="8" name="Nombre de contacto"/>
    <tableColumn id="9" name="Teléfono de contacto"/>
    <tableColumn id="10" name="Email de contacto"/>
    <tableColumn id="11" name="Fuente de identificación"/>
    <tableColumn id="12" name="Estado de Revisión"/>
    <tableColumn id="13" name="Notas de revisión "/>
  </tableColumns>
  <tableStyleInfo name="Uruguay - Institucion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ctrpanama.org/organizaciones-afiliadas-2/" TargetMode="External" Id="rId1"/><Relationship Type="http://schemas.openxmlformats.org/officeDocument/2006/relationships/hyperlink" Target="https://www.utu.edu.uy/centros-educativos/" TargetMode="External" Id="rId2"/><Relationship Type="http://schemas.openxmlformats.org/officeDocument/2006/relationships/table" Target="/xl/tables/table1.xm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hileatiende.gob.cl/instituciones/AD016" TargetMode="External" Id="rId1"/><Relationship Type="http://schemas.openxmlformats.org/officeDocument/2006/relationships/hyperlink" Target="https://www.suseso.cl/609/w3-propertyvalue-10337.html" TargetMode="External" Id="rId2"/><Relationship Type="http://schemas.openxmlformats.org/officeDocument/2006/relationships/hyperlink" Target="https://facebook.com/globalshapersSCL" TargetMode="External" Id="rId3"/><Relationship Type="http://schemas.openxmlformats.org/officeDocument/2006/relationships/hyperlink" Target="https://uda.cl/direccion-de-actividades-estudiantiles/bienestar-estudiantil/" TargetMode="External" Id="rId4"/><Relationship Type="http://schemas.openxmlformats.org/officeDocument/2006/relationships/table" Target="/xl/tables/table2.xm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stora.bo/" TargetMode="External" Id="rId1"/><Relationship Type="http://schemas.openxmlformats.org/officeDocument/2006/relationships/hyperlink" Target="https://gestora.bo/Comunicacion/Contacto" TargetMode="External" Id="rId2"/><Relationship Type="http://schemas.openxmlformats.org/officeDocument/2006/relationships/hyperlink" Target="https://itsariberalta.edu.bo/" TargetMode="External" Id="rId3"/><Relationship Type="http://schemas.openxmlformats.org/officeDocument/2006/relationships/hyperlink" Target="https://itsariberalta.edu.bo/" TargetMode="External" Id="rId4"/><Relationship Type="http://schemas.openxmlformats.org/officeDocument/2006/relationships/hyperlink" Target="https://incosstana.edu.bo/" TargetMode="External" Id="rId5"/><Relationship Type="http://schemas.openxmlformats.org/officeDocument/2006/relationships/hyperlink" Target="https://incosstana.edu.bo/contacto.html" TargetMode="External" Id="rId6"/><Relationship Type="http://schemas.openxmlformats.org/officeDocument/2006/relationships/hyperlink" Target="https://www.incosgya.edu.bo/validar.php" TargetMode="External" Id="rId7"/><Relationship Type="http://schemas.openxmlformats.org/officeDocument/2006/relationships/hyperlink" Target="https://formaciontecnicabolivia.org/instituto-tecnologico-agropecuario-industrial-tarata/ist/1501/" TargetMode="External" Id="rId8"/><Relationship Type="http://schemas.openxmlformats.org/officeDocument/2006/relationships/hyperlink" Target="https://formaciontecnicabolivia.org/instituto-tecnologico-agropecuario-industrial-tarata/ist/1501/" TargetMode="External" Id="rId9"/><Relationship Type="http://schemas.openxmlformats.org/officeDocument/2006/relationships/hyperlink" Target="https://formaciontecnicabolivia.org/instituto-tecnologico-agropecuario-canada-chimore/ist/1537/" TargetMode="External" Id="rId10"/><Relationship Type="http://schemas.openxmlformats.org/officeDocument/2006/relationships/hyperlink" Target="https://www.itpatacamaya.org/" TargetMode="External" Id="rId11"/><Relationship Type="http://schemas.openxmlformats.org/officeDocument/2006/relationships/hyperlink" Target="https://www.itpatacamaya.org/p%C3%A1gina-principal/con%C3%B3cenos" TargetMode="External" Id="rId12"/><Relationship Type="http://schemas.openxmlformats.org/officeDocument/2006/relationships/hyperlink" Target="https://ftb.formaciontecnicabolivia.org/institutos/instituto-superior-tecnologico-agroindustrial-san-pedro-de-totora" TargetMode="External" Id="rId13"/><Relationship Type="http://schemas.openxmlformats.org/officeDocument/2006/relationships/hyperlink" Target="https://ftb.formaciontecnicabolivia.org/institutos/instituto-superior-tecnologico-agroindustrial-san-pedro-de-totora" TargetMode="External" Id="rId14"/><Relationship Type="http://schemas.openxmlformats.org/officeDocument/2006/relationships/hyperlink" Target="https://formaciontecnicabolivia.org/instituto-superior-tecnologico-agroindustrial-sajama/ist/1444/" TargetMode="External" Id="rId15"/><Relationship Type="http://schemas.openxmlformats.org/officeDocument/2006/relationships/hyperlink" Target="https://formaciontecnicabolivia.org/instituto-superior-tecnologico-agroindustrial-sajama/ist/1444/" TargetMode="External" Id="rId16"/><Relationship Type="http://schemas.openxmlformats.org/officeDocument/2006/relationships/hyperlink" Target="https://www.minedu.gob.bo/files/documentos-normativos/VESFP/2024/reglamentos/GUIA-INSTITUTOS-2024-OCTUBRE.pdf" TargetMode="External" Id="rId17"/><Relationship Type="http://schemas.openxmlformats.org/officeDocument/2006/relationships/hyperlink" Target="https://www.minedu.gob.bo/files/documentos-normativos/VESFP/2024/reglamentos/GUIA-INSTITUTOS-2024-OCTUBRE.pdf" TargetMode="External" Id="rId18"/><Relationship Type="http://schemas.openxmlformats.org/officeDocument/2006/relationships/hyperlink" Target="https://www.minedu.gob.bo/files/documentos-normativos/VESFP/2024/reglamentos/GUIA-INSTITUTOS-2024-OCTUBRE.pdf" TargetMode="External" Id="rId19"/><Relationship Type="http://schemas.openxmlformats.org/officeDocument/2006/relationships/hyperlink" Target="https://www.tecnologicouyuni.org/" TargetMode="External" Id="rId20"/><Relationship Type="http://schemas.openxmlformats.org/officeDocument/2006/relationships/hyperlink" Target="https://www.minedu.gob.bo/files/documentos-normativos/VESFP/2024/reglamentos/GUIA-INSTITUTOS-2024-OCTUBRE.pdf" TargetMode="External" Id="rId21"/><Relationship Type="http://schemas.openxmlformats.org/officeDocument/2006/relationships/hyperlink" Target="https://www.minedu.gob.bo/files/documentos-normativos/VESFP/2024/reglamentos/GUIA-INSTITUTOS-2024-OCTUBRE.pdf" TargetMode="External" Id="rId22"/><Relationship Type="http://schemas.openxmlformats.org/officeDocument/2006/relationships/hyperlink" Target="https://www.minedu.gob.bo/files/documentos-normativos/VESFP/2024/reglamentos/GUIA-INSTITUTOS-2024-OCTUBRE.pdf" TargetMode="External" Id="rId23"/><Relationship Type="http://schemas.openxmlformats.org/officeDocument/2006/relationships/hyperlink" Target="https://www.tap.edu.bo/" TargetMode="External" Id="rId24"/><Relationship Type="http://schemas.openxmlformats.org/officeDocument/2006/relationships/hyperlink" Target="https://www.minedu.gob.bo/files/documentos-normativos/VESFP/2024/reglamentos/GUIA-INSTITUTOS-2024-OCTUBRE.pdf" TargetMode="External" Id="rId25"/><Relationship Type="http://schemas.openxmlformats.org/officeDocument/2006/relationships/hyperlink" Target="https://www.minedu.gob.bo/files/documentos-normativos/VESFP/2024/reglamentos/GUIA-INSTITUTOS-2024-OCTUBRE.pdf" TargetMode="External" Id="rId26"/><Relationship Type="http://schemas.openxmlformats.org/officeDocument/2006/relationships/hyperlink" Target="https://www.minedu.gob.bo/files/documentos-normativos/VESFP/2024/reglamentos/GUIA-INSTITUTOS-2024-OCTUBRE.pdf" TargetMode="External" Id="rId27"/><Relationship Type="http://schemas.openxmlformats.org/officeDocument/2006/relationships/hyperlink" Target="https://www.minedu.gob.bo/files/documentos-normativos/VESFP/2024/reglamentos/GUIA-INSTITUTOS-2024-OCTUBRE.pdf" TargetMode="External" Id="rId28"/><Relationship Type="http://schemas.openxmlformats.org/officeDocument/2006/relationships/hyperlink" Target="https://egpp.gob.bo/oferta-academica/" TargetMode="External" Id="rId29"/><Relationship Type="http://schemas.openxmlformats.org/officeDocument/2006/relationships/hyperlink" Target="https://cob.org.bo/centrales-obreras/" TargetMode="External" Id="rId30"/><Relationship Type="http://schemas.openxmlformats.org/officeDocument/2006/relationships/hyperlink" Target="https://www.ilo.org/sites/default/files/wcmsp5/groups/public/%40americas/%40ro-lima/%40sro-lima/documents/publication/wcms_672892.pdf" TargetMode="External" Id="rId31"/><Relationship Type="http://schemas.openxmlformats.org/officeDocument/2006/relationships/hyperlink" Target="https://sidisfstmb.wordpress.com/" TargetMode="External" Id="rId32"/><Relationship Type="http://schemas.openxmlformats.org/officeDocument/2006/relationships/hyperlink" Target="http://www.cteub.org/" TargetMode="External" Id="rId33"/><Relationship Type="http://schemas.openxmlformats.org/officeDocument/2006/relationships/hyperlink" Target="https://www.minedu.gob.bo/files/publicaciones/minedu/EncuentroPedagogico/dt-cteub.pdf" TargetMode="External" Id="rId34"/><Relationship Type="http://schemas.openxmlformats.org/officeDocument/2006/relationships/hyperlink" Target="https://fenatrahob.org.bo/" TargetMode="External" Id="rId35"/><Relationship Type="http://schemas.openxmlformats.org/officeDocument/2006/relationships/hyperlink" Target="https://usfx.bo/" TargetMode="External" Id="rId36"/><Relationship Type="http://schemas.openxmlformats.org/officeDocument/2006/relationships/hyperlink" Target="https://www.umsa.bo/" TargetMode="External" Id="rId37"/><Relationship Type="http://schemas.openxmlformats.org/officeDocument/2006/relationships/hyperlink" Target="https://www.umss.edu.bo/" TargetMode="External" Id="rId38"/><Relationship Type="http://schemas.openxmlformats.org/officeDocument/2006/relationships/hyperlink" Target="https://www.uagrm.edu.bo/" TargetMode="External" Id="rId39"/><Relationship Type="http://schemas.openxmlformats.org/officeDocument/2006/relationships/hyperlink" Target="https://www.uatf.edu.bo/" TargetMode="External" Id="rId40"/><Relationship Type="http://schemas.openxmlformats.org/officeDocument/2006/relationships/hyperlink" Target="https://www.uto.edu.bo/" TargetMode="External" Id="rId41"/><Relationship Type="http://schemas.openxmlformats.org/officeDocument/2006/relationships/hyperlink" Target="https://www.uajms.edu.bo/" TargetMode="External" Id="rId42"/><Relationship Type="http://schemas.openxmlformats.org/officeDocument/2006/relationships/hyperlink" Target="https://uabjb.edu.bo/" TargetMode="External" Id="rId43"/><Relationship Type="http://schemas.openxmlformats.org/officeDocument/2006/relationships/hyperlink" Target="https://www.unsxx.bo/" TargetMode="External" Id="rId44"/><Relationship Type="http://schemas.openxmlformats.org/officeDocument/2006/relationships/hyperlink" Target="https://uap.edu.bo/" TargetMode="External" Id="rId45"/><Relationship Type="http://schemas.openxmlformats.org/officeDocument/2006/relationships/hyperlink" Target="https://www.upea.edu.bo/" TargetMode="External" Id="rId46"/><Relationship Type="http://schemas.openxmlformats.org/officeDocument/2006/relationships/table" Target="/xl/tables/table3.xml" Id="rId4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hss.hn/" TargetMode="External" Id="rId1"/><Relationship Type="http://schemas.openxmlformats.org/officeDocument/2006/relationships/hyperlink" Target="https://www.ihss.hn/contacto/" TargetMode="External" Id="rId2"/><Relationship Type="http://schemas.openxmlformats.org/officeDocument/2006/relationships/hyperlink" Target="http://www.eagp.gob.hn/" TargetMode="External" Id="rId3"/><Relationship Type="http://schemas.openxmlformats.org/officeDocument/2006/relationships/hyperlink" Target="https://www.injuve.gob.hn/" TargetMode="External" Id="rId4"/><Relationship Type="http://schemas.openxmlformats.org/officeDocument/2006/relationships/hyperlink" Target="https://www.unah.edu.hn/" TargetMode="External" Id="rId5"/><Relationship Type="http://schemas.openxmlformats.org/officeDocument/2006/relationships/hyperlink" Target="https://www.upnfm.edu.hn/" TargetMode="External" Id="rId6"/><Relationship Type="http://schemas.openxmlformats.org/officeDocument/2006/relationships/hyperlink" Target="https://www.upnfm.edu.hn/" TargetMode="External" Id="rId7"/><Relationship Type="http://schemas.openxmlformats.org/officeDocument/2006/relationships/hyperlink" Target="https://unag.edu.hn/" TargetMode="External" Id="rId8"/><Relationship Type="http://schemas.openxmlformats.org/officeDocument/2006/relationships/hyperlink" Target="https://unag.edu.hn/" TargetMode="External" Id="rId9"/><Relationship Type="http://schemas.openxmlformats.org/officeDocument/2006/relationships/hyperlink" Target="https://udh.edu.hn/" TargetMode="External" Id="rId10"/><Relationship Type="http://schemas.openxmlformats.org/officeDocument/2006/relationships/hyperlink" Target="https://udh.edu.hn/" TargetMode="External" Id="rId11"/><Relationship Type="http://schemas.openxmlformats.org/officeDocument/2006/relationships/hyperlink" Target="https://unacifor.edu.hn/" TargetMode="External" Id="rId12"/><Relationship Type="http://schemas.openxmlformats.org/officeDocument/2006/relationships/hyperlink" Target="https://unacifor.edu.hn/" TargetMode="External" Id="rId13"/><Relationship Type="http://schemas.openxmlformats.org/officeDocument/2006/relationships/hyperlink" Target="https://unph.edu.hn/" TargetMode="External" Id="rId14"/><Relationship Type="http://schemas.openxmlformats.org/officeDocument/2006/relationships/hyperlink" Target="https://unph.edu.hn/" TargetMode="External" Id="rId15"/><Relationship Type="http://schemas.openxmlformats.org/officeDocument/2006/relationships/table" Target="/xl/tables/table4.xml" Id="rId1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css.gob.pa/contacto/" TargetMode="External" Id="rId1"/><Relationship Type="http://schemas.openxmlformats.org/officeDocument/2006/relationships/hyperlink" Target="https://www.css.gob.pa/contacto/" TargetMode="External" Id="rId2"/><Relationship Type="http://schemas.openxmlformats.org/officeDocument/2006/relationships/hyperlink" Target="https://www.inadeh.edu.pa/" TargetMode="External" Id="rId3"/><Relationship Type="http://schemas.openxmlformats.org/officeDocument/2006/relationships/hyperlink" Target="https://www.inadeh.edu.pa/" TargetMode="External" Id="rId4"/><Relationship Type="http://schemas.openxmlformats.org/officeDocument/2006/relationships/hyperlink" Target="https://www.inadeh.edu.pa/" TargetMode="External" Id="rId5"/><Relationship Type="http://schemas.openxmlformats.org/officeDocument/2006/relationships/hyperlink" Target="https://www.inadeh.edu.pa/" TargetMode="External" Id="rId6"/><Relationship Type="http://schemas.openxmlformats.org/officeDocument/2006/relationships/hyperlink" Target="https://www.inadeh.edu.pa/" TargetMode="External" Id="rId7"/><Relationship Type="http://schemas.openxmlformats.org/officeDocument/2006/relationships/hyperlink" Target="https://www.inadeh.edu.pa/" TargetMode="External" Id="rId8"/><Relationship Type="http://schemas.openxmlformats.org/officeDocument/2006/relationships/hyperlink" Target="https://www.inadeh.edu.pa/" TargetMode="External" Id="rId9"/><Relationship Type="http://schemas.openxmlformats.org/officeDocument/2006/relationships/hyperlink" Target="https://www.inadeh.edu.pa/" TargetMode="External" Id="rId10"/><Relationship Type="http://schemas.openxmlformats.org/officeDocument/2006/relationships/hyperlink" Target="https://www.inadeh.edu.pa/" TargetMode="External" Id="rId11"/><Relationship Type="http://schemas.openxmlformats.org/officeDocument/2006/relationships/hyperlink" Target="https://www.inadeh.edu.pa/" TargetMode="External" Id="rId12"/><Relationship Type="http://schemas.openxmlformats.org/officeDocument/2006/relationships/hyperlink" Target="https://www.inadeh.edu.pa/" TargetMode="External" Id="rId13"/><Relationship Type="http://schemas.openxmlformats.org/officeDocument/2006/relationships/hyperlink" Target="https://www.inadeh.edu.pa/" TargetMode="External" Id="rId14"/><Relationship Type="http://schemas.openxmlformats.org/officeDocument/2006/relationships/hyperlink" Target="https://www.inadeh.edu.pa/" TargetMode="External" Id="rId15"/><Relationship Type="http://schemas.openxmlformats.org/officeDocument/2006/relationships/hyperlink" Target="https://www.inadeh.edu.pa/" TargetMode="External" Id="rId16"/><Relationship Type="http://schemas.openxmlformats.org/officeDocument/2006/relationships/hyperlink" Target="https://www.inadeh.edu.pa/" TargetMode="External" Id="rId17"/><Relationship Type="http://schemas.openxmlformats.org/officeDocument/2006/relationships/hyperlink" Target="https://www.inadeh.edu.pa/" TargetMode="External" Id="rId18"/><Relationship Type="http://schemas.openxmlformats.org/officeDocument/2006/relationships/hyperlink" Target="https://www.inadeh.edu.pa/" TargetMode="External" Id="rId19"/><Relationship Type="http://schemas.openxmlformats.org/officeDocument/2006/relationships/hyperlink" Target="https://www.inadeh.edu.pa/" TargetMode="External" Id="rId20"/><Relationship Type="http://schemas.openxmlformats.org/officeDocument/2006/relationships/hyperlink" Target="https://www.inadeh.edu.pa/" TargetMode="External" Id="rId21"/><Relationship Type="http://schemas.openxmlformats.org/officeDocument/2006/relationships/hyperlink" Target="https://www.inadeh.edu.pa/" TargetMode="External" Id="rId22"/><Relationship Type="http://schemas.openxmlformats.org/officeDocument/2006/relationships/hyperlink" Target="https://www.inadeh.edu.pa/" TargetMode="External" Id="rId23"/><Relationship Type="http://schemas.openxmlformats.org/officeDocument/2006/relationships/hyperlink" Target="https://www.inadeh.edu.pa/" TargetMode="External" Id="rId24"/><Relationship Type="http://schemas.openxmlformats.org/officeDocument/2006/relationships/hyperlink" Target="https://www.inadeh.edu.pa/" TargetMode="External" Id="rId25"/><Relationship Type="http://schemas.openxmlformats.org/officeDocument/2006/relationships/hyperlink" Target="https://www.inadeh.edu.pa/" TargetMode="External" Id="rId26"/><Relationship Type="http://schemas.openxmlformats.org/officeDocument/2006/relationships/hyperlink" Target="https://www.inadeh.edu.pa/" TargetMode="External" Id="rId27"/><Relationship Type="http://schemas.openxmlformats.org/officeDocument/2006/relationships/hyperlink" Target="https://www.inadeh.edu.pa/" TargetMode="External" Id="rId28"/><Relationship Type="http://schemas.openxmlformats.org/officeDocument/2006/relationships/hyperlink" Target="https://www.inadeh.edu.pa/" TargetMode="External" Id="rId29"/><Relationship Type="http://schemas.openxmlformats.org/officeDocument/2006/relationships/hyperlink" Target="https://www.inadeh.edu.pa/" TargetMode="External" Id="rId30"/><Relationship Type="http://schemas.openxmlformats.org/officeDocument/2006/relationships/hyperlink" Target="https://www.inadeh.edu.pa/" TargetMode="External" Id="rId31"/><Relationship Type="http://schemas.openxmlformats.org/officeDocument/2006/relationships/hyperlink" Target="https://www.inadeh.edu.pa/" TargetMode="External" Id="rId32"/><Relationship Type="http://schemas.openxmlformats.org/officeDocument/2006/relationships/hyperlink" Target="https://www.inadeh.edu.pa/" TargetMode="External" Id="rId33"/><Relationship Type="http://schemas.openxmlformats.org/officeDocument/2006/relationships/hyperlink" Target="https://www.inadeh.edu.pa/" TargetMode="External" Id="rId34"/><Relationship Type="http://schemas.openxmlformats.org/officeDocument/2006/relationships/hyperlink" Target="https://www.inadeh.edu.pa/" TargetMode="External" Id="rId35"/><Relationship Type="http://schemas.openxmlformats.org/officeDocument/2006/relationships/hyperlink" Target="https://www.inadeh.edu.pa/" TargetMode="External" Id="rId36"/><Relationship Type="http://schemas.openxmlformats.org/officeDocument/2006/relationships/hyperlink" Target="https://www.inadeh.edu.pa/" TargetMode="External" Id="rId37"/><Relationship Type="http://schemas.openxmlformats.org/officeDocument/2006/relationships/hyperlink" Target="https://www.inadeh.edu.pa/" TargetMode="External" Id="rId38"/><Relationship Type="http://schemas.openxmlformats.org/officeDocument/2006/relationships/hyperlink" Target="https://www.inadeh.edu.pa/" TargetMode="External" Id="rId39"/><Relationship Type="http://schemas.openxmlformats.org/officeDocument/2006/relationships/hyperlink" Target="https://www.inadeh.edu.pa/" TargetMode="External" Id="rId40"/><Relationship Type="http://schemas.openxmlformats.org/officeDocument/2006/relationships/hyperlink" Target="https://www.inadeh.edu.pa/" TargetMode="External" Id="rId41"/><Relationship Type="http://schemas.openxmlformats.org/officeDocument/2006/relationships/hyperlink" Target="https://www.inadeh.edu.pa/" TargetMode="External" Id="rId42"/><Relationship Type="http://schemas.openxmlformats.org/officeDocument/2006/relationships/hyperlink" Target="https://www.inadeh.edu.pa/" TargetMode="External" Id="rId43"/><Relationship Type="http://schemas.openxmlformats.org/officeDocument/2006/relationships/hyperlink" Target="https://www.inadeh.edu.pa/" TargetMode="External" Id="rId44"/><Relationship Type="http://schemas.openxmlformats.org/officeDocument/2006/relationships/hyperlink" Target="https://www.inadeh.edu.pa/" TargetMode="External" Id="rId45"/><Relationship Type="http://schemas.openxmlformats.org/officeDocument/2006/relationships/hyperlink" Target="https://www.inadeh.edu.pa/" TargetMode="External" Id="rId46"/><Relationship Type="http://schemas.openxmlformats.org/officeDocument/2006/relationships/hyperlink" Target="https://www.inadeh.edu.pa/" TargetMode="External" Id="rId47"/><Relationship Type="http://schemas.openxmlformats.org/officeDocument/2006/relationships/hyperlink" Target="https://www.inadeh.edu.pa/" TargetMode="External" Id="rId48"/><Relationship Type="http://schemas.openxmlformats.org/officeDocument/2006/relationships/hyperlink" Target="https://www.up.ac.pa/" TargetMode="External" Id="rId49"/><Relationship Type="http://schemas.openxmlformats.org/officeDocument/2006/relationships/hyperlink" Target="https://www.up.ac.pa/contactenos" TargetMode="External" Id="rId50"/><Relationship Type="http://schemas.openxmlformats.org/officeDocument/2006/relationships/hyperlink" Target="https://utp.ac.pa/" TargetMode="External" Id="rId51"/><Relationship Type="http://schemas.openxmlformats.org/officeDocument/2006/relationships/hyperlink" Target="https://utp.ac.pa/sites/default/files/documentos/2026/pdf/utp-sg-copia-documentos.pdf" TargetMode="External" Id="rId52"/><Relationship Type="http://schemas.openxmlformats.org/officeDocument/2006/relationships/hyperlink" Target="https://www.unachi.ac.pa/" TargetMode="External" Id="rId53"/><Relationship Type="http://schemas.openxmlformats.org/officeDocument/2006/relationships/hyperlink" Target="https://www.udelas.ac.pa/" TargetMode="External" Id="rId54"/><Relationship Type="http://schemas.openxmlformats.org/officeDocument/2006/relationships/hyperlink" Target="https://www.udelas.ac.pa/directorio-telefonico/" TargetMode="External" Id="rId55"/><Relationship Type="http://schemas.openxmlformats.org/officeDocument/2006/relationships/hyperlink" Target="https://www.umip.ac.pa/" TargetMode="External" Id="rId56"/><Relationship Type="http://schemas.openxmlformats.org/officeDocument/2006/relationships/hyperlink" Target="https://www.umip.ac.pa/facina.php" TargetMode="External" Id="rId57"/><Relationship Type="http://schemas.openxmlformats.org/officeDocument/2006/relationships/table" Target="/xl/tables/table5.xml" Id="rId5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b.mx/issfam" TargetMode="External" Id="rId1"/><Relationship Type="http://schemas.openxmlformats.org/officeDocument/2006/relationships/hyperlink" Target="https://www.gob.mx/issste" TargetMode="External" Id="rId2"/><Relationship Type="http://schemas.openxmlformats.org/officeDocument/2006/relationships/hyperlink" Target="http://gob.mx/" TargetMode="External" Id="rId3"/><Relationship Type="http://schemas.openxmlformats.org/officeDocument/2006/relationships/hyperlink" Target="https://www.pensionissste.gob.mx/" TargetMode="External" Id="rId4"/><Relationship Type="http://schemas.openxmlformats.org/officeDocument/2006/relationships/hyperlink" Target="https://www.gob.mx/pensionissste" TargetMode="External" Id="rId5"/><Relationship Type="http://schemas.openxmlformats.org/officeDocument/2006/relationships/hyperlink" Target="https://www.gob.mx/issste" TargetMode="External" Id="rId6"/><Relationship Type="http://schemas.openxmlformats.org/officeDocument/2006/relationships/hyperlink" Target="https://www.gob.mx/issste" TargetMode="External" Id="rId7"/><Relationship Type="http://schemas.openxmlformats.org/officeDocument/2006/relationships/hyperlink" Target="https://www.infonavit.org.mx" TargetMode="External" Id="rId8"/><Relationship Type="http://schemas.openxmlformats.org/officeDocument/2006/relationships/hyperlink" Target="https://portalmx.infonavit.org.mx/wps/portal/infonavitmx/mx2/contactanos/!ut/p/z1/lZBbb4JAEIV_Da_M4eKy-LaR0KoRIVal-9JgQ1cSYA2g_P3S1Be8NOm8zeT7ciaHJKUk6-xSqKwrdJ2Vw_4u2Qd7AV5nrhWtvXCGJJywzQox8ObQfgzwHRdIIj-yl8yxF8Ij-S__Hvjx8WQEBl-OI24_YFfA9wPXWnLYsRUByS6xgnngYQL3CvwRsiCpSn347UPUB4crkk3-lTd5Y56b4XzsulM7NWCg73tTaa3K3PzUlYFHylG3HaVjkk7VNkURV3veim8hsLP6/dz/d5/L2dBISEvZ0FBIS9nQSEh/" TargetMode="External" Id="rId9"/><Relationship Type="http://schemas.openxmlformats.org/officeDocument/2006/relationships/hyperlink" Target="https://www.gob.mx/consar" TargetMode="External" Id="rId10"/><Relationship Type="http://schemas.openxmlformats.org/officeDocument/2006/relationships/hyperlink" Target="https://www.gob.mx/consar" TargetMode="External" Id="rId11"/><Relationship Type="http://schemas.openxmlformats.org/officeDocument/2006/relationships/hyperlink" Target="https://www.gob.mx/cnsf" TargetMode="External" Id="rId12"/><Relationship Type="http://schemas.openxmlformats.org/officeDocument/2006/relationships/hyperlink" Target="https://www.gob.mx/cnsf" TargetMode="External" Id="rId13"/><Relationship Type="http://schemas.openxmlformats.org/officeDocument/2006/relationships/hyperlink" Target="https://mexico.techo.org/" TargetMode="External" Id="rId14"/><Relationship Type="http://schemas.openxmlformats.org/officeDocument/2006/relationships/hyperlink" Target="http://mexico.techo.org/contacto" TargetMode="External" Id="rId15"/><Relationship Type="http://schemas.openxmlformats.org/officeDocument/2006/relationships/hyperlink" Target="https://ollinac.org" TargetMode="External" Id="rId16"/><Relationship Type="http://schemas.openxmlformats.org/officeDocument/2006/relationships/hyperlink" Target="https://inap.mx/oferta-academica/" TargetMode="External" Id="rId17"/><Relationship Type="http://schemas.openxmlformats.org/officeDocument/2006/relationships/hyperlink" Target="https://inap.mx/" TargetMode="External" Id="rId18"/><Relationship Type="http://schemas.openxmlformats.org/officeDocument/2006/relationships/hyperlink" Target="https://www.conalep.edu.mx/directorio-colegios-estatales" TargetMode="External" Id="rId19"/><Relationship Type="http://schemas.openxmlformats.org/officeDocument/2006/relationships/hyperlink" Target="https://www.conalep.edu.mx/directorio-colegios-estatales" TargetMode="External" Id="rId20"/><Relationship Type="http://schemas.openxmlformats.org/officeDocument/2006/relationships/hyperlink" Target="https://www.conalep.edu.mx/directorio-colegios-estatales" TargetMode="External" Id="rId21"/><Relationship Type="http://schemas.openxmlformats.org/officeDocument/2006/relationships/hyperlink" Target="https://www.conalep.edu.mx/directorio-colegios-estatales" TargetMode="External" Id="rId22"/><Relationship Type="http://schemas.openxmlformats.org/officeDocument/2006/relationships/hyperlink" Target="https://www.conalep.edu.mx/directorio-colegios-estatales" TargetMode="External" Id="rId23"/><Relationship Type="http://schemas.openxmlformats.org/officeDocument/2006/relationships/hyperlink" Target="https://www.conalep.edu.mx/directorio-colegios-estatales" TargetMode="External" Id="rId24"/><Relationship Type="http://schemas.openxmlformats.org/officeDocument/2006/relationships/hyperlink" Target="https://www.conalep.edu.mx/directorio-colegios-estatales" TargetMode="External" Id="rId25"/><Relationship Type="http://schemas.openxmlformats.org/officeDocument/2006/relationships/hyperlink" Target="https://www.conalep.edu.mx/directorio-colegios-estatales" TargetMode="External" Id="rId26"/><Relationship Type="http://schemas.openxmlformats.org/officeDocument/2006/relationships/hyperlink" Target="https://www.conalep.edu.mx/directorio-colegios-estatales" TargetMode="External" Id="rId27"/><Relationship Type="http://schemas.openxmlformats.org/officeDocument/2006/relationships/hyperlink" Target="https://www.conalep.edu.mx/directorio-colegios-estatales" TargetMode="External" Id="rId28"/><Relationship Type="http://schemas.openxmlformats.org/officeDocument/2006/relationships/hyperlink" Target="https://www.conalep.edu.mx/directorio-colegios-estatales" TargetMode="External" Id="rId29"/><Relationship Type="http://schemas.openxmlformats.org/officeDocument/2006/relationships/hyperlink" Target="https://www.conalep.edu.mx/directorio-colegios-estatales" TargetMode="External" Id="rId30"/><Relationship Type="http://schemas.openxmlformats.org/officeDocument/2006/relationships/hyperlink" Target="https://www.conalep.edu.mx/directorio-colegios-estatales" TargetMode="External" Id="rId31"/><Relationship Type="http://schemas.openxmlformats.org/officeDocument/2006/relationships/hyperlink" Target="https://www.conalep.edu.mx/directorio-colegios-estatales" TargetMode="External" Id="rId32"/><Relationship Type="http://schemas.openxmlformats.org/officeDocument/2006/relationships/hyperlink" Target="https://www.conalep.edu.mx/directorio-colegios-estatales" TargetMode="External" Id="rId33"/><Relationship Type="http://schemas.openxmlformats.org/officeDocument/2006/relationships/hyperlink" Target="https://www.conalep.edu.mx/directorio-colegios-estatales" TargetMode="External" Id="rId34"/><Relationship Type="http://schemas.openxmlformats.org/officeDocument/2006/relationships/hyperlink" Target="https://www.conalep.edu.mx/directorio-colegios-estatales" TargetMode="External" Id="rId35"/><Relationship Type="http://schemas.openxmlformats.org/officeDocument/2006/relationships/hyperlink" Target="https://www.conalep.edu.mx/directorio-colegios-estatales" TargetMode="External" Id="rId36"/><Relationship Type="http://schemas.openxmlformats.org/officeDocument/2006/relationships/hyperlink" Target="https://www.conalep.edu.mx/directorio-colegios-estatales" TargetMode="External" Id="rId37"/><Relationship Type="http://schemas.openxmlformats.org/officeDocument/2006/relationships/hyperlink" Target="https://www.conalep.edu.mx/directorio-colegios-estatales" TargetMode="External" Id="rId38"/><Relationship Type="http://schemas.openxmlformats.org/officeDocument/2006/relationships/hyperlink" Target="https://www.conalep.edu.mx/directorio-colegios-estatales" TargetMode="External" Id="rId39"/><Relationship Type="http://schemas.openxmlformats.org/officeDocument/2006/relationships/hyperlink" Target="https://www.conalep.edu.mx/directorio-colegios-estatales" TargetMode="External" Id="rId40"/><Relationship Type="http://schemas.openxmlformats.org/officeDocument/2006/relationships/hyperlink" Target="https://www.conalep.edu.mx/directorio-colegios-estatales" TargetMode="External" Id="rId41"/><Relationship Type="http://schemas.openxmlformats.org/officeDocument/2006/relationships/hyperlink" Target="https://www.conalep.edu.mx/directorio-colegios-estatales" TargetMode="External" Id="rId42"/><Relationship Type="http://schemas.openxmlformats.org/officeDocument/2006/relationships/hyperlink" Target="https://www.conalep.edu.mx/directorio-colegios-estatales" TargetMode="External" Id="rId43"/><Relationship Type="http://schemas.openxmlformats.org/officeDocument/2006/relationships/hyperlink" Target="https://www.conalep.edu.mx/directorio-colegios-estatales" TargetMode="External" Id="rId44"/><Relationship Type="http://schemas.openxmlformats.org/officeDocument/2006/relationships/hyperlink" Target="https://www.conalep.edu.mx/directorio-colegios-estatales" TargetMode="External" Id="rId45"/><Relationship Type="http://schemas.openxmlformats.org/officeDocument/2006/relationships/hyperlink" Target="https://www.conalep.edu.mx/directorio-colegios-estatales" TargetMode="External" Id="rId46"/><Relationship Type="http://schemas.openxmlformats.org/officeDocument/2006/relationships/hyperlink" Target="https://www.conalep.edu.mx/directorio-colegios-estatales" TargetMode="External" Id="rId47"/><Relationship Type="http://schemas.openxmlformats.org/officeDocument/2006/relationships/hyperlink" Target="https://www.conalep.edu.mx/directorio-colegios-estatales" TargetMode="External" Id="rId48"/><Relationship Type="http://schemas.openxmlformats.org/officeDocument/2006/relationships/hyperlink" Target="https://www.conalep.edu.mx/directorio-colegios-estatales" TargetMode="External" Id="rId49"/><Relationship Type="http://schemas.openxmlformats.org/officeDocument/2006/relationships/hyperlink" Target="https://www.conalep.edu.mx/directorio-colegios-estatales" TargetMode="External" Id="rId50"/><Relationship Type="http://schemas.openxmlformats.org/officeDocument/2006/relationships/hyperlink" Target="https://www.conalep.edu.mx/directorio-colegios-estatales" TargetMode="External" Id="rId51"/><Relationship Type="http://schemas.openxmlformats.org/officeDocument/2006/relationships/hyperlink" Target="https://www.conalep.edu.mx/directorio-colegios-estatales" TargetMode="External" Id="rId52"/><Relationship Type="http://schemas.openxmlformats.org/officeDocument/2006/relationships/hyperlink" Target="https://www.conalep.edu.mx/directorio-colegios-estatales" TargetMode="External" Id="rId53"/><Relationship Type="http://schemas.openxmlformats.org/officeDocument/2006/relationships/hyperlink" Target="https://www.conalep.edu.mx/directorio-colegios-estatales" TargetMode="External" Id="rId54"/><Relationship Type="http://schemas.openxmlformats.org/officeDocument/2006/relationships/hyperlink" Target="https://www.conalep.edu.mx/directorio-colegios-estatales" TargetMode="External" Id="rId55"/><Relationship Type="http://schemas.openxmlformats.org/officeDocument/2006/relationships/hyperlink" Target="https://www.conalep.edu.mx/directorio-colegios-estatales" TargetMode="External" Id="rId56"/><Relationship Type="http://schemas.openxmlformats.org/officeDocument/2006/relationships/hyperlink" Target="https://www.conalep.edu.mx/directorio-colegios-estatales" TargetMode="External" Id="rId57"/><Relationship Type="http://schemas.openxmlformats.org/officeDocument/2006/relationships/hyperlink" Target="https://www.conalep.edu.mx/directorio-colegios-estatales" TargetMode="External" Id="rId58"/><Relationship Type="http://schemas.openxmlformats.org/officeDocument/2006/relationships/hyperlink" Target="https://www.conalep.edu.mx/directorio-colegios-estatales" TargetMode="External" Id="rId59"/><Relationship Type="http://schemas.openxmlformats.org/officeDocument/2006/relationships/hyperlink" Target="https://www.conalep.edu.mx/directorio-colegios-estatales" TargetMode="External" Id="rId60"/><Relationship Type="http://schemas.openxmlformats.org/officeDocument/2006/relationships/hyperlink" Target="https://www.conalep.edu.mx/directorio-colegios-estatales" TargetMode="External" Id="rId61"/><Relationship Type="http://schemas.openxmlformats.org/officeDocument/2006/relationships/hyperlink" Target="https://www.conalep.edu.mx/directorio-colegios-estatales" TargetMode="External" Id="rId62"/><Relationship Type="http://schemas.openxmlformats.org/officeDocument/2006/relationships/hyperlink" Target="https://www.conalep.edu.mx/directorio-colegios-estatales" TargetMode="External" Id="rId63"/><Relationship Type="http://schemas.openxmlformats.org/officeDocument/2006/relationships/hyperlink" Target="https://www.conalep.edu.mx/directorio-colegios-estatales" TargetMode="External" Id="rId64"/><Relationship Type="http://schemas.openxmlformats.org/officeDocument/2006/relationships/hyperlink" Target="https://www.conalep.edu.mx/directorio-colegios-estatales" TargetMode="External" Id="rId65"/><Relationship Type="http://schemas.openxmlformats.org/officeDocument/2006/relationships/hyperlink" Target="https://www.conalep.edu.mx/directorio-colegios-estatales" TargetMode="External" Id="rId66"/><Relationship Type="http://schemas.openxmlformats.org/officeDocument/2006/relationships/hyperlink" Target="https://www.conalep.edu.mx/directorio-colegios-estatales" TargetMode="External" Id="rId67"/><Relationship Type="http://schemas.openxmlformats.org/officeDocument/2006/relationships/hyperlink" Target="https://www.conalep.edu.mx/directorio-colegios-estatales" TargetMode="External" Id="rId68"/><Relationship Type="http://schemas.openxmlformats.org/officeDocument/2006/relationships/hyperlink" Target="https://www.conalep.edu.mx/directorio-colegios-estatales" TargetMode="External" Id="rId69"/><Relationship Type="http://schemas.openxmlformats.org/officeDocument/2006/relationships/hyperlink" Target="https://www.conalep.edu.mx/directorio-colegios-estatales" TargetMode="External" Id="rId70"/><Relationship Type="http://schemas.openxmlformats.org/officeDocument/2006/relationships/hyperlink" Target="https://www.conalep.edu.mx/directorio-colegios-estatales" TargetMode="External" Id="rId71"/><Relationship Type="http://schemas.openxmlformats.org/officeDocument/2006/relationships/hyperlink" Target="https://www.conalep.edu.mx/directorio-colegios-estatales" TargetMode="External" Id="rId72"/><Relationship Type="http://schemas.openxmlformats.org/officeDocument/2006/relationships/hyperlink" Target="https://www.conalep.edu.mx/directorio-colegios-estatales" TargetMode="External" Id="rId73"/><Relationship Type="http://schemas.openxmlformats.org/officeDocument/2006/relationships/hyperlink" Target="https://www.conalep.edu.mx/directorio-colegios-estatales" TargetMode="External" Id="rId74"/><Relationship Type="http://schemas.openxmlformats.org/officeDocument/2006/relationships/hyperlink" Target="https://www.conalep.edu.mx/directorio-colegios-estatales" TargetMode="External" Id="rId75"/><Relationship Type="http://schemas.openxmlformats.org/officeDocument/2006/relationships/hyperlink" Target="https://www.conalep.edu.mx/directorio-colegios-estatales" TargetMode="External" Id="rId76"/><Relationship Type="http://schemas.openxmlformats.org/officeDocument/2006/relationships/hyperlink" Target="https://www.conalep.edu.mx/directorio-colegios-estatales" TargetMode="External" Id="rId77"/><Relationship Type="http://schemas.openxmlformats.org/officeDocument/2006/relationships/hyperlink" Target="https://www.conalep.edu.mx/directorio-colegios-estatales" TargetMode="External" Id="rId78"/><Relationship Type="http://schemas.openxmlformats.org/officeDocument/2006/relationships/hyperlink" Target="https://www.conalep.edu.mx/directorio-colegios-estatales" TargetMode="External" Id="rId79"/><Relationship Type="http://schemas.openxmlformats.org/officeDocument/2006/relationships/hyperlink" Target="https://www.conalep.edu.mx/directorio-colegios-estatales" TargetMode="External" Id="rId80"/><Relationship Type="http://schemas.openxmlformats.org/officeDocument/2006/relationships/hyperlink" Target="https://www.conalep.edu.mx/directorio-colegios-estatales" TargetMode="External" Id="rId81"/><Relationship Type="http://schemas.openxmlformats.org/officeDocument/2006/relationships/hyperlink" Target="https://www.conalep.edu.mx/directorio-colegios-estatales" TargetMode="External" Id="rId82"/><Relationship Type="http://schemas.openxmlformats.org/officeDocument/2006/relationships/hyperlink" Target="https://ctmoficial.org" TargetMode="External" Id="rId83"/><Relationship Type="http://schemas.openxmlformats.org/officeDocument/2006/relationships/hyperlink" Target="http://ctmoficial.org/contacto" TargetMode="External" Id="rId84"/><Relationship Type="http://schemas.openxmlformats.org/officeDocument/2006/relationships/hyperlink" Target="https://www.croc.org.mx" TargetMode="External" Id="rId85"/><Relationship Type="http://schemas.openxmlformats.org/officeDocument/2006/relationships/hyperlink" Target="http://croc.org.mx/" TargetMode="External" Id="rId86"/><Relationship Type="http://schemas.openxmlformats.org/officeDocument/2006/relationships/hyperlink" Target="https://cc.crom.org.mx/" TargetMode="External" Id="rId87"/><Relationship Type="http://schemas.openxmlformats.org/officeDocument/2006/relationships/hyperlink" Target="https://cc.crom.org.mx/" TargetMode="External" Id="rId88"/><Relationship Type="http://schemas.openxmlformats.org/officeDocument/2006/relationships/hyperlink" Target="http://facebook.com/UnionNacionaldeTrabajadores" TargetMode="External" Id="rId89"/><Relationship Type="http://schemas.openxmlformats.org/officeDocument/2006/relationships/hyperlink" Target="http://www.uaa.mx" TargetMode="External" Id="rId90"/><Relationship Type="http://schemas.openxmlformats.org/officeDocument/2006/relationships/hyperlink" Target="http://uaa.mx/portal/noticias/uaa-impulsa-a-empresas-y-organizaciones-con-servicios-profesionales-de-comunicacion/" TargetMode="External" Id="rId91"/><Relationship Type="http://schemas.openxmlformats.org/officeDocument/2006/relationships/hyperlink" Target="http://www.uabc.mx" TargetMode="External" Id="rId92"/><Relationship Type="http://schemas.openxmlformats.org/officeDocument/2006/relationships/hyperlink" Target="http://www.uabcs.mx" TargetMode="External" Id="rId93"/><Relationship Type="http://schemas.openxmlformats.org/officeDocument/2006/relationships/hyperlink" Target="http://uabcs.mx/dvrii" TargetMode="External" Id="rId94"/><Relationship Type="http://schemas.openxmlformats.org/officeDocument/2006/relationships/hyperlink" Target="http://www.uacam.mx" TargetMode="External" Id="rId95"/><Relationship Type="http://schemas.openxmlformats.org/officeDocument/2006/relationships/hyperlink" Target="http://www.unach.mx" TargetMode="External" Id="rId96"/><Relationship Type="http://schemas.openxmlformats.org/officeDocument/2006/relationships/hyperlink" Target="http://unach.mx/17-vinculacion" TargetMode="External" Id="rId97"/><Relationship Type="http://schemas.openxmlformats.org/officeDocument/2006/relationships/hyperlink" Target="http://www.uach.mx" TargetMode="External" Id="rId98"/><Relationship Type="http://schemas.openxmlformats.org/officeDocument/2006/relationships/hyperlink" Target="http://www.uadec.mx" TargetMode="External" Id="rId99"/><Relationship Type="http://schemas.openxmlformats.org/officeDocument/2006/relationships/hyperlink" Target="https://www2.uadec.mx/pub/directorio/" TargetMode="External" Id="rId100"/><Relationship Type="http://schemas.openxmlformats.org/officeDocument/2006/relationships/hyperlink" Target="http://www.ucol.mx" TargetMode="External" Id="rId101"/><Relationship Type="http://schemas.openxmlformats.org/officeDocument/2006/relationships/hyperlink" Target="http://www.ujed.mx" TargetMode="External" Id="rId102"/><Relationship Type="http://schemas.openxmlformats.org/officeDocument/2006/relationships/hyperlink" Target="https://www.ugto.mx/internacional/" TargetMode="External" Id="rId103"/><Relationship Type="http://schemas.openxmlformats.org/officeDocument/2006/relationships/hyperlink" Target="http://www.uagro.mx" TargetMode="External" Id="rId104"/><Relationship Type="http://schemas.openxmlformats.org/officeDocument/2006/relationships/hyperlink" Target="http://www.uaeh.edu.mx" TargetMode="External" Id="rId105"/><Relationship Type="http://schemas.openxmlformats.org/officeDocument/2006/relationships/hyperlink" Target="http://www.udg.mx" TargetMode="External" Id="rId106"/><Relationship Type="http://schemas.openxmlformats.org/officeDocument/2006/relationships/hyperlink" Target="http://www.uaemex.mx" TargetMode="External" Id="rId107"/><Relationship Type="http://schemas.openxmlformats.org/officeDocument/2006/relationships/hyperlink" Target="http://www.uaemex.mx" TargetMode="External" Id="rId108"/><Relationship Type="http://schemas.openxmlformats.org/officeDocument/2006/relationships/hyperlink" Target="http://www.umich.mx" TargetMode="External" Id="rId109"/><Relationship Type="http://schemas.openxmlformats.org/officeDocument/2006/relationships/hyperlink" Target="http://www.umich.mx" TargetMode="External" Id="rId110"/><Relationship Type="http://schemas.openxmlformats.org/officeDocument/2006/relationships/hyperlink" Target="http://www.uaem.mx" TargetMode="External" Id="rId111"/><Relationship Type="http://schemas.openxmlformats.org/officeDocument/2006/relationships/hyperlink" Target="http://www.uaem.mx" TargetMode="External" Id="rId112"/><Relationship Type="http://schemas.openxmlformats.org/officeDocument/2006/relationships/hyperlink" Target="http://www.uan.edu.mx" TargetMode="External" Id="rId113"/><Relationship Type="http://schemas.openxmlformats.org/officeDocument/2006/relationships/hyperlink" Target="http://www.uan.edu.mx" TargetMode="External" Id="rId114"/><Relationship Type="http://schemas.openxmlformats.org/officeDocument/2006/relationships/hyperlink" Target="http://www.uanl.mx" TargetMode="External" Id="rId115"/><Relationship Type="http://schemas.openxmlformats.org/officeDocument/2006/relationships/hyperlink" Target="http://www.uanl.mx/" TargetMode="External" Id="rId116"/><Relationship Type="http://schemas.openxmlformats.org/officeDocument/2006/relationships/hyperlink" Target="http://www.uabjo.mx" TargetMode="External" Id="rId117"/><Relationship Type="http://schemas.openxmlformats.org/officeDocument/2006/relationships/hyperlink" Target="http://uabjo.mx/contacto" TargetMode="External" Id="rId118"/><Relationship Type="http://schemas.openxmlformats.org/officeDocument/2006/relationships/hyperlink" Target="http://www.buap.mx" TargetMode="External" Id="rId119"/><Relationship Type="http://schemas.openxmlformats.org/officeDocument/2006/relationships/hyperlink" Target="http://www.uaq.mx" TargetMode="External" Id="rId120"/><Relationship Type="http://schemas.openxmlformats.org/officeDocument/2006/relationships/hyperlink" Target="http://rectoria.uaq.mx" TargetMode="External" Id="rId121"/><Relationship Type="http://schemas.openxmlformats.org/officeDocument/2006/relationships/hyperlink" Target="http://www.uqroo.mx" TargetMode="External" Id="rId122"/><Relationship Type="http://schemas.openxmlformats.org/officeDocument/2006/relationships/hyperlink" Target="http://vinculacion.uqroo.mx/" TargetMode="External" Id="rId123"/><Relationship Type="http://schemas.openxmlformats.org/officeDocument/2006/relationships/hyperlink" Target="http://www.uaslp.mx" TargetMode="External" Id="rId124"/><Relationship Type="http://schemas.openxmlformats.org/officeDocument/2006/relationships/hyperlink" Target="http://uaslp.mx/" TargetMode="External" Id="rId125"/><Relationship Type="http://schemas.openxmlformats.org/officeDocument/2006/relationships/hyperlink" Target="http://www.uas.edu.mx" TargetMode="External" Id="rId126"/><Relationship Type="http://schemas.openxmlformats.org/officeDocument/2006/relationships/hyperlink" Target="http://uas.edu.mx/" TargetMode="External" Id="rId127"/><Relationship Type="http://schemas.openxmlformats.org/officeDocument/2006/relationships/hyperlink" Target="http://www.unison.mx" TargetMode="External" Id="rId128"/><Relationship Type="http://schemas.openxmlformats.org/officeDocument/2006/relationships/hyperlink" Target="http://vinculacionyextension.unison.mx/directorio" TargetMode="External" Id="rId129"/><Relationship Type="http://schemas.openxmlformats.org/officeDocument/2006/relationships/hyperlink" Target="http://www.ujat.mx" TargetMode="External" Id="rId130"/><Relationship Type="http://schemas.openxmlformats.org/officeDocument/2006/relationships/hyperlink" Target="http://www.uat.edu.mx/" TargetMode="External" Id="rId131"/><Relationship Type="http://schemas.openxmlformats.org/officeDocument/2006/relationships/hyperlink" Target="http://uat.edu.mx" TargetMode="External" Id="rId132"/><Relationship Type="http://schemas.openxmlformats.org/officeDocument/2006/relationships/hyperlink" Target="http://www.uatx.mx" TargetMode="External" Id="rId133"/><Relationship Type="http://schemas.openxmlformats.org/officeDocument/2006/relationships/hyperlink" Target="http://www.uv.mx" TargetMode="External" Id="rId134"/><Relationship Type="http://schemas.openxmlformats.org/officeDocument/2006/relationships/hyperlink" Target="http://www.uady.mx" TargetMode="External" Id="rId135"/><Relationship Type="http://schemas.openxmlformats.org/officeDocument/2006/relationships/hyperlink" Target="http://www.uaz.edu.mx" TargetMode="External" Id="rId136"/><Relationship Type="http://schemas.openxmlformats.org/officeDocument/2006/relationships/hyperlink" Target="http://www.uacm.edu.mx" TargetMode="External" Id="rId137"/><Relationship Type="http://schemas.openxmlformats.org/officeDocument/2006/relationships/hyperlink" Target="http://uacm.edu.mx/" TargetMode="External" Id="rId138"/><Relationship Type="http://schemas.openxmlformats.org/officeDocument/2006/relationships/hyperlink" Target="https://upa.edu.mx/" TargetMode="External" Id="rId139"/><Relationship Type="http://schemas.openxmlformats.org/officeDocument/2006/relationships/hyperlink" Target="https://sii.upa.edu.mx/general/contacto.php" TargetMode="External" Id="rId140"/><Relationship Type="http://schemas.openxmlformats.org/officeDocument/2006/relationships/hyperlink" Target="https://www.utags.edu.mx/" TargetMode="External" Id="rId141"/><Relationship Type="http://schemas.openxmlformats.org/officeDocument/2006/relationships/hyperlink" Target="https://www.utags.edu.mx/" TargetMode="External" Id="rId142"/><Relationship Type="http://schemas.openxmlformats.org/officeDocument/2006/relationships/hyperlink" Target="https://www.utcalvillo.edu.mx/" TargetMode="External" Id="rId143"/><Relationship Type="http://schemas.openxmlformats.org/officeDocument/2006/relationships/hyperlink" Target="https://www.utcalvillo.edu.mx/contacto" TargetMode="External" Id="rId144"/><Relationship Type="http://schemas.openxmlformats.org/officeDocument/2006/relationships/hyperlink" Target="https://www.utna.edu.mx/" TargetMode="External" Id="rId145"/><Relationship Type="http://schemas.openxmlformats.org/officeDocument/2006/relationships/hyperlink" Target="https://www.utna.edu.mx/" TargetMode="External" Id="rId146"/><Relationship Type="http://schemas.openxmlformats.org/officeDocument/2006/relationships/hyperlink" Target="https://www.utr.edu.mx/" TargetMode="External" Id="rId147"/><Relationship Type="http://schemas.openxmlformats.org/officeDocument/2006/relationships/hyperlink" Target="https://www.utr.edu.mx/" TargetMode="External" Id="rId148"/><Relationship Type="http://schemas.openxmlformats.org/officeDocument/2006/relationships/hyperlink" Target="https://www.unacar.mx/" TargetMode="External" Id="rId149"/><Relationship Type="http://schemas.openxmlformats.org/officeDocument/2006/relationships/hyperlink" Target="https://www.unacar.mx/" TargetMode="External" Id="rId150"/><Relationship Type="http://schemas.openxmlformats.org/officeDocument/2006/relationships/hyperlink" Target="https://www.unicach.mx/" TargetMode="External" Id="rId151"/><Relationship Type="http://schemas.openxmlformats.org/officeDocument/2006/relationships/hyperlink" Target="https://www.unicach.mx/" TargetMode="External" Id="rId152"/><Relationship Type="http://schemas.openxmlformats.org/officeDocument/2006/relationships/hyperlink" Target="https://www.upchiapas.edu.mx/" TargetMode="External" Id="rId153"/><Relationship Type="http://schemas.openxmlformats.org/officeDocument/2006/relationships/hyperlink" Target="https://www.upchiapas.edu.mx/" TargetMode="External" Id="rId154"/><Relationship Type="http://schemas.openxmlformats.org/officeDocument/2006/relationships/hyperlink" Target="https://www.uacj.mx/" TargetMode="External" Id="rId155"/><Relationship Type="http://schemas.openxmlformats.org/officeDocument/2006/relationships/hyperlink" Target="https://www.uacj.mx/" TargetMode="External" Id="rId156"/><Relationship Type="http://schemas.openxmlformats.org/officeDocument/2006/relationships/hyperlink" Target="https://www.utch.edu.mx/" TargetMode="External" Id="rId157"/><Relationship Type="http://schemas.openxmlformats.org/officeDocument/2006/relationships/hyperlink" Target="https://www.utch.edu.mx/" TargetMode="External" Id="rId158"/><Relationship Type="http://schemas.openxmlformats.org/officeDocument/2006/relationships/hyperlink" Target="https://www.utchsur.edu.mx/" TargetMode="External" Id="rId159"/><Relationship Type="http://schemas.openxmlformats.org/officeDocument/2006/relationships/hyperlink" Target="mailto:direccionacademica@utchsur.edu.mx" TargetMode="External" Id="rId160"/><Relationship Type="http://schemas.openxmlformats.org/officeDocument/2006/relationships/hyperlink" Target="https://www.utchsur.edu.mx/" TargetMode="External" Id="rId161"/><Relationship Type="http://schemas.openxmlformats.org/officeDocument/2006/relationships/hyperlink" Target="https://www.upchihuahua.edu.mx/" TargetMode="External" Id="rId162"/><Relationship Type="http://schemas.openxmlformats.org/officeDocument/2006/relationships/hyperlink" Target="https://www.upchihuahua.edu.mx/" TargetMode="External" Id="rId163"/><Relationship Type="http://schemas.openxmlformats.org/officeDocument/2006/relationships/hyperlink" Target="https://www.utparral.edu.mx/" TargetMode="External" Id="rId164"/><Relationship Type="http://schemas.openxmlformats.org/officeDocument/2006/relationships/hyperlink" Target="https://www.utparral.edu.mx/" TargetMode="External" Id="rId165"/><Relationship Type="http://schemas.openxmlformats.org/officeDocument/2006/relationships/hyperlink" Target="https://www.uam.mx/" TargetMode="External" Id="rId166"/><Relationship Type="http://schemas.openxmlformats.org/officeDocument/2006/relationships/hyperlink" Target="https://rectoria.uam.mx/sg.html" TargetMode="External" Id="rId167"/><Relationship Type="http://schemas.openxmlformats.org/officeDocument/2006/relationships/hyperlink" Target="https://www.unam.mx/" TargetMode="External" Id="rId168"/><Relationship Type="http://schemas.openxmlformats.org/officeDocument/2006/relationships/hyperlink" Target="https://www.aragon.unam.mx/" TargetMode="External" Id="rId169"/><Relationship Type="http://schemas.openxmlformats.org/officeDocument/2006/relationships/hyperlink" Target="https://www.upn.mx/" TargetMode="External" Id="rId170"/><Relationship Type="http://schemas.openxmlformats.org/officeDocument/2006/relationships/hyperlink" Target="https://bienestar.upn.edu.co/contactenos-sbu/" TargetMode="External" Id="rId171"/><Relationship Type="http://schemas.openxmlformats.org/officeDocument/2006/relationships/hyperlink" Target="https://www.rcastellanos.cdmx.gob.mx/" TargetMode="External" Id="rId172"/><Relationship Type="http://schemas.openxmlformats.org/officeDocument/2006/relationships/hyperlink" Target="https://sites.google.com/rcastellanos.cdmx.gob.mx/deae/inicio" TargetMode="External" Id="rId173"/><Relationship Type="http://schemas.openxmlformats.org/officeDocument/2006/relationships/hyperlink" Target="https://www.uaaan.edu.mx/" TargetMode="External" Id="rId174"/><Relationship Type="http://schemas.openxmlformats.org/officeDocument/2006/relationships/hyperlink" Target="https://www.uaaan.edu.mx/" TargetMode="External" Id="rId175"/><Relationship Type="http://schemas.openxmlformats.org/officeDocument/2006/relationships/hyperlink" Target="https://utc.edu.mx/" TargetMode="External" Id="rId176"/><Relationship Type="http://schemas.openxmlformats.org/officeDocument/2006/relationships/hyperlink" Target="https://utc.edu.mx/index.php/servicios/" TargetMode="External" Id="rId177"/><Relationship Type="http://schemas.openxmlformats.org/officeDocument/2006/relationships/hyperlink" Target="https://www.unipolidegomez.edu.mx/" TargetMode="External" Id="rId178"/><Relationship Type="http://schemas.openxmlformats.org/officeDocument/2006/relationships/hyperlink" Target="https://www.chapingo.mx/" TargetMode="External" Id="rId179"/><Relationship Type="http://schemas.openxmlformats.org/officeDocument/2006/relationships/hyperlink" Target="https://mail.uneve.edu.mx/acercas_uneves/rectoria.php" TargetMode="External" Id="rId180"/><Relationship Type="http://schemas.openxmlformats.org/officeDocument/2006/relationships/hyperlink" Target="https://mail.uneve.edu.mx/acercas_uneves/rectoria.php" TargetMode="External" Id="rId181"/><Relationship Type="http://schemas.openxmlformats.org/officeDocument/2006/relationships/hyperlink" Target="https://upvm.edomex.gob.mx/" TargetMode="External" Id="rId182"/><Relationship Type="http://schemas.openxmlformats.org/officeDocument/2006/relationships/hyperlink" Target="https://www.utn.edu.mx/" TargetMode="External" Id="rId183"/><Relationship Type="http://schemas.openxmlformats.org/officeDocument/2006/relationships/hyperlink" Target="https://uttecamac.edomex.gob.mx/" TargetMode="External" Id="rId184"/><Relationship Type="http://schemas.openxmlformats.org/officeDocument/2006/relationships/hyperlink" Target="https://utvt.edomex.gob.mx/" TargetMode="External" Id="rId185"/><Relationship Type="http://schemas.openxmlformats.org/officeDocument/2006/relationships/hyperlink" Target="https://utvt.edomex.gob.mx/" TargetMode="External" Id="rId186"/><Relationship Type="http://schemas.openxmlformats.org/officeDocument/2006/relationships/hyperlink" Target="https://utfv.edomex.gob.mx/" TargetMode="External" Id="rId187"/><Relationship Type="http://schemas.openxmlformats.org/officeDocument/2006/relationships/hyperlink" Target="https://utfv.edomex.gob.mx/" TargetMode="External" Id="rId188"/><Relationship Type="http://schemas.openxmlformats.org/officeDocument/2006/relationships/hyperlink" Target="https://upatlautla.edomex.gob.mx/" TargetMode="External" Id="rId189"/><Relationship Type="http://schemas.openxmlformats.org/officeDocument/2006/relationships/hyperlink" Target="https://upatlautla.edomex.gob.mx/" TargetMode="External" Id="rId190"/><Relationship Type="http://schemas.openxmlformats.org/officeDocument/2006/relationships/hyperlink" Target="https://upvt.edomex.gob.mx/" TargetMode="External" Id="rId191"/><Relationship Type="http://schemas.openxmlformats.org/officeDocument/2006/relationships/hyperlink" Target="https://uevt.edomex.gob.mx/" TargetMode="External" Id="rId192"/><Relationship Type="http://schemas.openxmlformats.org/officeDocument/2006/relationships/hyperlink" Target="https://www.utleon.edu.mx/" TargetMode="External" Id="rId193"/><Relationship Type="http://schemas.openxmlformats.org/officeDocument/2006/relationships/hyperlink" Target="https://www.utsoes.edu.mx/" TargetMode="External" Id="rId194"/><Relationship Type="http://schemas.openxmlformats.org/officeDocument/2006/relationships/hyperlink" Target="https://www.utsoes.edu.mx/" TargetMode="External" Id="rId195"/><Relationship Type="http://schemas.openxmlformats.org/officeDocument/2006/relationships/hyperlink" Target="https://uveg.edu.mx/" TargetMode="External" Id="rId196"/><Relationship Type="http://schemas.openxmlformats.org/officeDocument/2006/relationships/hyperlink" Target="https://uveg.edu.mx/tramites-y-servicios/inscripcion-a-programas-virtuales" TargetMode="External" Id="rId197"/><Relationship Type="http://schemas.openxmlformats.org/officeDocument/2006/relationships/hyperlink" Target="https://www.upjr.edu.mx/" TargetMode="External" Id="rId198"/><Relationship Type="http://schemas.openxmlformats.org/officeDocument/2006/relationships/hyperlink" Target="https://www.upjr.edu.mx/" TargetMode="External" Id="rId199"/><Relationship Type="http://schemas.openxmlformats.org/officeDocument/2006/relationships/hyperlink" Target="https://www.upt.edu.mx/" TargetMode="External" Id="rId200"/><Relationship Type="http://schemas.openxmlformats.org/officeDocument/2006/relationships/hyperlink" Target="https://www.upt.edu.mx/" TargetMode="External" Id="rId201"/><Relationship Type="http://schemas.openxmlformats.org/officeDocument/2006/relationships/hyperlink" Target="https://www.upmh.edu.mx/" TargetMode="External" Id="rId202"/><Relationship Type="http://schemas.openxmlformats.org/officeDocument/2006/relationships/hyperlink" Target="https://www.upmh.edu.mx/" TargetMode="External" Id="rId203"/><Relationship Type="http://schemas.openxmlformats.org/officeDocument/2006/relationships/hyperlink" Target="https://www.uttt.edu.mx/" TargetMode="External" Id="rId204"/><Relationship Type="http://schemas.openxmlformats.org/officeDocument/2006/relationships/hyperlink" Target="https://www.uttt.edu.mx/" TargetMode="External" Id="rId205"/><Relationship Type="http://schemas.openxmlformats.org/officeDocument/2006/relationships/hyperlink" Target="https://www.utj.edu.mx/" TargetMode="External" Id="rId206"/><Relationship Type="http://schemas.openxmlformats.org/officeDocument/2006/relationships/hyperlink" Target="https://www.utj.edu.mx/" TargetMode="External" Id="rId207"/><Relationship Type="http://schemas.openxmlformats.org/officeDocument/2006/relationships/hyperlink" Target="https://www.utez.edu.mx/" TargetMode="External" Id="rId208"/><Relationship Type="http://schemas.openxmlformats.org/officeDocument/2006/relationships/hyperlink" Target="https://www.utez.edu.mx/" TargetMode="External" Id="rId209"/><Relationship Type="http://schemas.openxmlformats.org/officeDocument/2006/relationships/hyperlink" Target="https://www.utnay.edu.mx/" TargetMode="External" Id="rId210"/><Relationship Type="http://schemas.openxmlformats.org/officeDocument/2006/relationships/hyperlink" Target="https://www.utnay.edu.mx/" TargetMode="External" Id="rId211"/><Relationship Type="http://schemas.openxmlformats.org/officeDocument/2006/relationships/hyperlink" Target="https://www.unsij.edu.mx/" TargetMode="External" Id="rId212"/><Relationship Type="http://schemas.openxmlformats.org/officeDocument/2006/relationships/hyperlink" Target="https://www.unsij.edu.mx/" TargetMode="External" Id="rId213"/><Relationship Type="http://schemas.openxmlformats.org/officeDocument/2006/relationships/hyperlink" Target="https://www.unsis.edu.mx/" TargetMode="External" Id="rId214"/><Relationship Type="http://schemas.openxmlformats.org/officeDocument/2006/relationships/hyperlink" Target="https://www.unsis.edu.mx/" TargetMode="External" Id="rId215"/><Relationship Type="http://schemas.openxmlformats.org/officeDocument/2006/relationships/hyperlink" Target="https://www.utm.mx/" TargetMode="External" Id="rId216"/><Relationship Type="http://schemas.openxmlformats.org/officeDocument/2006/relationships/hyperlink" Target="https://www.utm.mx/" TargetMode="External" Id="rId217"/><Relationship Type="http://schemas.openxmlformats.org/officeDocument/2006/relationships/hyperlink" Target="https://www.unistmo.edu.mx/" TargetMode="External" Id="rId218"/><Relationship Type="http://schemas.openxmlformats.org/officeDocument/2006/relationships/hyperlink" Target="https://www.unistmo.edu.mx/" TargetMode="External" Id="rId219"/><Relationship Type="http://schemas.openxmlformats.org/officeDocument/2006/relationships/hyperlink" Target="https://www.unpa.edu.mx/" TargetMode="External" Id="rId220"/><Relationship Type="http://schemas.openxmlformats.org/officeDocument/2006/relationships/hyperlink" Target="https://www.unpa.edu.mx/" TargetMode="External" Id="rId221"/><Relationship Type="http://schemas.openxmlformats.org/officeDocument/2006/relationships/hyperlink" Target="https://www.umar.mx/" TargetMode="External" Id="rId222"/><Relationship Type="http://schemas.openxmlformats.org/officeDocument/2006/relationships/hyperlink" Target="https://www.umar.mx/" TargetMode="External" Id="rId223"/><Relationship Type="http://schemas.openxmlformats.org/officeDocument/2006/relationships/hyperlink" Target="https://www.unca.edu.mx/" TargetMode="External" Id="rId224"/><Relationship Type="http://schemas.openxmlformats.org/officeDocument/2006/relationships/hyperlink" Target="https://www.unca.edu.mx/" TargetMode="External" Id="rId225"/><Relationship Type="http://schemas.openxmlformats.org/officeDocument/2006/relationships/hyperlink" Target="https://www.unicat.edu.mx/" TargetMode="External" Id="rId226"/><Relationship Type="http://schemas.openxmlformats.org/officeDocument/2006/relationships/hyperlink" Target="https://www.unicat.edu.mx/" TargetMode="External" Id="rId227"/><Relationship Type="http://schemas.openxmlformats.org/officeDocument/2006/relationships/hyperlink" Target="https://www.uth.edu.mx/" TargetMode="External" Id="rId228"/><Relationship Type="http://schemas.openxmlformats.org/officeDocument/2006/relationships/hyperlink" Target="https://www.uth.edu.mx/" TargetMode="External" Id="rId229"/><Relationship Type="http://schemas.openxmlformats.org/officeDocument/2006/relationships/hyperlink" Target="https://www.utpuebla.edu.mx/" TargetMode="External" Id="rId230"/><Relationship Type="http://schemas.openxmlformats.org/officeDocument/2006/relationships/hyperlink" Target="https://www.utpuebla.edu.mx/" TargetMode="External" Id="rId231"/><Relationship Type="http://schemas.openxmlformats.org/officeDocument/2006/relationships/hyperlink" Target="https://www.uttecam.edu.mx/" TargetMode="External" Id="rId232"/><Relationship Type="http://schemas.openxmlformats.org/officeDocument/2006/relationships/hyperlink" Target="https://www.uttecam.edu.mx/" TargetMode="External" Id="rId233"/><Relationship Type="http://schemas.openxmlformats.org/officeDocument/2006/relationships/hyperlink" Target="https://www.uttehuacan.edu.mx/" TargetMode="External" Id="rId234"/><Relationship Type="http://schemas.openxmlformats.org/officeDocument/2006/relationships/hyperlink" Target="https://www.uttehuacan.edu.mx/" TargetMode="External" Id="rId235"/><Relationship Type="http://schemas.openxmlformats.org/officeDocument/2006/relationships/hyperlink" Target="https://www.utxj.edu.mx/" TargetMode="External" Id="rId236"/><Relationship Type="http://schemas.openxmlformats.org/officeDocument/2006/relationships/hyperlink" Target="https://www.utxj.edu.mx/" TargetMode="External" Id="rId237"/><Relationship Type="http://schemas.openxmlformats.org/officeDocument/2006/relationships/hyperlink" Target="https://www.uiep.edu.mx/" TargetMode="External" Id="rId238"/><Relationship Type="http://schemas.openxmlformats.org/officeDocument/2006/relationships/hyperlink" Target="https://www.uiep.edu.mx/adm-4/" TargetMode="External" Id="rId239"/><Relationship Type="http://schemas.openxmlformats.org/officeDocument/2006/relationships/hyperlink" Target="https://www.uteq.edu.mx/" TargetMode="External" Id="rId240"/><Relationship Type="http://schemas.openxmlformats.org/officeDocument/2006/relationships/hyperlink" Target="https://www.uteq.edu.mx/" TargetMode="External" Id="rId241"/><Relationship Type="http://schemas.openxmlformats.org/officeDocument/2006/relationships/hyperlink" Target="https://www.utsjr.edu.mx/" TargetMode="External" Id="rId242"/><Relationship Type="http://schemas.openxmlformats.org/officeDocument/2006/relationships/hyperlink" Target="https://www.utsjr.edu.mx/" TargetMode="External" Id="rId243"/><Relationship Type="http://schemas.openxmlformats.org/officeDocument/2006/relationships/hyperlink" Target="https://www.unicaribe.mx/" TargetMode="External" Id="rId244"/><Relationship Type="http://schemas.openxmlformats.org/officeDocument/2006/relationships/hyperlink" Target="https://www.unicaribe.mx/" TargetMode="External" Id="rId245"/><Relationship Type="http://schemas.openxmlformats.org/officeDocument/2006/relationships/hyperlink" Target="https://www.uado.mx/" TargetMode="External" Id="rId246"/><Relationship Type="http://schemas.openxmlformats.org/officeDocument/2006/relationships/hyperlink" Target="https://www.uado.mx/" TargetMode="External" Id="rId247"/><Relationship Type="http://schemas.openxmlformats.org/officeDocument/2006/relationships/hyperlink" Target="https://www.ues.mx/" TargetMode="External" Id="rId248"/><Relationship Type="http://schemas.openxmlformats.org/officeDocument/2006/relationships/hyperlink" Target="https://www.ues.mx/" TargetMode="External" Id="rId249"/><Relationship Type="http://schemas.openxmlformats.org/officeDocument/2006/relationships/hyperlink" Target="https://www.uthermosillo.edu.mx/" TargetMode="External" Id="rId250"/><Relationship Type="http://schemas.openxmlformats.org/officeDocument/2006/relationships/hyperlink" Target="https://www.utss.edu.mx/" TargetMode="External" Id="rId251"/><Relationship Type="http://schemas.openxmlformats.org/officeDocument/2006/relationships/hyperlink" Target="https://www.utss.edu.mx/" TargetMode="External" Id="rId252"/><Relationship Type="http://schemas.openxmlformats.org/officeDocument/2006/relationships/hyperlink" Target="https://www.utgz.edu.mx/" TargetMode="External" Id="rId253"/><Relationship Type="http://schemas.openxmlformats.org/officeDocument/2006/relationships/hyperlink" Target="https://www.utgz.edu.mx/" TargetMode="External" Id="rId254"/><Relationship Type="http://schemas.openxmlformats.org/officeDocument/2006/relationships/hyperlink" Target="https://uo.edu.mx/" TargetMode="External" Id="rId255"/><Relationship Type="http://schemas.openxmlformats.org/officeDocument/2006/relationships/hyperlink" Target="https://uo.edu.mx/campus/veracruz/" TargetMode="External" Id="rId256"/><Relationship Type="http://schemas.openxmlformats.org/officeDocument/2006/relationships/table" Target="/xl/tables/table6.xml" Id="rId257"/></Relationships>
</file>

<file path=xl/worksheets/_rels/sheet8.xml.rels><Relationships xmlns="http://schemas.openxmlformats.org/package/2006/relationships"><Relationship Type="http://schemas.openxmlformats.org/officeDocument/2006/relationships/hyperlink" Target="https://unb.br/?utm_source=gemini" TargetMode="External" Id="rId1"/><Relationship Type="http://schemas.openxmlformats.org/officeDocument/2006/relationships/hyperlink" Target="https://unb.br/administrativo/vice-reitoria/2-publicacoes/579-equipe" TargetMode="External" Id="rId2"/><Relationship Type="http://schemas.openxmlformats.org/officeDocument/2006/relationships/hyperlink" Target="https://www.ufg.br/?utm_source=gemini" TargetMode="External" Id="rId3"/><Relationship Type="http://schemas.openxmlformats.org/officeDocument/2006/relationships/hyperlink" Target="https://ufg.br/p/62693-gestao" TargetMode="External" Id="rId4"/><Relationship Type="http://schemas.openxmlformats.org/officeDocument/2006/relationships/hyperlink" Target="https://www.ufmt.br/?utm_source=gemini" TargetMode="External" Id="rId5"/><Relationship Type="http://schemas.openxmlformats.org/officeDocument/2006/relationships/hyperlink" Target="https://www.ufms.br/?utm_source=gemini" TargetMode="External" Id="rId6"/><Relationship Type="http://schemas.openxmlformats.org/officeDocument/2006/relationships/hyperlink" Target="https://www.ufms.br" TargetMode="External" Id="rId7"/><Relationship Type="http://schemas.openxmlformats.org/officeDocument/2006/relationships/hyperlink" Target="https://portal.ufgd.edu.br/?utm_source=gemini" TargetMode="External" Id="rId8"/><Relationship Type="http://schemas.openxmlformats.org/officeDocument/2006/relationships/hyperlink" Target="https://portal.ufgd.edu.br" TargetMode="External" Id="rId9"/><Relationship Type="http://schemas.openxmlformats.org/officeDocument/2006/relationships/hyperlink" Target="https://ufcat.edu.br/?utm_source=gemini" TargetMode="External" Id="rId10"/><Relationship Type="http://schemas.openxmlformats.org/officeDocument/2006/relationships/hyperlink" Target="https://ufcat.edu.br" TargetMode="External" Id="rId11"/><Relationship Type="http://schemas.openxmlformats.org/officeDocument/2006/relationships/hyperlink" Target="https://ufj.edu.br/?utm_source=gemini" TargetMode="External" Id="rId12"/><Relationship Type="http://schemas.openxmlformats.org/officeDocument/2006/relationships/hyperlink" Target="https://ufj.edu.br" TargetMode="External" Id="rId13"/><Relationship Type="http://schemas.openxmlformats.org/officeDocument/2006/relationships/hyperlink" Target="https://ufr.edu.br/?utm_source=gemini" TargetMode="External" Id="rId14"/><Relationship Type="http://schemas.openxmlformats.org/officeDocument/2006/relationships/hyperlink" Target="https://ufr.edu.br/?utm_source=gemini" TargetMode="External" Id="rId15"/><Relationship Type="http://schemas.openxmlformats.org/officeDocument/2006/relationships/hyperlink" Target="https://www.ufba.br/?utm_source=gemini" TargetMode="External" Id="rId16"/><Relationship Type="http://schemas.openxmlformats.org/officeDocument/2006/relationships/hyperlink" Target="https://ufba.br/reitoria" TargetMode="External" Id="rId17"/><Relationship Type="http://schemas.openxmlformats.org/officeDocument/2006/relationships/hyperlink" Target="https://ufrb.edu.br/?utm_source=gemini" TargetMode="External" Id="rId18"/><Relationship Type="http://schemas.openxmlformats.org/officeDocument/2006/relationships/hyperlink" Target="https://ufrb.edu.br/reitoria/vice-reitoria" TargetMode="External" Id="rId19"/><Relationship Type="http://schemas.openxmlformats.org/officeDocument/2006/relationships/hyperlink" Target="https://ufsb.edu.br/?utm_source=gemini" TargetMode="External" Id="rId20"/><Relationship Type="http://schemas.openxmlformats.org/officeDocument/2006/relationships/hyperlink" Target="https://ufsb.edu.br/a-ufsb/reitoria/equipe-reitoria" TargetMode="External" Id="rId21"/><Relationship Type="http://schemas.openxmlformats.org/officeDocument/2006/relationships/hyperlink" Target="https://ufob.edu.br/?utm_source=gemini" TargetMode="External" Id="rId22"/><Relationship Type="http://schemas.openxmlformats.org/officeDocument/2006/relationships/hyperlink" Target="https://ufob.edu.br/a-ufob/estrutura/reitoria" TargetMode="External" Id="rId23"/><Relationship Type="http://schemas.openxmlformats.org/officeDocument/2006/relationships/hyperlink" Target="https://www.ufc.br/?utm_source=gemini" TargetMode="External" Id="rId24"/><Relationship Type="http://schemas.openxmlformats.org/officeDocument/2006/relationships/hyperlink" Target="https://reitoria.ufc.br/pt/contatos-reitoria" TargetMode="External" Id="rId25"/><Relationship Type="http://schemas.openxmlformats.org/officeDocument/2006/relationships/hyperlink" Target="https://www.ufca.edu.br/?utm_source=gemini" TargetMode="External" Id="rId26"/><Relationship Type="http://schemas.openxmlformats.org/officeDocument/2006/relationships/hyperlink" Target="https://www.ufca.edu.br/instituicao/administrativo/estrutura-organizacional/reitoria/" TargetMode="External" Id="rId27"/><Relationship Type="http://schemas.openxmlformats.org/officeDocument/2006/relationships/hyperlink" Target="https://unilab.edu.br/?utm_source=gemini" TargetMode="External" Id="rId28"/><Relationship Type="http://schemas.openxmlformats.org/officeDocument/2006/relationships/hyperlink" Target="https://unilab.edu.br/reitoria/" TargetMode="External" Id="rId29"/><Relationship Type="http://schemas.openxmlformats.org/officeDocument/2006/relationships/hyperlink" Target="https://portalpadrao.ufma.br/?utm_source=gemini" TargetMode="External" Id="rId30"/><Relationship Type="http://schemas.openxmlformats.org/officeDocument/2006/relationships/hyperlink" Target="https://portalpadrao.ufma.br/transparencia/acesso-a-informacao/institucional/estrutura-organizacional-da-ufma-22-08-2025.pdf" TargetMode="External" Id="rId31"/><Relationship Type="http://schemas.openxmlformats.org/officeDocument/2006/relationships/hyperlink" Target="https://www.ufpb.br/?utm_source=gemini" TargetMode="External" Id="rId32"/><Relationship Type="http://schemas.openxmlformats.org/officeDocument/2006/relationships/hyperlink" Target="https://www.ufpb.br/reitoria/" TargetMode="External" Id="rId33"/><Relationship Type="http://schemas.openxmlformats.org/officeDocument/2006/relationships/hyperlink" Target="https://portal.ufcg.edu.br/?utm_source=gemini" TargetMode="External" Id="rId34"/><Relationship Type="http://schemas.openxmlformats.org/officeDocument/2006/relationships/hyperlink" Target="https://portal.ufcg.edu.br" TargetMode="External" Id="rId35"/><Relationship Type="http://schemas.openxmlformats.org/officeDocument/2006/relationships/hyperlink" Target="https://www.ufpe.br/?utm_source=gemini" TargetMode="External" Id="rId36"/><Relationship Type="http://schemas.openxmlformats.org/officeDocument/2006/relationships/hyperlink" Target="https://www.ufrpe.br/?utm_source=gemini" TargetMode="External" Id="rId37"/><Relationship Type="http://schemas.openxmlformats.org/officeDocument/2006/relationships/hyperlink" Target="https://www.ufrpe.br" TargetMode="External" Id="rId38"/><Relationship Type="http://schemas.openxmlformats.org/officeDocument/2006/relationships/hyperlink" Target="https://ufape.edu.br/?utm_source=gemini" TargetMode="External" Id="rId39"/><Relationship Type="http://schemas.openxmlformats.org/officeDocument/2006/relationships/hyperlink" Target="https://ufape.edu.br" TargetMode="External" Id="rId40"/><Relationship Type="http://schemas.openxmlformats.org/officeDocument/2006/relationships/hyperlink" Target="https://www.univasf.edu.br/?utm_source=gemini" TargetMode="External" Id="rId41"/><Relationship Type="http://schemas.openxmlformats.org/officeDocument/2006/relationships/hyperlink" Target="https://ufape.edu.br/reitoria" TargetMode="External" Id="rId42"/><Relationship Type="http://schemas.openxmlformats.org/officeDocument/2006/relationships/hyperlink" Target="https://ufpi.br/?utm_source=gemini" TargetMode="External" Id="rId43"/><Relationship Type="http://schemas.openxmlformats.org/officeDocument/2006/relationships/hyperlink" Target="https://ufpi.br/vice-reitoria" TargetMode="External" Id="rId44"/><Relationship Type="http://schemas.openxmlformats.org/officeDocument/2006/relationships/hyperlink" Target="https://ufdpar.edu.br/?utm_source=gemini" TargetMode="External" Id="rId45"/><Relationship Type="http://schemas.openxmlformats.org/officeDocument/2006/relationships/hyperlink" Target="https://www.ufrn.br/?utm_source=gemini" TargetMode="External" Id="rId46"/><Relationship Type="http://schemas.openxmlformats.org/officeDocument/2006/relationships/hyperlink" Target="https://acessoainformacao.ufrn.br/institucional/quem-e-quem" TargetMode="External" Id="rId47"/><Relationship Type="http://schemas.openxmlformats.org/officeDocument/2006/relationships/hyperlink" Target="https://ufersa.edu.br/?utm_source=gemini" TargetMode="External" Id="rId48"/><Relationship Type="http://schemas.openxmlformats.org/officeDocument/2006/relationships/hyperlink" Target="https://reitoria.ufersa.edu.br/equipe/" TargetMode="External" Id="rId49"/><Relationship Type="http://schemas.openxmlformats.org/officeDocument/2006/relationships/hyperlink" Target="https://www.ufs.br/?utm_source=gemini" TargetMode="External" Id="rId50"/><Relationship Type="http://schemas.openxmlformats.org/officeDocument/2006/relationships/hyperlink" Target="https://reitoria.ufs.br/pagina/6622" TargetMode="External" Id="rId51"/><Relationship Type="http://schemas.openxmlformats.org/officeDocument/2006/relationships/hyperlink" Target="https://ufal.br/?utm_source=gemini" TargetMode="External" Id="rId52"/><Relationship Type="http://schemas.openxmlformats.org/officeDocument/2006/relationships/hyperlink" Target="https://ufal.br/ufal/institucional/pro-reitorias/prograd" TargetMode="External" Id="rId53"/><Relationship Type="http://schemas.openxmlformats.org/officeDocument/2006/relationships/hyperlink" Target="https://www.ufac.br/?utm_source=gemini" TargetMode="External" Id="rId54"/><Relationship Type="http://schemas.openxmlformats.org/officeDocument/2006/relationships/hyperlink" Target="https://www.ufac.br/site/ufac/institucional" TargetMode="External" Id="rId55"/><Relationship Type="http://schemas.openxmlformats.org/officeDocument/2006/relationships/hyperlink" Target="https://www.ufam.edu.br/?utm_source=gemini" TargetMode="External" Id="rId56"/><Relationship Type="http://schemas.openxmlformats.org/officeDocument/2006/relationships/hyperlink" Target="https://www.ufam.edu.br/reitoria.html" TargetMode="External" Id="rId57"/><Relationship Type="http://schemas.openxmlformats.org/officeDocument/2006/relationships/hyperlink" Target="https://www.unifap.br/?utm_source=gemini" TargetMode="External" Id="rId58"/><Relationship Type="http://schemas.openxmlformats.org/officeDocument/2006/relationships/hyperlink" Target="https://www2.unifap.br/reitoria/reitoria/" TargetMode="External" Id="rId59"/><Relationship Type="http://schemas.openxmlformats.org/officeDocument/2006/relationships/hyperlink" Target="https://ufpa.br/?utm_source=gemini" TargetMode="External" Id="rId60"/><Relationship Type="http://schemas.openxmlformats.org/officeDocument/2006/relationships/hyperlink" Target="https://ufpa.br/?post_type=orgaos&amp;_sft_categoria-do-orgao=administracao-superior" TargetMode="External" Id="rId61"/><Relationship Type="http://schemas.openxmlformats.org/officeDocument/2006/relationships/hyperlink" Target="https://www.ufopa.edu.br/?utm_source=gemini" TargetMode="External" Id="rId62"/><Relationship Type="http://schemas.openxmlformats.org/officeDocument/2006/relationships/hyperlink" Target="https://www.ufopa.edu.br/ufopa/institucional/reitoria-2/gabinete/" TargetMode="External" Id="rId63"/><Relationship Type="http://schemas.openxmlformats.org/officeDocument/2006/relationships/hyperlink" Target="https://unifesspa.edu.br/?utm_source=gemini" TargetMode="External" Id="rId64"/><Relationship Type="http://schemas.openxmlformats.org/officeDocument/2006/relationships/hyperlink" Target="https://unifesspa.edu.br/gabinete-unifesspa.html" TargetMode="External" Id="rId65"/><Relationship Type="http://schemas.openxmlformats.org/officeDocument/2006/relationships/hyperlink" Target="https://www.unir.br/?utm_source=gemini" TargetMode="External" Id="rId66"/><Relationship Type="http://schemas.openxmlformats.org/officeDocument/2006/relationships/hyperlink" Target="https://ufrr.br/?utm_source=gemini" TargetMode="External" Id="rId67"/><Relationship Type="http://schemas.openxmlformats.org/officeDocument/2006/relationships/hyperlink" Target="https://ufrr.br/reitoria/" TargetMode="External" Id="rId68"/><Relationship Type="http://schemas.openxmlformats.org/officeDocument/2006/relationships/hyperlink" Target="https://www.google.com/search?q=https://ww2.uft.edu.br&amp;utm_source=gemini&amp;authuser=1" TargetMode="External" Id="rId69"/><Relationship Type="http://schemas.openxmlformats.org/officeDocument/2006/relationships/hyperlink" Target="https://www.uft.edu.br/gestao/gabinete/contatos/gabinete-da-reitoria" TargetMode="External" Id="rId70"/><Relationship Type="http://schemas.openxmlformats.org/officeDocument/2006/relationships/hyperlink" Target="https://ufnt.edu.br/?utm_source=gemini" TargetMode="External" Id="rId71"/><Relationship Type="http://schemas.openxmlformats.org/officeDocument/2006/relationships/hyperlink" Target="https://ufnt.edu.br/reitoria-e-pro-reitorias/" TargetMode="External" Id="rId72"/><Relationship Type="http://schemas.openxmlformats.org/officeDocument/2006/relationships/hyperlink" Target="https://www.ufes.br/?utm_source=gemini" TargetMode="External" Id="rId73"/><Relationship Type="http://schemas.openxmlformats.org/officeDocument/2006/relationships/hyperlink" Target="https://www.ufes.br/reitoria" TargetMode="External" Id="rId74"/><Relationship Type="http://schemas.openxmlformats.org/officeDocument/2006/relationships/hyperlink" Target="https://ufmg.br/?utm_source=gemini" TargetMode="External" Id="rId75"/><Relationship Type="http://schemas.openxmlformats.org/officeDocument/2006/relationships/hyperlink" Target="https://www.ufmg.br/a-universidade/gestao/dirigentes/" TargetMode="External" Id="rId76"/><Relationship Type="http://schemas.openxmlformats.org/officeDocument/2006/relationships/hyperlink" Target="https://www.ufv.br/?utm_source=gemini" TargetMode="External" Id="rId77"/><Relationship Type="http://schemas.openxmlformats.org/officeDocument/2006/relationships/hyperlink" Target="https://www.ufv.br/reitoria/" TargetMode="External" Id="rId78"/><Relationship Type="http://schemas.openxmlformats.org/officeDocument/2006/relationships/hyperlink" Target="https://www.ufu.br/?utm_source=gemini" TargetMode="External" Id="rId79"/><Relationship Type="http://schemas.openxmlformats.org/officeDocument/2006/relationships/hyperlink" Target="https://ufu.br/unidades-organizacionais/reitoria-reito" TargetMode="External" Id="rId80"/><Relationship Type="http://schemas.openxmlformats.org/officeDocument/2006/relationships/hyperlink" Target="https://www.ufjf.br/?utm_source=gemini" TargetMode="External" Id="rId81"/><Relationship Type="http://schemas.openxmlformats.org/officeDocument/2006/relationships/hyperlink" Target="https://www2.ufjf.br/ufjf/sobre/organizacao/reitoria/" TargetMode="External" Id="rId82"/><Relationship Type="http://schemas.openxmlformats.org/officeDocument/2006/relationships/hyperlink" Target="https://www.google.com/search?q=https://ufop.br&amp;utm_source=gemini&amp;authuser=1" TargetMode="External" Id="rId83"/><Relationship Type="http://schemas.openxmlformats.org/officeDocument/2006/relationships/hyperlink" Target="https://sites.ufop.br/soc" TargetMode="External" Id="rId84"/><Relationship Type="http://schemas.openxmlformats.org/officeDocument/2006/relationships/hyperlink" Target="https://ufla.br/?utm_source=gemini" TargetMode="External" Id="rId85"/><Relationship Type="http://schemas.openxmlformats.org/officeDocument/2006/relationships/hyperlink" Target="https://ufla.br/sobre/administracao/equipe-de-gestao" TargetMode="External" Id="rId86"/><Relationship Type="http://schemas.openxmlformats.org/officeDocument/2006/relationships/hyperlink" Target="https://www.ufsj.edu.br/?utm_source=gemini" TargetMode="External" Id="rId87"/><Relationship Type="http://schemas.openxmlformats.org/officeDocument/2006/relationships/hyperlink" Target="https://ufsj.edu.br/reitoria/" TargetMode="External" Id="rId88"/><Relationship Type="http://schemas.openxmlformats.org/officeDocument/2006/relationships/hyperlink" Target="https://unifei.edu.br/?utm_source=gemini" TargetMode="External" Id="rId89"/><Relationship Type="http://schemas.openxmlformats.org/officeDocument/2006/relationships/hyperlink" Target="https://reitoria.unifei.edu.br/equipe/" TargetMode="External" Id="rId90"/><Relationship Type="http://schemas.openxmlformats.org/officeDocument/2006/relationships/hyperlink" Target="https://www.unifal-mg.edu.br/?utm_source=gemini" TargetMode="External" Id="rId91"/><Relationship Type="http://schemas.openxmlformats.org/officeDocument/2006/relationships/hyperlink" Target="https://www.unifal-mg.edu.br/portal/international/espanol/como-encontrarnos/" TargetMode="External" Id="rId92"/><Relationship Type="http://schemas.openxmlformats.org/officeDocument/2006/relationships/hyperlink" Target="https://www.uftm.edu.br/?utm_source=gemini" TargetMode="External" Id="rId93"/><Relationship Type="http://schemas.openxmlformats.org/officeDocument/2006/relationships/hyperlink" Target="https://www.uftm.edu.br/reitoria" TargetMode="External" Id="rId94"/><Relationship Type="http://schemas.openxmlformats.org/officeDocument/2006/relationships/hyperlink" Target="https://www.ufvjm.edu.br/?utm_source=gemini" TargetMode="External" Id="rId95"/><Relationship Type="http://schemas.openxmlformats.org/officeDocument/2006/relationships/hyperlink" Target="https://portal.ufvjm.edu.br/a-universidade/reitoria/contatos" TargetMode="External" Id="rId96"/><Relationship Type="http://schemas.openxmlformats.org/officeDocument/2006/relationships/hyperlink" Target="https://ufrj.br/?utm_source=gemini" TargetMode="External" Id="rId97"/><Relationship Type="http://schemas.openxmlformats.org/officeDocument/2006/relationships/hyperlink" Target="https://ufrj.br/a-ufrj/contatos/reitoria/" TargetMode="External" Id="rId98"/><Relationship Type="http://schemas.openxmlformats.org/officeDocument/2006/relationships/hyperlink" Target="https://www.uff.br/?utm_source=gemini" TargetMode="External" Id="rId99"/><Relationship Type="http://schemas.openxmlformats.org/officeDocument/2006/relationships/hyperlink" Target="https://www.uff.br/setores/" TargetMode="External" Id="rId100"/><Relationship Type="http://schemas.openxmlformats.org/officeDocument/2006/relationships/hyperlink" Target="https://portal.ufrrj.br/?utm_source=gemini" TargetMode="External" Id="rId101"/><Relationship Type="http://schemas.openxmlformats.org/officeDocument/2006/relationships/hyperlink" Target="https://portal.ufrrj.br/institucional/" TargetMode="External" Id="rId102"/><Relationship Type="http://schemas.openxmlformats.org/officeDocument/2006/relationships/hyperlink" Target="https://www.unirio.br/?utm_source=gemini" TargetMode="External" Id="rId103"/><Relationship Type="http://schemas.openxmlformats.org/officeDocument/2006/relationships/hyperlink" Target="https://www.unifesp.br/?utm_source=gemini" TargetMode="External" Id="rId104"/><Relationship Type="http://schemas.openxmlformats.org/officeDocument/2006/relationships/hyperlink" Target="https://portal.unifesp.br/institucional/reitoria/gabinete-reitoria" TargetMode="External" Id="rId105"/><Relationship Type="http://schemas.openxmlformats.org/officeDocument/2006/relationships/hyperlink" Target="https://www.ufscar.br/?utm_source=gemini" TargetMode="External" Id="rId106"/><Relationship Type="http://schemas.openxmlformats.org/officeDocument/2006/relationships/hyperlink" Target="https://www.ufscar.br/busca-docente?docente=MARIA%20DE%20JESUS%20DUTRA%20DOS%20REIS" TargetMode="External" Id="rId107"/><Relationship Type="http://schemas.openxmlformats.org/officeDocument/2006/relationships/hyperlink" Target="https://www.ufabc.edu.br/?utm_source=gemini" TargetMode="External" Id="rId108"/><Relationship Type="http://schemas.openxmlformats.org/officeDocument/2006/relationships/hyperlink" Target="https://www.ufabc.edu.br" TargetMode="External" Id="rId109"/><Relationship Type="http://schemas.openxmlformats.org/officeDocument/2006/relationships/hyperlink" Target="https://www.ufpr.br/?utm_source=gemini" TargetMode="External" Id="rId110"/><Relationship Type="http://schemas.openxmlformats.org/officeDocument/2006/relationships/hyperlink" Target="https://ufpr.br/gabinete-do-reitor/" TargetMode="External" Id="rId111"/><Relationship Type="http://schemas.openxmlformats.org/officeDocument/2006/relationships/hyperlink" Target="https://www.utfpr.edu.br/?utm_source=gemini" TargetMode="External" Id="rId112"/><Relationship Type="http://schemas.openxmlformats.org/officeDocument/2006/relationships/hyperlink" Target="https://www.utfpr.edu.br/institucional/quem-e-quem" TargetMode="External" Id="rId113"/><Relationship Type="http://schemas.openxmlformats.org/officeDocument/2006/relationships/hyperlink" Target="https://unila.edu.br/?utm_source=gemini" TargetMode="External" Id="rId114"/><Relationship Type="http://schemas.openxmlformats.org/officeDocument/2006/relationships/hyperlink" Target="https://portal.unila.edu.br/reitoria/vice-reitoria" TargetMode="External" Id="rId115"/><Relationship Type="http://schemas.openxmlformats.org/officeDocument/2006/relationships/hyperlink" Target="https://ufsc.br/?utm_source=gemini" TargetMode="External" Id="rId116"/><Relationship Type="http://schemas.openxmlformats.org/officeDocument/2006/relationships/hyperlink" Target="https://reitoria.ufsc.br/gabinete-da-reitoria/" TargetMode="External" Id="rId117"/><Relationship Type="http://schemas.openxmlformats.org/officeDocument/2006/relationships/hyperlink" Target="https://www.uffs.edu.br/?utm_source=gemini" TargetMode="External" Id="rId118"/><Relationship Type="http://schemas.openxmlformats.org/officeDocument/2006/relationships/hyperlink" Target="https://www.uffs.edu.br/uffs/gabinete-do-reitor/apresentacao" TargetMode="External" Id="rId119"/><Relationship Type="http://schemas.openxmlformats.org/officeDocument/2006/relationships/hyperlink" Target="https://www.ufrgs.br/?utm_source=gemini" TargetMode="External" Id="rId120"/><Relationship Type="http://schemas.openxmlformats.org/officeDocument/2006/relationships/hyperlink" Target="https://www.ufsm.br/?utm_source=gemini" TargetMode="External" Id="rId121"/><Relationship Type="http://schemas.openxmlformats.org/officeDocument/2006/relationships/hyperlink" Target="https://www.ufsm.br/reitoria/gabinete/contatos" TargetMode="External" Id="rId122"/><Relationship Type="http://schemas.openxmlformats.org/officeDocument/2006/relationships/hyperlink" Target="https://www.ufpel.edu.br/?utm_source=gemini" TargetMode="External" Id="rId123"/><Relationship Type="http://schemas.openxmlformats.org/officeDocument/2006/relationships/hyperlink" Target="https://wp.ufpel.edu.br/gabinete/vice-reitor/" TargetMode="External" Id="rId124"/><Relationship Type="http://schemas.openxmlformats.org/officeDocument/2006/relationships/hyperlink" Target="https://www.furg.br/?utm_source=gemini" TargetMode="External" Id="rId125"/><Relationship Type="http://schemas.openxmlformats.org/officeDocument/2006/relationships/hyperlink" Target="https://acessoainformacao.furg.br/servico-de-informacao-ao-cidadao-sic" TargetMode="External" Id="rId126"/><Relationship Type="http://schemas.openxmlformats.org/officeDocument/2006/relationships/hyperlink" Target="https://www.google.com/search?q=https://www.ufcspa.edu.br&amp;utm_source=gemini&amp;authuser=1" TargetMode="External" Id="rId127"/><Relationship Type="http://schemas.openxmlformats.org/officeDocument/2006/relationships/hyperlink" Target="https://ufcspa.edu.br/sobre-a-ufcspa/quem-somos/reitoria-pro-reitorias-e-secretarias" TargetMode="External" Id="rId128"/><Relationship Type="http://schemas.openxmlformats.org/officeDocument/2006/relationships/hyperlink" Target="https://unipampa.edu.br/?utm_source=gemini" TargetMode="External" Id="rId129"/><Relationship Type="http://schemas.openxmlformats.org/officeDocument/2006/relationships/hyperlink" Target="https://unipampa.edu.br/portal/4518" TargetMode="External" Id="rId130"/><Relationship Type="http://schemas.openxmlformats.org/officeDocument/2006/relationships/hyperlink" Target="https://www.google.com/search?q=https://www.usp.br&amp;utm_source=gemini&amp;authuser=1" TargetMode="External" Id="rId131"/><Relationship Type="http://schemas.openxmlformats.org/officeDocument/2006/relationships/hyperlink" Target="https://www5.usp.br/transparencia/servico-de-informacao-ao-cidadao-usp/" TargetMode="External" Id="rId132"/><Relationship Type="http://schemas.openxmlformats.org/officeDocument/2006/relationships/hyperlink" Target="https://www.unicamp.br/?utm_source=gemini" TargetMode="External" Id="rId133"/><Relationship Type="http://schemas.openxmlformats.org/officeDocument/2006/relationships/hyperlink" Target="https://www.gr.unicamp.br/equipe/" TargetMode="External" Id="rId134"/><Relationship Type="http://schemas.openxmlformats.org/officeDocument/2006/relationships/hyperlink" Target="https://www.unesp.br/?utm_source=gemini" TargetMode="External" Id="rId135"/><Relationship Type="http://schemas.openxmlformats.org/officeDocument/2006/relationships/hyperlink" Target="https://www2.unesp.br/portal" TargetMode="External" Id="rId136"/><Relationship Type="http://schemas.openxmlformats.org/officeDocument/2006/relationships/hyperlink" Target="https://univesp.br/?utm_source=gemini" TargetMode="External" Id="rId137"/><Relationship Type="http://schemas.openxmlformats.org/officeDocument/2006/relationships/hyperlink" Target="https://univesp.br/atendimento-carta-de-servicos-ao-usuario/" TargetMode="External" Id="rId138"/><Relationship Type="http://schemas.openxmlformats.org/officeDocument/2006/relationships/hyperlink" Target="https://www.uerj.br/?utm_source=gemini" TargetMode="External" Id="rId139"/><Relationship Type="http://schemas.openxmlformats.org/officeDocument/2006/relationships/hyperlink" Target="https://www.uerj.br/a-uerj/institucional/reitoria/" TargetMode="External" Id="rId140"/><Relationship Type="http://schemas.openxmlformats.org/officeDocument/2006/relationships/hyperlink" Target="https://uenf.br/?utm_source=gemini" TargetMode="External" Id="rId141"/><Relationship Type="http://schemas.openxmlformats.org/officeDocument/2006/relationships/hyperlink" Target="https://www.uemg.br/?utm_source=gemini" TargetMode="External" Id="rId142"/><Relationship Type="http://schemas.openxmlformats.org/officeDocument/2006/relationships/hyperlink" Target="https://unimontes.br/?utm_source=gemini" TargetMode="External" Id="rId143"/><Relationship Type="http://schemas.openxmlformats.org/officeDocument/2006/relationships/hyperlink" Target="https://www.uemg.br/home/reitoria" TargetMode="External" Id="rId144"/><Relationship Type="http://schemas.openxmlformats.org/officeDocument/2006/relationships/hyperlink" Target="https://www.uel.br/?utm_source=gemini" TargetMode="External" Id="rId145"/><Relationship Type="http://schemas.openxmlformats.org/officeDocument/2006/relationships/hyperlink" Target="mailto:reitoria@uel.br" TargetMode="External" Id="rId146"/><Relationship Type="http://schemas.openxmlformats.org/officeDocument/2006/relationships/hyperlink" Target="https://portal.uel.br/reitoria-equipe/" TargetMode="External" Id="rId147"/><Relationship Type="http://schemas.openxmlformats.org/officeDocument/2006/relationships/hyperlink" Target="https://www.uem.br/?utm_source=gemini" TargetMode="External" Id="rId148"/><Relationship Type="http://schemas.openxmlformats.org/officeDocument/2006/relationships/hyperlink" Target="https://www.uem.br/a-uem/reitoria" TargetMode="External" Id="rId149"/><Relationship Type="http://schemas.openxmlformats.org/officeDocument/2006/relationships/hyperlink" Target="https://www.uepg.br/?utm_source=gemini" TargetMode="External" Id="rId150"/><Relationship Type="http://schemas.openxmlformats.org/officeDocument/2006/relationships/hyperlink" Target="https://www.uepg.br/reitoria-2/" TargetMode="External" Id="rId151"/><Relationship Type="http://schemas.openxmlformats.org/officeDocument/2006/relationships/hyperlink" Target="https://www.unioeste.br/?utm_source=gemini" TargetMode="External" Id="rId152"/><Relationship Type="http://schemas.openxmlformats.org/officeDocument/2006/relationships/hyperlink" Target="https://www.unioeste.br/portal/inicio/administracao/gabinete-reitoria" TargetMode="External" Id="rId153"/><Relationship Type="http://schemas.openxmlformats.org/officeDocument/2006/relationships/hyperlink" Target="https://www3.unicentro.br/?utm_source=gemini" TargetMode="External" Id="rId154"/><Relationship Type="http://schemas.openxmlformats.org/officeDocument/2006/relationships/hyperlink" Target="https://www3.unicentro.br/docentes/ademir-juracy-fanfa-ribas/" TargetMode="External" Id="rId155"/><Relationship Type="http://schemas.openxmlformats.org/officeDocument/2006/relationships/hyperlink" Target="https://www.google.com/search?q=https://uenp.edu.br&amp;utm_source=gemini&amp;authuser=1" TargetMode="External" Id="rId156"/><Relationship Type="http://schemas.openxmlformats.org/officeDocument/2006/relationships/hyperlink" Target="https://uenp.edu.br/contato.html" TargetMode="External" Id="rId157"/><Relationship Type="http://schemas.openxmlformats.org/officeDocument/2006/relationships/hyperlink" Target="https://unespar.edu.br/?utm_source=gemini" TargetMode="External" Id="rId158"/><Relationship Type="http://schemas.openxmlformats.org/officeDocument/2006/relationships/hyperlink" Target="https://unespar.edu.br/a_reitoria/administracao" TargetMode="External" Id="rId159"/><Relationship Type="http://schemas.openxmlformats.org/officeDocument/2006/relationships/hyperlink" Target="https://www.udesc.br/?utm_source=gemini" TargetMode="External" Id="rId160"/><Relationship Type="http://schemas.openxmlformats.org/officeDocument/2006/relationships/hyperlink" Target="https://www.udesc.br" TargetMode="External" Id="rId161"/><Relationship Type="http://schemas.openxmlformats.org/officeDocument/2006/relationships/hyperlink" Target="https://www.uergs.edu.br/?utm_source=gemini" TargetMode="External" Id="rId162"/><Relationship Type="http://schemas.openxmlformats.org/officeDocument/2006/relationships/hyperlink" Target="https://portal.uneb.br/?utm_source=gemini" TargetMode="External" Id="rId163"/><Relationship Type="http://schemas.openxmlformats.org/officeDocument/2006/relationships/hyperlink" Target="https://reitoria.uneb.br/estrutura/" TargetMode="External" Id="rId164"/><Relationship Type="http://schemas.openxmlformats.org/officeDocument/2006/relationships/hyperlink" Target="https://www.uefs.br/?utm_source=gemini" TargetMode="External" Id="rId165"/><Relationship Type="http://schemas.openxmlformats.org/officeDocument/2006/relationships/hyperlink" Target="https://www.uefs.br/modules/conteudo/conteudo.php?conteudo=26" TargetMode="External" Id="rId166"/><Relationship Type="http://schemas.openxmlformats.org/officeDocument/2006/relationships/hyperlink" Target="https://www.uesc.br/?utm_source=gemini" TargetMode="External" Id="rId167"/><Relationship Type="http://schemas.openxmlformats.org/officeDocument/2006/relationships/hyperlink" Target="https://www.uesc.br/reitoria/" TargetMode="External" Id="rId168"/><Relationship Type="http://schemas.openxmlformats.org/officeDocument/2006/relationships/hyperlink" Target="https://www.uesb.br/?utm_source=gemini" TargetMode="External" Id="rId169"/><Relationship Type="http://schemas.openxmlformats.org/officeDocument/2006/relationships/hyperlink" Target="https://www.uesb.br/reitoria/" TargetMode="External" Id="rId170"/><Relationship Type="http://schemas.openxmlformats.org/officeDocument/2006/relationships/hyperlink" Target="https://www.uece.br/?utm_source=gemini" TargetMode="External" Id="rId171"/><Relationship Type="http://schemas.openxmlformats.org/officeDocument/2006/relationships/hyperlink" Target="https://www.uece.br/?utm_source=gemini" TargetMode="External" Id="rId172"/><Relationship Type="http://schemas.openxmlformats.org/officeDocument/2006/relationships/hyperlink" Target="https://www.uva.br/?utm_source=gemini" TargetMode="External" Id="rId173"/><Relationship Type="http://schemas.openxmlformats.org/officeDocument/2006/relationships/hyperlink" Target="https://www.uva.br" TargetMode="External" Id="rId174"/><Relationship Type="http://schemas.openxmlformats.org/officeDocument/2006/relationships/hyperlink" Target="https://urca.br/?utm_source=gemini" TargetMode="External" Id="rId175"/><Relationship Type="http://schemas.openxmlformats.org/officeDocument/2006/relationships/hyperlink" Target="https://www.urca.br/" TargetMode="External" Id="rId176"/><Relationship Type="http://schemas.openxmlformats.org/officeDocument/2006/relationships/hyperlink" Target="https://www.google.com/search?q=https://uern.br&amp;utm_source=gemini&amp;authuser=1" TargetMode="External" Id="rId177"/><Relationship Type="http://schemas.openxmlformats.org/officeDocument/2006/relationships/hyperlink" Target="https://portal.uern.br/administracao-superior/" TargetMode="External" Id="rId178"/><Relationship Type="http://schemas.openxmlformats.org/officeDocument/2006/relationships/hyperlink" Target="https://uepb.edu.br/?utm_source=gemini" TargetMode="External" Id="rId179"/><Relationship Type="http://schemas.openxmlformats.org/officeDocument/2006/relationships/hyperlink" Target="https://uepb.edu.br/gabinete-da-reitoria/" TargetMode="External" Id="rId180"/><Relationship Type="http://schemas.openxmlformats.org/officeDocument/2006/relationships/hyperlink" Target="https://uespi.br/?utm_source=gemini" TargetMode="External" Id="rId181"/><Relationship Type="http://schemas.openxmlformats.org/officeDocument/2006/relationships/hyperlink" Target="https://uema.br/?utm_source=gemini" TargetMode="External" Id="rId182"/><Relationship Type="http://schemas.openxmlformats.org/officeDocument/2006/relationships/hyperlink" Target="https://www.uema.br/reitoria/" TargetMode="External" Id="rId183"/><Relationship Type="http://schemas.openxmlformats.org/officeDocument/2006/relationships/hyperlink" Target="https://uemasul.edu.br/?utm_source=gemini" TargetMode="External" Id="rId184"/><Relationship Type="http://schemas.openxmlformats.org/officeDocument/2006/relationships/hyperlink" Target="https://www.uemasul.edu.br/institucional/reitoria/" TargetMode="External" Id="rId185"/><Relationship Type="http://schemas.openxmlformats.org/officeDocument/2006/relationships/hyperlink" Target="https://uneal.edu.br/?utm_source=gemini" TargetMode="External" Id="rId186"/><Relationship Type="http://schemas.openxmlformats.org/officeDocument/2006/relationships/hyperlink" Target="https://www.uneal.edu.br/" TargetMode="External" Id="rId187"/><Relationship Type="http://schemas.openxmlformats.org/officeDocument/2006/relationships/hyperlink" Target="https://uncisal.edu.br/?utm_source=gemini" TargetMode="External" Id="rId188"/><Relationship Type="http://schemas.openxmlformats.org/officeDocument/2006/relationships/hyperlink" Target="https://ueap.edu.br/?utm_source=gemini" TargetMode="External" Id="rId189"/><Relationship Type="http://schemas.openxmlformats.org/officeDocument/2006/relationships/hyperlink" Target="https://www.uea.edu.br/?utm_source=gemini" TargetMode="External" Id="rId190"/><Relationship Type="http://schemas.openxmlformats.org/officeDocument/2006/relationships/hyperlink" Target="https://uea.edu.br/index.php/reitor/" TargetMode="External" Id="rId191"/><Relationship Type="http://schemas.openxmlformats.org/officeDocument/2006/relationships/hyperlink" Target="https://www.uepa.br/?utm_source=gemini" TargetMode="External" Id="rId192"/><Relationship Type="http://schemas.openxmlformats.org/officeDocument/2006/relationships/hyperlink" Target="https://uerr.edu.br/?utm_source=gemini" TargetMode="External" Id="rId193"/><Relationship Type="http://schemas.openxmlformats.org/officeDocument/2006/relationships/hyperlink" Target="https://uerr.edu.br/vice-reitoria/" TargetMode="External" Id="rId194"/><Relationship Type="http://schemas.openxmlformats.org/officeDocument/2006/relationships/hyperlink" Target="https://www.google.com/search?q=https://unitins.br&amp;utm_source=gemini&amp;authuser=1" TargetMode="External" Id="rId195"/><Relationship Type="http://schemas.openxmlformats.org/officeDocument/2006/relationships/hyperlink" Target="https://www-unitins-br.translate.goog/nPortal/portal/page/show/proreitoria-de-pesquisa-e-posgraduacao-?_x_tr_sl=pt&amp;_x_tr_tl=es-419&amp;_x_tr_hl=es-419&amp;_x_tr_pto=sc" TargetMode="External" Id="rId196"/><Relationship Type="http://schemas.openxmlformats.org/officeDocument/2006/relationships/hyperlink" Target="https://www.ueg.br/?utm_source=gemini" TargetMode="External" Id="rId197"/><Relationship Type="http://schemas.openxmlformats.org/officeDocument/2006/relationships/hyperlink" Target="https://www.ueg.br/conteudo/13646_reitoria" TargetMode="External" Id="rId198"/><Relationship Type="http://schemas.openxmlformats.org/officeDocument/2006/relationships/hyperlink" Target="https://unemat.br/?utm_source=gemini" TargetMode="External" Id="rId199"/><Relationship Type="http://schemas.openxmlformats.org/officeDocument/2006/relationships/hyperlink" Target="https://unemat.br/site/rtr/vice" TargetMode="External" Id="rId200"/><Relationship Type="http://schemas.openxmlformats.org/officeDocument/2006/relationships/hyperlink" Target="https://www.uems.br/?utm_source=gemini" TargetMode="External" Id="rId201"/><Relationship Type="http://schemas.openxmlformats.org/officeDocument/2006/relationships/hyperlink" Target="https://www.uems.br/reitoria/reitoria" TargetMode="External" Id="rId202"/><Relationship Type="http://schemas.openxmlformats.org/officeDocument/2006/relationships/hyperlink" Target="https://www.google.com/search?q=https://unidf.edu.br&amp;utm_source=gemini&amp;authuser=1" TargetMode="External" Id="rId203"/><Relationship Type="http://schemas.openxmlformats.org/officeDocument/2006/relationships/hyperlink" Target="https://unidf.edu.br" TargetMode="External" Id="rId204"/><Relationship Type="http://schemas.openxmlformats.org/officeDocument/2006/relationships/hyperlink" Target="https://www.google.com/search?q=https://www.unitau.br&amp;utm_source=gemini&amp;authuser=1" TargetMode="External" Id="rId205"/><Relationship Type="http://schemas.openxmlformats.org/officeDocument/2006/relationships/hyperlink" Target="https://www.unitau.br" TargetMode="External" Id="rId206"/><Relationship Type="http://schemas.openxmlformats.org/officeDocument/2006/relationships/hyperlink" Target="https://www.uscs.edu.br/?utm_source=gemini" TargetMode="External" Id="rId207"/><Relationship Type="http://schemas.openxmlformats.org/officeDocument/2006/relationships/hyperlink" Target="https://www.uscs.edu.br" TargetMode="External" Id="rId208"/><Relationship Type="http://schemas.openxmlformats.org/officeDocument/2006/relationships/hyperlink" Target="https://www.unirv.edu.br/?utm_source=gemini" TargetMode="External" Id="rId209"/><Relationship Type="http://schemas.openxmlformats.org/officeDocument/2006/relationships/hyperlink" Target="https://www.unirv.edu.br" TargetMode="External" Id="rId210"/><Relationship Type="http://schemas.openxmlformats.org/officeDocument/2006/relationships/hyperlink" Target="https://www.unirg.edu.br/?utm_source=gemini" TargetMode="External" Id="rId211"/><Relationship Type="http://schemas.openxmlformats.org/officeDocument/2006/relationships/hyperlink" Target="https://www.unirg.edu.br/contatos" TargetMode="External" Id="rId212"/><Relationship Type="http://schemas.openxmlformats.org/officeDocument/2006/relationships/hyperlink" Target="https://www.unifai.com.br/?utm_source=gemini" TargetMode="External" Id="rId213"/><Relationship Type="http://schemas.openxmlformats.org/officeDocument/2006/relationships/hyperlink" Target="https://www.fai.com.br/novo-portal/" TargetMode="External" Id="rId214"/><Relationship Type="http://schemas.openxmlformats.org/officeDocument/2006/relationships/hyperlink" Target="https://www.unifacef.com.br/?utm_source=gemini" TargetMode="External" Id="rId215"/><Relationship Type="http://schemas.openxmlformats.org/officeDocument/2006/relationships/hyperlink" Target="https://www.unifacef.com.br" TargetMode="External" Id="rId216"/><Relationship Type="http://schemas.openxmlformats.org/officeDocument/2006/relationships/hyperlink" Target="https://www.furb.br/?utm_source=gemini" TargetMode="External" Id="rId217"/><Relationship Type="http://schemas.openxmlformats.org/officeDocument/2006/relationships/hyperlink" Target="https://www.furb.br" TargetMode="External" Id="rId218"/><Relationship Type="http://schemas.openxmlformats.org/officeDocument/2006/relationships/hyperlink" Target="https://www.unc.br/?utm_source=gemini" TargetMode="External" Id="rId219"/><Relationship Type="http://schemas.openxmlformats.org/officeDocument/2006/relationships/hyperlink" Target="https://www.unc.br/?utm_source=gemini" TargetMode="External" Id="rId220"/><Relationship Type="http://schemas.openxmlformats.org/officeDocument/2006/relationships/hyperlink" Target="https://home.unicruz.edu.br/?utm_source=gemini" TargetMode="External" Id="rId221"/><Relationship Type="http://schemas.openxmlformats.org/officeDocument/2006/relationships/hyperlink" Target="https://home.unicruz.edu.br" TargetMode="External" Id="rId222"/><Relationship Type="http://schemas.openxmlformats.org/officeDocument/2006/relationships/hyperlink" Target="https://www.univali.br/?utm_source=gemini" TargetMode="External" Id="rId223"/><Relationship Type="http://schemas.openxmlformats.org/officeDocument/2006/relationships/hyperlink" Target="https://www.univali.br" TargetMode="External" Id="rId224"/><Relationship Type="http://schemas.openxmlformats.org/officeDocument/2006/relationships/hyperlink" Target="https://www.ucs.br/?utm_source=gemini" TargetMode="External" Id="rId225"/><Relationship Type="http://schemas.openxmlformats.org/officeDocument/2006/relationships/hyperlink" Target="https://www.ucs.br" TargetMode="External" Id="rId226"/><Relationship Type="http://schemas.openxmlformats.org/officeDocument/2006/relationships/hyperlink" Target="https://www.upf.br/?utm_source=gemini" TargetMode="External" Id="rId227"/><Relationship Type="http://schemas.openxmlformats.org/officeDocument/2006/relationships/hyperlink" Target="https://www.upf.br" TargetMode="External" Id="rId228"/><Relationship Type="http://schemas.openxmlformats.org/officeDocument/2006/relationships/hyperlink" Target="https://www.unisc.br/?utm_source=gemini" TargetMode="External" Id="rId229"/><Relationship Type="http://schemas.openxmlformats.org/officeDocument/2006/relationships/hyperlink" Target="https://www.unisc.br/pt/home/estrutura-administrativa/reitoria" TargetMode="External" Id="rId230"/><Relationship Type="http://schemas.openxmlformats.org/officeDocument/2006/relationships/hyperlink" Target="https://www.unesc.net/?utm_source=gemini" TargetMode="External" Id="rId231"/><Relationship Type="http://schemas.openxmlformats.org/officeDocument/2006/relationships/hyperlink" Target="https://www.unesc.net/proen" TargetMode="External" Id="rId232"/><Relationship Type="http://schemas.openxmlformats.org/officeDocument/2006/relationships/table" Target="/xl/tables/table7.xml" Id="rId23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onp.gob.pe/" TargetMode="External" Id="rId1"/><Relationship Type="http://schemas.openxmlformats.org/officeDocument/2006/relationships/hyperlink" Target="https://www.onp.gob.pe/" TargetMode="External" Id="rId2"/><Relationship Type="http://schemas.openxmlformats.org/officeDocument/2006/relationships/hyperlink" Target="https://www.essalud.gob.pe/" TargetMode="External" Id="rId3"/><Relationship Type="http://schemas.openxmlformats.org/officeDocument/2006/relationships/hyperlink" Target="https://www.essalud.gob.pe/" TargetMode="External" Id="rId4"/><Relationship Type="http://schemas.openxmlformats.org/officeDocument/2006/relationships/hyperlink" Target="https://www.sbs.gob.pe/" TargetMode="External" Id="rId5"/><Relationship Type="http://schemas.openxmlformats.org/officeDocument/2006/relationships/hyperlink" Target="https://www.sbs.gob.pe/contacto" TargetMode="External" Id="rId6"/><Relationship Type="http://schemas.openxmlformats.org/officeDocument/2006/relationships/hyperlink" Target="https://www.gob.pe/sis" TargetMode="External" Id="rId7"/><Relationship Type="http://schemas.openxmlformats.org/officeDocument/2006/relationships/hyperlink" Target="https://www.gob.pe/institucion/sis/contacto-y-numeros-de-emergencias" TargetMode="External" Id="rId8"/><Relationship Type="http://schemas.openxmlformats.org/officeDocument/2006/relationships/hyperlink" Target="https://www.gob.pe/susalud" TargetMode="External" Id="rId9"/><Relationship Type="http://schemas.openxmlformats.org/officeDocument/2006/relationships/hyperlink" Target="https://www.gob.pe/susalud" TargetMode="External" Id="rId10"/><Relationship Type="http://schemas.openxmlformats.org/officeDocument/2006/relationships/hyperlink" Target="https://www.gob.pe/cpmp" TargetMode="External" Id="rId11"/><Relationship Type="http://schemas.openxmlformats.org/officeDocument/2006/relationships/hyperlink" Target="https://www.gob.pe/cpmp" TargetMode="External" Id="rId12"/><Relationship Type="http://schemas.openxmlformats.org/officeDocument/2006/relationships/hyperlink" Target="https://www.asociacionafp.pe/" TargetMode="External" Id="rId13"/><Relationship Type="http://schemas.openxmlformats.org/officeDocument/2006/relationships/hyperlink" Target="https://www.asociacionafp.pe/" TargetMode="External" Id="rId14"/><Relationship Type="http://schemas.openxmlformats.org/officeDocument/2006/relationships/hyperlink" Target="https://www.afphabitat.com.pe/" TargetMode="External" Id="rId15"/><Relationship Type="http://schemas.openxmlformats.org/officeDocument/2006/relationships/hyperlink" Target="https://www.asociacionafp.pe/" TargetMode="External" Id="rId16"/><Relationship Type="http://schemas.openxmlformats.org/officeDocument/2006/relationships/hyperlink" Target="https://www.afpintegra.pe/" TargetMode="External" Id="rId17"/><Relationship Type="http://schemas.openxmlformats.org/officeDocument/2006/relationships/hyperlink" Target="https://www.afpintegra.pe/" TargetMode="External" Id="rId18"/><Relationship Type="http://schemas.openxmlformats.org/officeDocument/2006/relationships/hyperlink" Target="https://www.prima.com.pe/" TargetMode="External" Id="rId19"/><Relationship Type="http://schemas.openxmlformats.org/officeDocument/2006/relationships/hyperlink" Target="https://www.profuturo.com.pe/" TargetMode="External" Id="rId20"/><Relationship Type="http://schemas.openxmlformats.org/officeDocument/2006/relationships/hyperlink" Target="https://www.profuturo.com.pe/" TargetMode="External" Id="rId21"/><Relationship Type="http://schemas.openxmlformats.org/officeDocument/2006/relationships/hyperlink" Target="http://www.cbssp.com/contacto.php" TargetMode="External" Id="rId22"/><Relationship Type="http://schemas.openxmlformats.org/officeDocument/2006/relationships/hyperlink" Target="http://www.cbssp.com/contacto.php" TargetMode="External" Id="rId23"/><Relationship Type="http://schemas.openxmlformats.org/officeDocument/2006/relationships/hyperlink" Target="https://www.enap.edu.pe/programas/" TargetMode="External" Id="rId24"/><Relationship Type="http://schemas.openxmlformats.org/officeDocument/2006/relationships/hyperlink" Target="https://www.senati.edu.pe/sedes" TargetMode="External" Id="rId25"/><Relationship Type="http://schemas.openxmlformats.org/officeDocument/2006/relationships/hyperlink" Target="https://www.cgtp.org.pe/nuestra-historia/" TargetMode="External" Id="rId26"/><Relationship Type="http://schemas.openxmlformats.org/officeDocument/2006/relationships/hyperlink" Target="https://www.cgtp.org.pe/nuestra-historia/" TargetMode="External" Id="rId27"/><Relationship Type="http://schemas.openxmlformats.org/officeDocument/2006/relationships/hyperlink" Target="https://cutperu.org.pe/" TargetMode="External" Id="rId28"/><Relationship Type="http://schemas.openxmlformats.org/officeDocument/2006/relationships/hyperlink" Target="https://www.facebook.com/people/Cut-Peru/100075774565988/?sk=about" TargetMode="External" Id="rId29"/><Relationship Type="http://schemas.openxmlformats.org/officeDocument/2006/relationships/hyperlink" Target="http://www.catperu.org.pe/" TargetMode="External" Id="rId30"/><Relationship Type="http://schemas.openxmlformats.org/officeDocument/2006/relationships/hyperlink" Target="https://catperu.org.pe/" TargetMode="External" Id="rId31"/><Relationship Type="http://schemas.openxmlformats.org/officeDocument/2006/relationships/hyperlink" Target="https://www.unmsm.edu.pe/" TargetMode="External" Id="rId32"/><Relationship Type="http://schemas.openxmlformats.org/officeDocument/2006/relationships/hyperlink" Target="https://www.unmsm.edu.pe/" TargetMode="External" Id="rId33"/><Relationship Type="http://schemas.openxmlformats.org/officeDocument/2006/relationships/hyperlink" Target="https://enlinea.unsch.edu.pe/" TargetMode="External" Id="rId34"/><Relationship Type="http://schemas.openxmlformats.org/officeDocument/2006/relationships/hyperlink" Target="https://enlinea.unsch.edu.pe/" TargetMode="External" Id="rId35"/><Relationship Type="http://schemas.openxmlformats.org/officeDocument/2006/relationships/hyperlink" Target="https://www.unsaac.edu.pe/" TargetMode="External" Id="rId36"/><Relationship Type="http://schemas.openxmlformats.org/officeDocument/2006/relationships/hyperlink" Target="https://unitru.edu.pe/" TargetMode="External" Id="rId37"/><Relationship Type="http://schemas.openxmlformats.org/officeDocument/2006/relationships/hyperlink" Target="https://www.unsa.edu.pe/" TargetMode="External" Id="rId38"/><Relationship Type="http://schemas.openxmlformats.org/officeDocument/2006/relationships/hyperlink" Target="https://www.unsa.edu.pe/" TargetMode="External" Id="rId39"/><Relationship Type="http://schemas.openxmlformats.org/officeDocument/2006/relationships/hyperlink" Target="https://www.uni.edu.pe/" TargetMode="External" Id="rId40"/><Relationship Type="http://schemas.openxmlformats.org/officeDocument/2006/relationships/hyperlink" Target="https://portal.uni.edu.pe/" TargetMode="External" Id="rId41"/><Relationship Type="http://schemas.openxmlformats.org/officeDocument/2006/relationships/hyperlink" Target="https://www.lamolina.edu.pe/" TargetMode="External" Id="rId42"/><Relationship Type="http://schemas.openxmlformats.org/officeDocument/2006/relationships/hyperlink" Target="https://www.lamolina.edu.pe/" TargetMode="External" Id="rId43"/><Relationship Type="http://schemas.openxmlformats.org/officeDocument/2006/relationships/hyperlink" Target="https://unica.edu.pe/" TargetMode="External" Id="rId44"/><Relationship Type="http://schemas.openxmlformats.org/officeDocument/2006/relationships/hyperlink" Target="https://www.uncp.edu.pe/" TargetMode="External" Id="rId45"/><Relationship Type="http://schemas.openxmlformats.org/officeDocument/2006/relationships/hyperlink" Target="https://uncp.edu.pe/directorio-funcionarios/" TargetMode="External" Id="rId46"/><Relationship Type="http://schemas.openxmlformats.org/officeDocument/2006/relationships/hyperlink" Target="https://enlinea.unapiquitos.edu.pe/" TargetMode="External" Id="rId47"/><Relationship Type="http://schemas.openxmlformats.org/officeDocument/2006/relationships/hyperlink" Target="https://enlinea.unapiquitos.edu.pe/" TargetMode="External" Id="rId48"/><Relationship Type="http://schemas.openxmlformats.org/officeDocument/2006/relationships/hyperlink" Target="https://portal.unap.edu.pe/" TargetMode="External" Id="rId49"/><Relationship Type="http://schemas.openxmlformats.org/officeDocument/2006/relationships/hyperlink" Target="https://portal.unap.edu.pe/" TargetMode="External" Id="rId50"/><Relationship Type="http://schemas.openxmlformats.org/officeDocument/2006/relationships/hyperlink" Target="https://www.unp.edu.pe/" TargetMode="External" Id="rId51"/><Relationship Type="http://schemas.openxmlformats.org/officeDocument/2006/relationships/hyperlink" Target="https://www.unp.edu.pe/" TargetMode="External" Id="rId52"/><Relationship Type="http://schemas.openxmlformats.org/officeDocument/2006/relationships/hyperlink" Target="https://www.unc.edu.pe/" TargetMode="External" Id="rId53"/><Relationship Type="http://schemas.openxmlformats.org/officeDocument/2006/relationships/hyperlink" Target="https://www.unc.edu.pe/" TargetMode="External" Id="rId54"/><Relationship Type="http://schemas.openxmlformats.org/officeDocument/2006/relationships/hyperlink" Target="https://www.unfv.edu.pe/" TargetMode="External" Id="rId55"/><Relationship Type="http://schemas.openxmlformats.org/officeDocument/2006/relationships/hyperlink" Target="https://www.unfv.edu.pe/" TargetMode="External" Id="rId56"/><Relationship Type="http://schemas.openxmlformats.org/officeDocument/2006/relationships/hyperlink" Target="https://www.gob.pe/institucion/unas/contacto-y-numeros-de-emergencias" TargetMode="External" Id="rId57"/><Relationship Type="http://schemas.openxmlformats.org/officeDocument/2006/relationships/hyperlink" Target="https://www.gob.pe/institucion/unas/contacto-y-numeros-de-emergencias" TargetMode="External" Id="rId58"/><Relationship Type="http://schemas.openxmlformats.org/officeDocument/2006/relationships/hyperlink" Target="https://unheval.edu.pe/portal/" TargetMode="External" Id="rId59"/><Relationship Type="http://schemas.openxmlformats.org/officeDocument/2006/relationships/hyperlink" Target="https://unheval.edu.pe/portal/" TargetMode="External" Id="rId60"/><Relationship Type="http://schemas.openxmlformats.org/officeDocument/2006/relationships/hyperlink" Target="https://www.une.edu.pe/uneweb/" TargetMode="External" Id="rId61"/><Relationship Type="http://schemas.openxmlformats.org/officeDocument/2006/relationships/hyperlink" Target="https://www.une.edu.pe/uneweb/" TargetMode="External" Id="rId62"/><Relationship Type="http://schemas.openxmlformats.org/officeDocument/2006/relationships/hyperlink" Target="https://undac.edu.pe/" TargetMode="External" Id="rId63"/><Relationship Type="http://schemas.openxmlformats.org/officeDocument/2006/relationships/hyperlink" Target="https://undac.edu.pe/" TargetMode="External" Id="rId64"/><Relationship Type="http://schemas.openxmlformats.org/officeDocument/2006/relationships/hyperlink" Target="https://unac.edu.pe/" TargetMode="External" Id="rId65"/><Relationship Type="http://schemas.openxmlformats.org/officeDocument/2006/relationships/hyperlink" Target="https://unac.edu.pe/" TargetMode="External" Id="rId66"/><Relationship Type="http://schemas.openxmlformats.org/officeDocument/2006/relationships/hyperlink" Target="https://www.gob.pe/institucion/unjfsc/contacto-y-numeros-de-emergencias" TargetMode="External" Id="rId67"/><Relationship Type="http://schemas.openxmlformats.org/officeDocument/2006/relationships/hyperlink" Target="https://www.unprg.edu.pe/univ/portal/index.php" TargetMode="External" Id="rId68"/><Relationship Type="http://schemas.openxmlformats.org/officeDocument/2006/relationships/hyperlink" Target="https://www.unprg.edu.pe/univ/portal/index.php" TargetMode="External" Id="rId69"/><Relationship Type="http://schemas.openxmlformats.org/officeDocument/2006/relationships/hyperlink" Target="https://www.unjbg.edu.pe/" TargetMode="External" Id="rId70"/><Relationship Type="http://schemas.openxmlformats.org/officeDocument/2006/relationships/hyperlink" Target="https://www.unjbg.edu.pe/" TargetMode="External" Id="rId71"/><Relationship Type="http://schemas.openxmlformats.org/officeDocument/2006/relationships/hyperlink" Target="https://unasam.edu.pe/" TargetMode="External" Id="rId72"/><Relationship Type="http://schemas.openxmlformats.org/officeDocument/2006/relationships/hyperlink" Target="https://unasam.edu.pe/" TargetMode="External" Id="rId73"/><Relationship Type="http://schemas.openxmlformats.org/officeDocument/2006/relationships/hyperlink" Target="https://www.unsm.edu.pe/" TargetMode="External" Id="rId74"/><Relationship Type="http://schemas.openxmlformats.org/officeDocument/2006/relationships/hyperlink" Target="https://unsm.edu.pe/contacto/" TargetMode="External" Id="rId75"/><Relationship Type="http://schemas.openxmlformats.org/officeDocument/2006/relationships/hyperlink" Target="https://unu.edu.pe/portal/index.php" TargetMode="External" Id="rId76"/><Relationship Type="http://schemas.openxmlformats.org/officeDocument/2006/relationships/hyperlink" Target="https://unu.edu.pe/portal/index.php" TargetMode="External" Id="rId77"/><Relationship Type="http://schemas.openxmlformats.org/officeDocument/2006/relationships/hyperlink" Target="https://untumbes.edu.pe/" TargetMode="External" Id="rId78"/><Relationship Type="http://schemas.openxmlformats.org/officeDocument/2006/relationships/hyperlink" Target="https://untumbes.edu.pe/view_content.php?l=1&amp;m=67" TargetMode="External" Id="rId79"/><Relationship Type="http://schemas.openxmlformats.org/officeDocument/2006/relationships/hyperlink" Target="https://pure.uns.edu.pe/es/" TargetMode="External" Id="rId80"/><Relationship Type="http://schemas.openxmlformats.org/officeDocument/2006/relationships/hyperlink" Target="https://pure.uns.edu.pe/es/" TargetMode="External" Id="rId81"/><Relationship Type="http://schemas.openxmlformats.org/officeDocument/2006/relationships/hyperlink" Target="https://www.unh.edu.pe/" TargetMode="External" Id="rId82"/><Relationship Type="http://schemas.openxmlformats.org/officeDocument/2006/relationships/hyperlink" Target="https://portal.unamad.edu.pe/" TargetMode="External" Id="rId83"/><Relationship Type="http://schemas.openxmlformats.org/officeDocument/2006/relationships/hyperlink" Target="https://portal.unamad.edu.pe/" TargetMode="External" Id="rId84"/><Relationship Type="http://schemas.openxmlformats.org/officeDocument/2006/relationships/hyperlink" Target="https://untrm.edu.pe/buzon-de-sugerencias/" TargetMode="External" Id="rId85"/><Relationship Type="http://schemas.openxmlformats.org/officeDocument/2006/relationships/hyperlink" Target="https://untrm.edu.pe/buzon-de-sugerencias/" TargetMode="External" Id="rId86"/><Relationship Type="http://schemas.openxmlformats.org/officeDocument/2006/relationships/hyperlink" Target="https://www.unamba.edu.pe/" TargetMode="External" Id="rId87"/><Relationship Type="http://schemas.openxmlformats.org/officeDocument/2006/relationships/hyperlink" Target="https://www.unamba.edu.pe/" TargetMode="External" Id="rId88"/><Relationship Type="http://schemas.openxmlformats.org/officeDocument/2006/relationships/hyperlink" Target="https://unia.edu.pe/contacto/" TargetMode="External" Id="rId89"/><Relationship Type="http://schemas.openxmlformats.org/officeDocument/2006/relationships/hyperlink" Target="https://unia.edu.pe/contacto/" TargetMode="External" Id="rId90"/><Relationship Type="http://schemas.openxmlformats.org/officeDocument/2006/relationships/hyperlink" Target="https://www.gob.pe/institucion/untels/contacto-y-numeros-de-emergencias" TargetMode="External" Id="rId91"/><Relationship Type="http://schemas.openxmlformats.org/officeDocument/2006/relationships/hyperlink" Target="https://www.gob.pe/institucion/untels/contacto-y-numeros-de-emergencias" TargetMode="External" Id="rId92"/><Relationship Type="http://schemas.openxmlformats.org/officeDocument/2006/relationships/hyperlink" Target="https://unajma.edu.pe/" TargetMode="External" Id="rId93"/><Relationship Type="http://schemas.openxmlformats.org/officeDocument/2006/relationships/hyperlink" Target="https://unajma.edu.pe/" TargetMode="External" Id="rId94"/><Relationship Type="http://schemas.openxmlformats.org/officeDocument/2006/relationships/hyperlink" Target="https://unam.edu.pe/universidad-nacional-de-moquegua/" TargetMode="External" Id="rId95"/><Relationship Type="http://schemas.openxmlformats.org/officeDocument/2006/relationships/hyperlink" Target="https://unam.edu.pe/universidad-nacional-de-moquegua/" TargetMode="External" Id="rId96"/><Relationship Type="http://schemas.openxmlformats.org/officeDocument/2006/relationships/hyperlink" Target="https://portal.unaj.edu.pe/" TargetMode="External" Id="rId97"/><Relationship Type="http://schemas.openxmlformats.org/officeDocument/2006/relationships/hyperlink" Target="https://portal.unaj.edu.pe/" TargetMode="External" Id="rId98"/><Relationship Type="http://schemas.openxmlformats.org/officeDocument/2006/relationships/hyperlink" Target="https://unj.edu.pe/contactanos/" TargetMode="External" Id="rId99"/><Relationship Type="http://schemas.openxmlformats.org/officeDocument/2006/relationships/hyperlink" Target="https://unj.edu.pe/contactanos/" TargetMode="External" Id="rId100"/><Relationship Type="http://schemas.openxmlformats.org/officeDocument/2006/relationships/hyperlink" Target="https://www.unf.edu.pe/" TargetMode="External" Id="rId101"/><Relationship Type="http://schemas.openxmlformats.org/officeDocument/2006/relationships/hyperlink" Target="https://www.unf.edu.pe/" TargetMode="External" Id="rId102"/><Relationship Type="http://schemas.openxmlformats.org/officeDocument/2006/relationships/hyperlink" Target="https://www.portaluni.unach.edu.pe/" TargetMode="External" Id="rId103"/><Relationship Type="http://schemas.openxmlformats.org/officeDocument/2006/relationships/hyperlink" Target="https://www.portaluni.unach.edu.pe/" TargetMode="External" Id="rId104"/><Relationship Type="http://schemas.openxmlformats.org/officeDocument/2006/relationships/hyperlink" Target="https://www.unab.edu.pe/" TargetMode="External" Id="rId105"/><Relationship Type="http://schemas.openxmlformats.org/officeDocument/2006/relationships/hyperlink" Target="https://portal.undc.edu.pe/" TargetMode="External" Id="rId106"/><Relationship Type="http://schemas.openxmlformats.org/officeDocument/2006/relationships/hyperlink" Target="https://web.undc.edu.pe/" TargetMode="External" Id="rId107"/><Relationship Type="http://schemas.openxmlformats.org/officeDocument/2006/relationships/hyperlink" Target="https://www.gob.pe/institucion/unibagua/contacto-y-numeros-de-emergencias" TargetMode="External" Id="rId108"/><Relationship Type="http://schemas.openxmlformats.org/officeDocument/2006/relationships/hyperlink" Target="https://www.gob.pe/institucion/unibagua/contacto-y-numeros-de-emergencias" TargetMode="External" Id="rId109"/><Relationship Type="http://schemas.openxmlformats.org/officeDocument/2006/relationships/hyperlink" Target="https://www.gob.pe/institucion/universidad-nacional-intercultural-de-la-selva-central-juan-santos-atahualpa/contacto-y-numeros-de-emergencias" TargetMode="External" Id="rId110"/><Relationship Type="http://schemas.openxmlformats.org/officeDocument/2006/relationships/hyperlink" Target="https://www.gob.pe/institucion/universidad-nacional-intercultural-de-la-selva-central-juan-santos-atahualpa/contacto-y-numeros-de-emergencias" TargetMode="External" Id="rId111"/><Relationship Type="http://schemas.openxmlformats.org/officeDocument/2006/relationships/hyperlink" Target="https://www.gob.pe/institucion/uniq/contacto-y-numeros-de-emergencias" TargetMode="External" Id="rId112"/><Relationship Type="http://schemas.openxmlformats.org/officeDocument/2006/relationships/hyperlink" Target="https://unaaa.edu.pe/admision/" TargetMode="External" Id="rId113"/><Relationship Type="http://schemas.openxmlformats.org/officeDocument/2006/relationships/hyperlink" Target="https://unaaa.edu.pe/admision/" TargetMode="External" Id="rId114"/><Relationship Type="http://schemas.openxmlformats.org/officeDocument/2006/relationships/hyperlink" Target="https://www.gob.pe/institucion/unaat/contacto-y-numeros-de-emergencias" TargetMode="External" Id="rId115"/><Relationship Type="http://schemas.openxmlformats.org/officeDocument/2006/relationships/hyperlink" Target="https://www.gob.pe/institucion/unaat/contacto-y-numeros-de-emergencias" TargetMode="External" Id="rId116"/><Relationship Type="http://schemas.openxmlformats.org/officeDocument/2006/relationships/hyperlink" Target="https://portal.unah.edu.pe/" TargetMode="External" Id="rId117"/><Relationship Type="http://schemas.openxmlformats.org/officeDocument/2006/relationships/hyperlink" Target="https://portal.unah.edu.pe/" TargetMode="External" Id="rId118"/><Relationship Type="http://schemas.openxmlformats.org/officeDocument/2006/relationships/hyperlink" Target="https://portal.unat.edu.pe/" TargetMode="External" Id="rId119"/><Relationship Type="http://schemas.openxmlformats.org/officeDocument/2006/relationships/hyperlink" Target="https://www.gob.pe/institucion/unat/contacto-y-numeros-de-emergencias" TargetMode="External" Id="rId120"/><Relationship Type="http://schemas.openxmlformats.org/officeDocument/2006/relationships/hyperlink" Target="https://unca.edu.pe/" TargetMode="External" Id="rId121"/><Relationship Type="http://schemas.openxmlformats.org/officeDocument/2006/relationships/hyperlink" Target="https://unca.edu.pe/" TargetMode="External" Id="rId122"/><Relationship Type="http://schemas.openxmlformats.org/officeDocument/2006/relationships/hyperlink" Target="https://www.undar.edu.pe/" TargetMode="External" Id="rId123"/><Relationship Type="http://schemas.openxmlformats.org/officeDocument/2006/relationships/hyperlink" Target="https://www.gob.pe/institucion/undar/contacto-y-numeros-de-emergencias" TargetMode="External" Id="rId124"/><Relationship Type="http://schemas.openxmlformats.org/officeDocument/2006/relationships/hyperlink" Target="https://www.unm.edu.pe/" TargetMode="External" Id="rId125"/><Relationship Type="http://schemas.openxmlformats.org/officeDocument/2006/relationships/hyperlink" Target="https://www.unm.edu.pe/" TargetMode="External" Id="rId126"/><Relationship Type="http://schemas.openxmlformats.org/officeDocument/2006/relationships/hyperlink" Target="https://unatefsil.edu.pe/" TargetMode="External" Id="rId127"/><Relationship Type="http://schemas.openxmlformats.org/officeDocument/2006/relationships/hyperlink" Target="https://unatefsil.edu.pe/" TargetMode="External" Id="rId128"/><Relationship Type="http://schemas.openxmlformats.org/officeDocument/2006/relationships/table" Target="/xl/tables/table8.xml" Id="rId12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css.sa.cr/" TargetMode="External" Id="rId1"/><Relationship Type="http://schemas.openxmlformats.org/officeDocument/2006/relationships/hyperlink" Target="https://www.ccss.sa.cr/" TargetMode="External" Id="rId2"/><Relationship Type="http://schemas.openxmlformats.org/officeDocument/2006/relationships/hyperlink" Target="https://www.grupoins.com/" TargetMode="External" Id="rId3"/><Relationship Type="http://schemas.openxmlformats.org/officeDocument/2006/relationships/hyperlink" Target="https://www.jupema.fi.cr/" TargetMode="External" Id="rId4"/><Relationship Type="http://schemas.openxmlformats.org/officeDocument/2006/relationships/hyperlink" Target="https://www.juntadepensiones.cr/inicio" TargetMode="External" Id="rId5"/><Relationship Type="http://schemas.openxmlformats.org/officeDocument/2006/relationships/hyperlink" Target="https://www.ande.cr/" TargetMode="External" Id="rId6"/><Relationship Type="http://schemas.openxmlformats.org/officeDocument/2006/relationships/hyperlink" Target="https://www.aseccss.com/" TargetMode="External" Id="rId7"/><Relationship Type="http://schemas.openxmlformats.org/officeDocument/2006/relationships/hyperlink" Target="https://www.imas.go.cr/" TargetMode="External" Id="rId8"/><Relationship Type="http://schemas.openxmlformats.org/officeDocument/2006/relationships/hyperlink" Target="https://www.imas.go.cr/es/directorio" TargetMode="External" Id="rId9"/><Relationship Type="http://schemas.openxmlformats.org/officeDocument/2006/relationships/hyperlink" Target="https://www.supen.fi.cr/" TargetMode="External" Id="rId10"/><Relationship Type="http://schemas.openxmlformats.org/officeDocument/2006/relationships/hyperlink" Target="https://www.acosap.or.cr/" TargetMode="External" Id="rId11"/><Relationship Type="http://schemas.openxmlformats.org/officeDocument/2006/relationships/hyperlink" Target="https://medicos.cr/web2/asociacion-costarricense-de-salud-publica/" TargetMode="External" Id="rId12"/><Relationship Type="http://schemas.openxmlformats.org/officeDocument/2006/relationships/hyperlink" Target="https://cpj.go.cr/padrones/" TargetMode="External" Id="rId13"/><Relationship Type="http://schemas.openxmlformats.org/officeDocument/2006/relationships/hyperlink" Target="https://siemprelistos.com/contactos/" TargetMode="External" Id="rId14"/><Relationship Type="http://schemas.openxmlformats.org/officeDocument/2006/relationships/hyperlink" Target="https://www.ina.ac.cr/SiteAssets/docs/PDF/Regionales_Centros_Formacion_INA.pdf" TargetMode="External" Id="rId15"/><Relationship Type="http://schemas.openxmlformats.org/officeDocument/2006/relationships/hyperlink" Target="https://www.ina.ac.cr/SiteAssets/docs/PDF/Regionales_Centros_Formacion_INA.pdf" TargetMode="External" Id="rId16"/><Relationship Type="http://schemas.openxmlformats.org/officeDocument/2006/relationships/hyperlink" Target="https://www.ina.ac.cr/SiteAssets/docs/PDF/Regionales_Centros_Formacion_INA.pdf" TargetMode="External" Id="rId17"/><Relationship Type="http://schemas.openxmlformats.org/officeDocument/2006/relationships/hyperlink" Target="https://www.ina.ac.cr/SiteAssets/docs/PDF/Regionales_Centros_Formacion_INA.pdf" TargetMode="External" Id="rId18"/><Relationship Type="http://schemas.openxmlformats.org/officeDocument/2006/relationships/hyperlink" Target="https://www.ina.ac.cr/SiteAssets/docs/PDF/Regionales_Centros_Formacion_INA.pdf" TargetMode="External" Id="rId19"/><Relationship Type="http://schemas.openxmlformats.org/officeDocument/2006/relationships/hyperlink" Target="https://www.ina.ac.cr/SiteAssets/docs/PDF/Regionales_Centros_Formacion_INA.pdf" TargetMode="External" Id="rId20"/><Relationship Type="http://schemas.openxmlformats.org/officeDocument/2006/relationships/hyperlink" Target="https://www.ina.ac.cr/SiteAssets/docs/PDF/Regionales_Centros_Formacion_INA.pdf" TargetMode="External" Id="rId21"/><Relationship Type="http://schemas.openxmlformats.org/officeDocument/2006/relationships/hyperlink" Target="https://www.ina.ac.cr/SiteAssets/docs/PDF/Regionales_Centros_Formacion_INA.pdf" TargetMode="External" Id="rId22"/><Relationship Type="http://schemas.openxmlformats.org/officeDocument/2006/relationships/hyperlink" Target="https://www.ina.ac.cr/SiteAssets/docs/PDF/Regionales_Centros_Formacion_INA.pdf" TargetMode="External" Id="rId23"/><Relationship Type="http://schemas.openxmlformats.org/officeDocument/2006/relationships/hyperlink" Target="https://www.ina.ac.cr/SiteAssets/docs/PDF/Regionales_Centros_Formacion_INA.pdf" TargetMode="External" Id="rId24"/><Relationship Type="http://schemas.openxmlformats.org/officeDocument/2006/relationships/hyperlink" Target="https://www.ina.ac.cr/SiteAssets/docs/PDF/Regionales_Centros_Formacion_INA.pdf" TargetMode="External" Id="rId25"/><Relationship Type="http://schemas.openxmlformats.org/officeDocument/2006/relationships/hyperlink" Target="https://www.ina.ac.cr/SiteAssets/docs/PDF/Regionales_Centros_Formacion_INA.pdf" TargetMode="External" Id="rId26"/><Relationship Type="http://schemas.openxmlformats.org/officeDocument/2006/relationships/hyperlink" Target="https://www.ina.ac.cr/SiteAssets/docs/PDF/Regionales_Centros_Formacion_INA.pdf" TargetMode="External" Id="rId27"/><Relationship Type="http://schemas.openxmlformats.org/officeDocument/2006/relationships/hyperlink" Target="https://www.ina.ac.cr/SiteAssets/docs/PDF/Regionales_Centros_Formacion_INA.pdf" TargetMode="External" Id="rId28"/><Relationship Type="http://schemas.openxmlformats.org/officeDocument/2006/relationships/hyperlink" Target="https://www.ina.ac.cr/SiteAssets/docs/PDF/Regionales_Centros_Formacion_INA.pdf" TargetMode="External" Id="rId29"/><Relationship Type="http://schemas.openxmlformats.org/officeDocument/2006/relationships/hyperlink" Target="https://www.ina.ac.cr/SiteAssets/docs/PDF/Regionales_Centros_Formacion_INA.pdf" TargetMode="External" Id="rId30"/><Relationship Type="http://schemas.openxmlformats.org/officeDocument/2006/relationships/hyperlink" Target="https://www.ina.ac.cr/SiteAssets/docs/PDF/Regionales_Centros_Formacion_INA.pdf" TargetMode="External" Id="rId31"/><Relationship Type="http://schemas.openxmlformats.org/officeDocument/2006/relationships/hyperlink" Target="https://www.ina.ac.cr/SiteAssets/docs/PDF/Regionales_Centros_Formacion_INA.pdf" TargetMode="External" Id="rId32"/><Relationship Type="http://schemas.openxmlformats.org/officeDocument/2006/relationships/hyperlink" Target="https://www.ina.ac.cr/SiteAssets/docs/PDF/Regionales_Centros_Formacion_INA.pdf" TargetMode="External" Id="rId33"/><Relationship Type="http://schemas.openxmlformats.org/officeDocument/2006/relationships/hyperlink" Target="https://www.ina.ac.cr/SiteAssets/docs/PDF/Regionales_Centros_Formacion_INA.pdf" TargetMode="External" Id="rId34"/><Relationship Type="http://schemas.openxmlformats.org/officeDocument/2006/relationships/hyperlink" Target="https://www.ina.ac.cr/SiteAssets/docs/PDF/Regionales_Centros_Formacion_INA.pdf" TargetMode="External" Id="rId35"/><Relationship Type="http://schemas.openxmlformats.org/officeDocument/2006/relationships/hyperlink" Target="https://www.ina.ac.cr/SiteAssets/docs/PDF/Regionales_Centros_Formacion_INA.pdf" TargetMode="External" Id="rId36"/><Relationship Type="http://schemas.openxmlformats.org/officeDocument/2006/relationships/hyperlink" Target="https://www.ina.ac.cr/SiteAssets/docs/PDF/Regionales_Centros_Formacion_INA.pdf" TargetMode="External" Id="rId37"/><Relationship Type="http://schemas.openxmlformats.org/officeDocument/2006/relationships/hyperlink" Target="https://www.ina.ac.cr/SiteAssets/docs/PDF/Regionales_Centros_Formacion_INA.pdf" TargetMode="External" Id="rId38"/><Relationship Type="http://schemas.openxmlformats.org/officeDocument/2006/relationships/hyperlink" Target="https://www.ina.ac.cr/SiteAssets/docs/PDF/Regionales_Centros_Formacion_INA.pdf" TargetMode="External" Id="rId39"/><Relationship Type="http://schemas.openxmlformats.org/officeDocument/2006/relationships/hyperlink" Target="https://www.ina.ac.cr/SiteAssets/docs/PDF/Regionales_Centros_Formacion_INA.pdf" TargetMode="External" Id="rId40"/><Relationship Type="http://schemas.openxmlformats.org/officeDocument/2006/relationships/hyperlink" Target="https://www.ina.ac.cr/SiteAssets/docs/PDF/Regionales_Centros_Formacion_INA.pdf" TargetMode="External" Id="rId41"/><Relationship Type="http://schemas.openxmlformats.org/officeDocument/2006/relationships/hyperlink" Target="https://www.ina.ac.cr/SiteAssets/docs/PDF/Regionales_Centros_Formacion_INA.pdf" TargetMode="External" Id="rId42"/><Relationship Type="http://schemas.openxmlformats.org/officeDocument/2006/relationships/hyperlink" Target="https://www.ina.ac.cr/SiteAssets/docs/PDF/Regionales_Centros_Formacion_INA.pdf" TargetMode="External" Id="rId43"/><Relationship Type="http://schemas.openxmlformats.org/officeDocument/2006/relationships/hyperlink" Target="https://www.ina.ac.cr/SiteAssets/docs/PDF/Regionales_Centros_Formacion_INA.pdf" TargetMode="External" Id="rId44"/><Relationship Type="http://schemas.openxmlformats.org/officeDocument/2006/relationships/hyperlink" Target="https://www.ina.ac.cr/SiteAssets/docs/PDF/Regionales_Centros_Formacion_INA.pdf" TargetMode="External" Id="rId45"/><Relationship Type="http://schemas.openxmlformats.org/officeDocument/2006/relationships/hyperlink" Target="https://www.ina.ac.cr/SiteAssets/docs/PDF/Regionales_Centros_Formacion_INA.pdf" TargetMode="External" Id="rId46"/><Relationship Type="http://schemas.openxmlformats.org/officeDocument/2006/relationships/hyperlink" Target="https://www.ina.ac.cr/SiteAssets/docs/PDF/Regionales_Centros_Formacion_INA.pdf" TargetMode="External" Id="rId47"/><Relationship Type="http://schemas.openxmlformats.org/officeDocument/2006/relationships/hyperlink" Target="https://www.ina.ac.cr/SiteAssets/docs/PDF/Regionales_Centros_Formacion_INA.pdf" TargetMode="External" Id="rId48"/><Relationship Type="http://schemas.openxmlformats.org/officeDocument/2006/relationships/hyperlink" Target="https://www.ina.ac.cr/SiteAssets/docs/PDF/Regionales_Centros_Formacion_INA.pdf" TargetMode="External" Id="rId49"/><Relationship Type="http://schemas.openxmlformats.org/officeDocument/2006/relationships/hyperlink" Target="https://www.ina.ac.cr/SiteAssets/docs/PDF/Regionales_Centros_Formacion_INA.pdf" TargetMode="External" Id="rId50"/><Relationship Type="http://schemas.openxmlformats.org/officeDocument/2006/relationships/hyperlink" Target="https://www.ina.ac.cr/SiteAssets/docs/PDF/Regionales_Centros_Formacion_INA.pdf" TargetMode="External" Id="rId51"/><Relationship Type="http://schemas.openxmlformats.org/officeDocument/2006/relationships/hyperlink" Target="https://www.ina.ac.cr/SiteAssets/docs/PDF/Regionales_Centros_Formacion_INA.pdf" TargetMode="External" Id="rId52"/><Relationship Type="http://schemas.openxmlformats.org/officeDocument/2006/relationships/hyperlink" Target="https://www.ina.ac.cr/SiteAssets/docs/PDF/Regionales_Centros_Formacion_INA.pdf" TargetMode="External" Id="rId53"/><Relationship Type="http://schemas.openxmlformats.org/officeDocument/2006/relationships/hyperlink" Target="https://www.ina.ac.cr/SiteAssets/docs/PDF/Regionales_Centros_Formacion_INA.pdf" TargetMode="External" Id="rId54"/><Relationship Type="http://schemas.openxmlformats.org/officeDocument/2006/relationships/hyperlink" Target="https://www.ina.ac.cr/SiteAssets/docs/PDF/Regionales_Centros_Formacion_INA.pdf" TargetMode="External" Id="rId55"/><Relationship Type="http://schemas.openxmlformats.org/officeDocument/2006/relationships/hyperlink" Target="https://www.ina.ac.cr/SiteAssets/docs/PDF/Regionales_Centros_Formacion_INA.pdf" TargetMode="External" Id="rId56"/><Relationship Type="http://schemas.openxmlformats.org/officeDocument/2006/relationships/hyperlink" Target="https://www.ina.ac.cr/SiteAssets/docs/PDF/Regionales_Centros_Formacion_INA.pdf" TargetMode="External" Id="rId57"/><Relationship Type="http://schemas.openxmlformats.org/officeDocument/2006/relationships/hyperlink" Target="https://www.ina.ac.cr/SiteAssets/docs/PDF/Regionales_Centros_Formacion_INA.pdf" TargetMode="External" Id="rId58"/><Relationship Type="http://schemas.openxmlformats.org/officeDocument/2006/relationships/hyperlink" Target="https://www.ina.ac.cr/SiteAssets/docs/PDF/Regionales_Centros_Formacion_INA.pdf" TargetMode="External" Id="rId59"/><Relationship Type="http://schemas.openxmlformats.org/officeDocument/2006/relationships/hyperlink" Target="https://www.ina.ac.cr/SiteAssets/docs/PDF/Regionales_Centros_Formacion_INA.pdf" TargetMode="External" Id="rId60"/><Relationship Type="http://schemas.openxmlformats.org/officeDocument/2006/relationships/hyperlink" Target="https://www.ina.ac.cr/SiteAssets/docs/PDF/Regionales_Centros_Formacion_INA.pdf" TargetMode="External" Id="rId61"/><Relationship Type="http://schemas.openxmlformats.org/officeDocument/2006/relationships/hyperlink" Target="https://www.ina.ac.cr/SiteAssets/docs/PDF/Regionales_Centros_Formacion_INA.pdf" TargetMode="External" Id="rId62"/><Relationship Type="http://schemas.openxmlformats.org/officeDocument/2006/relationships/hyperlink" Target="https://www.ina.ac.cr/SiteAssets/docs/PDF/Regionales_Centros_Formacion_INA.pdf" TargetMode="External" Id="rId63"/><Relationship Type="http://schemas.openxmlformats.org/officeDocument/2006/relationships/hyperlink" Target="https://www.ina.ac.cr/SiteAssets/docs/PDF/Regionales_Centros_Formacion_INA.pdf" TargetMode="External" Id="rId64"/><Relationship Type="http://schemas.openxmlformats.org/officeDocument/2006/relationships/hyperlink" Target="https://www.ina.ac.cr/SiteAssets/docs/PDF/Regionales_Centros_Formacion_INA.pdf" TargetMode="External" Id="rId65"/><Relationship Type="http://schemas.openxmlformats.org/officeDocument/2006/relationships/hyperlink" Target="https://www.ina.ac.cr/SiteAssets/docs/PDF/Regionales_Centros_Formacion_INA.pdf" TargetMode="External" Id="rId66"/><Relationship Type="http://schemas.openxmlformats.org/officeDocument/2006/relationships/hyperlink" Target="https://www.ina.ac.cr/SiteAssets/docs/PDF/Regionales_Centros_Formacion_INA.pdf" TargetMode="External" Id="rId67"/><Relationship Type="http://schemas.openxmlformats.org/officeDocument/2006/relationships/hyperlink" Target="https://www.ina.ac.cr/SiteAssets/docs/PDF/Regionales_Centros_Formacion_INA.pdf" TargetMode="External" Id="rId68"/><Relationship Type="http://schemas.openxmlformats.org/officeDocument/2006/relationships/hyperlink" Target="https://www.ina.ac.cr/SiteAssets/docs/PDF/Regionales_Centros_Formacion_INA.pdf" TargetMode="External" Id="rId69"/><Relationship Type="http://schemas.openxmlformats.org/officeDocument/2006/relationships/hyperlink" Target="https://www.ina.ac.cr/SiteAssets/docs/PDF/Regionales_Centros_Formacion_INA.pdf" TargetMode="External" Id="rId70"/><Relationship Type="http://schemas.openxmlformats.org/officeDocument/2006/relationships/hyperlink" Target="https://www.ina.ac.cr/SiteAssets/docs/PDF/Regionales_Centros_Formacion_INA.pdf" TargetMode="External" Id="rId71"/><Relationship Type="http://schemas.openxmlformats.org/officeDocument/2006/relationships/hyperlink" Target="https://www.ina.ac.cr/SiteAssets/docs/PDF/Regionales_Centros_Formacion_INA.pdf" TargetMode="External" Id="rId72"/><Relationship Type="http://schemas.openxmlformats.org/officeDocument/2006/relationships/hyperlink" Target="https://www.ina.ac.cr/SiteAssets/docs/PDF/Regionales_Centros_Formacion_INA.pdf" TargetMode="External" Id="rId73"/><Relationship Type="http://schemas.openxmlformats.org/officeDocument/2006/relationships/hyperlink" Target="https://www.ina.ac.cr/SiteAssets/docs/PDF/Regionales_Centros_Formacion_INA.pdf" TargetMode="External" Id="rId74"/><Relationship Type="http://schemas.openxmlformats.org/officeDocument/2006/relationships/hyperlink" Target="https://www.ina.ac.cr/SiteAssets/docs/PDF/Regionales_Centros_Formacion_INA.pdf" TargetMode="External" Id="rId75"/><Relationship Type="http://schemas.openxmlformats.org/officeDocument/2006/relationships/hyperlink" Target="https://www.ina.ac.cr/SiteAssets/docs/PDF/Regionales_Centros_Formacion_INA.pdf" TargetMode="External" Id="rId76"/><Relationship Type="http://schemas.openxmlformats.org/officeDocument/2006/relationships/hyperlink" Target="https://www.ina.ac.cr/SiteAssets/docs/PDF/Regionales_Centros_Formacion_INA.pdf" TargetMode="External" Id="rId77"/><Relationship Type="http://schemas.openxmlformats.org/officeDocument/2006/relationships/hyperlink" Target="https://www.ina.ac.cr/SiteAssets/docs/PDF/Regionales_Centros_Formacion_INA.pdf" TargetMode="External" Id="rId78"/><Relationship Type="http://schemas.openxmlformats.org/officeDocument/2006/relationships/hyperlink" Target="https://www.ina.ac.cr/SiteAssets/docs/PDF/Regionales_Centros_Formacion_INA.pdf" TargetMode="External" Id="rId79"/><Relationship Type="http://schemas.openxmlformats.org/officeDocument/2006/relationships/hyperlink" Target="https://www.ina.ac.cr/SiteAssets/docs/PDF/Regionales_Centros_Formacion_INA.pdf" TargetMode="External" Id="rId80"/><Relationship Type="http://schemas.openxmlformats.org/officeDocument/2006/relationships/hyperlink" Target="https://www.ina.ac.cr/SiteAssets/docs/PDF/Regionales_Centros_Formacion_INA.pdf" TargetMode="External" Id="rId81"/><Relationship Type="http://schemas.openxmlformats.org/officeDocument/2006/relationships/hyperlink" Target="https://www.ina.ac.cr/SiteAssets/docs/PDF/Regionales_Centros_Formacion_INA.pdf" TargetMode="External" Id="rId82"/><Relationship Type="http://schemas.openxmlformats.org/officeDocument/2006/relationships/hyperlink" Target="https://www.ina.ac.cr/SiteAssets/docs/PDF/Regionales_Centros_Formacion_INA.pdf" TargetMode="External" Id="rId83"/><Relationship Type="http://schemas.openxmlformats.org/officeDocument/2006/relationships/hyperlink" Target="https://www.ina.ac.cr/SiteAssets/docs/PDF/Regionales_Centros_Formacion_INA.pdf" TargetMode="External" Id="rId84"/><Relationship Type="http://schemas.openxmlformats.org/officeDocument/2006/relationships/hyperlink" Target="https://www.ina.ac.cr/SiteAssets/docs/PDF/Regionales_Centros_Formacion_INA.pdf" TargetMode="External" Id="rId85"/><Relationship Type="http://schemas.openxmlformats.org/officeDocument/2006/relationships/hyperlink" Target="https://www.ina.ac.cr/SiteAssets/docs/PDF/Regionales_Centros_Formacion_INA.pdf" TargetMode="External" Id="rId86"/><Relationship Type="http://schemas.openxmlformats.org/officeDocument/2006/relationships/hyperlink" Target="https://www.ina.ac.cr/SiteAssets/docs/PDF/Regionales_Centros_Formacion_INA.pdf" TargetMode="External" Id="rId87"/><Relationship Type="http://schemas.openxmlformats.org/officeDocument/2006/relationships/hyperlink" Target="https://www.ina.ac.cr/SiteAssets/docs/PDF/Regionales_Centros_Formacion_INA.pdf" TargetMode="External" Id="rId88"/><Relationship Type="http://schemas.openxmlformats.org/officeDocument/2006/relationships/hyperlink" Target="https://www.ina.ac.cr/SiteAssets/docs/PDF/Regionales_Centros_Formacion_INA.pdf" TargetMode="External" Id="rId89"/><Relationship Type="http://schemas.openxmlformats.org/officeDocument/2006/relationships/hyperlink" Target="https://www.ina.ac.cr/SiteAssets/docs/PDF/Regionales_Centros_Formacion_INA.pdf" TargetMode="External" Id="rId90"/><Relationship Type="http://schemas.openxmlformats.org/officeDocument/2006/relationships/hyperlink" Target="https://www.ina.ac.cr/SiteAssets/docs/PDF/Regionales_Centros_Formacion_INA.pdf" TargetMode="External" Id="rId91"/><Relationship Type="http://schemas.openxmlformats.org/officeDocument/2006/relationships/hyperlink" Target="https://www.ina.ac.cr/SiteAssets/docs/PDF/Regionales_Centros_Formacion_INA.pdf" TargetMode="External" Id="rId92"/><Relationship Type="http://schemas.openxmlformats.org/officeDocument/2006/relationships/hyperlink" Target="https://www.ina.ac.cr/SiteAssets/docs/PDF/Regionales_Centros_Formacion_INA.pdf" TargetMode="External" Id="rId93"/><Relationship Type="http://schemas.openxmlformats.org/officeDocument/2006/relationships/hyperlink" Target="https://www.ina.ac.cr/SiteAssets/docs/PDF/Regionales_Centros_Formacion_INA.pdf" TargetMode="External" Id="rId94"/><Relationship Type="http://schemas.openxmlformats.org/officeDocument/2006/relationships/hyperlink" Target="https://www.ina.ac.cr/SiteAssets/docs/PDF/Regionales_Centros_Formacion_INA.pdf" TargetMode="External" Id="rId95"/><Relationship Type="http://schemas.openxmlformats.org/officeDocument/2006/relationships/hyperlink" Target="https://www.ina.ac.cr/SiteAssets/docs/PDF/Regionales_Centros_Formacion_INA.pdf" TargetMode="External" Id="rId96"/><Relationship Type="http://schemas.openxmlformats.org/officeDocument/2006/relationships/hyperlink" Target="https://www.ina.ac.cr/SiteAssets/docs/PDF/Regionales_Centros_Formacion_INA.pdf" TargetMode="External" Id="rId97"/><Relationship Type="http://schemas.openxmlformats.org/officeDocument/2006/relationships/hyperlink" Target="https://www.ina.ac.cr/SiteAssets/docs/PDF/Regionales_Centros_Formacion_INA.pdf" TargetMode="External" Id="rId98"/><Relationship Type="http://schemas.openxmlformats.org/officeDocument/2006/relationships/hyperlink" Target="https://www.ina.ac.cr/SiteAssets/docs/PDF/Regionales_Centros_Formacion_INA.pdf" TargetMode="External" Id="rId99"/><Relationship Type="http://schemas.openxmlformats.org/officeDocument/2006/relationships/hyperlink" Target="https://www.ina.ac.cr/SiteAssets/docs/PDF/Regionales_Centros_Formacion_INA.pdf" TargetMode="External" Id="rId100"/><Relationship Type="http://schemas.openxmlformats.org/officeDocument/2006/relationships/hyperlink" Target="https://www.ina.ac.cr/SiteAssets/docs/PDF/Regionales_Centros_Formacion_INA.pdf" TargetMode="External" Id="rId101"/><Relationship Type="http://schemas.openxmlformats.org/officeDocument/2006/relationships/hyperlink" Target="https://www.ina.ac.cr/SiteAssets/docs/PDF/Regionales_Centros_Formacion_INA.pdf" TargetMode="External" Id="rId102"/><Relationship Type="http://schemas.openxmlformats.org/officeDocument/2006/relationships/hyperlink" Target="https://www.ina.ac.cr/SiteAssets/docs/PDF/Regionales_Centros_Formacion_INA.pdf" TargetMode="External" Id="rId103"/><Relationship Type="http://schemas.openxmlformats.org/officeDocument/2006/relationships/hyperlink" Target="https://www.ina.ac.cr/SiteAssets/docs/PDF/Regionales_Centros_Formacion_INA.pdf" TargetMode="External" Id="rId104"/><Relationship Type="http://schemas.openxmlformats.org/officeDocument/2006/relationships/hyperlink" Target="https://www.ina.ac.cr/SiteAssets/docs/PDF/Regionales_Centros_Formacion_INA.pdf" TargetMode="External" Id="rId105"/><Relationship Type="http://schemas.openxmlformats.org/officeDocument/2006/relationships/hyperlink" Target="https://www.ina.ac.cr/SiteAssets/docs/PDF/Regionales_Centros_Formacion_INA.pdf" TargetMode="External" Id="rId106"/><Relationship Type="http://schemas.openxmlformats.org/officeDocument/2006/relationships/hyperlink" Target="https://www.ina.ac.cr/SiteAssets/docs/PDF/Regionales_Centros_Formacion_INA.pdf" TargetMode="External" Id="rId107"/><Relationship Type="http://schemas.openxmlformats.org/officeDocument/2006/relationships/hyperlink" Target="https://www.ina.ac.cr/SiteAssets/docs/PDF/Regionales_Centros_Formacion_INA.pdf" TargetMode="External" Id="rId108"/><Relationship Type="http://schemas.openxmlformats.org/officeDocument/2006/relationships/hyperlink" Target="https://www.ina.ac.cr/SiteAssets/docs/PDF/Regionales_Centros_Formacion_INA.pdf" TargetMode="External" Id="rId109"/><Relationship Type="http://schemas.openxmlformats.org/officeDocument/2006/relationships/hyperlink" Target="https://www.ina.ac.cr/SiteAssets/docs/PDF/Regionales_Centros_Formacion_INA.pdf" TargetMode="External" Id="rId110"/><Relationship Type="http://schemas.openxmlformats.org/officeDocument/2006/relationships/hyperlink" Target="https://www.ina.ac.cr/SiteAssets/docs/PDF/Regionales_Centros_Formacion_INA.pdf" TargetMode="External" Id="rId111"/><Relationship Type="http://schemas.openxmlformats.org/officeDocument/2006/relationships/hyperlink" Target="https://www.ina.ac.cr/SiteAssets/docs/PDF/Regionales_Centros_Formacion_INA.pdf" TargetMode="External" Id="rId112"/><Relationship Type="http://schemas.openxmlformats.org/officeDocument/2006/relationships/hyperlink" Target="https://www.ina.ac.cr/SiteAssets/docs/PDF/Regionales_Centros_Formacion_INA.pdf" TargetMode="External" Id="rId113"/><Relationship Type="http://schemas.openxmlformats.org/officeDocument/2006/relationships/hyperlink" Target="https://www.ina.ac.cr/SiteAssets/docs/PDF/Regionales_Centros_Formacion_INA.pdf" TargetMode="External" Id="rId114"/><Relationship Type="http://schemas.openxmlformats.org/officeDocument/2006/relationships/hyperlink" Target="https://www.ina.ac.cr/SiteAssets/docs/PDF/Regionales_Centros_Formacion_INA.pdf" TargetMode="External" Id="rId115"/><Relationship Type="http://schemas.openxmlformats.org/officeDocument/2006/relationships/hyperlink" Target="https://www.ina.ac.cr/SiteAssets/docs/PDF/Regionales_Centros_Formacion_INA.pdf" TargetMode="External" Id="rId116"/><Relationship Type="http://schemas.openxmlformats.org/officeDocument/2006/relationships/hyperlink" Target="https://www.ina.ac.cr/SiteAssets/docs/PDF/Regionales_Centros_Formacion_INA.pdf" TargetMode="External" Id="rId117"/><Relationship Type="http://schemas.openxmlformats.org/officeDocument/2006/relationships/hyperlink" Target="https://www.ina.ac.cr/SiteAssets/docs/PDF/Regionales_Centros_Formacion_INA.pdf" TargetMode="External" Id="rId118"/><Relationship Type="http://schemas.openxmlformats.org/officeDocument/2006/relationships/hyperlink" Target="https://www.ina.ac.cr/SiteAssets/docs/PDF/Regionales_Centros_Formacion_INA.pdf" TargetMode="External" Id="rId119"/><Relationship Type="http://schemas.openxmlformats.org/officeDocument/2006/relationships/hyperlink" Target="https://www.ina.ac.cr/SiteAssets/docs/PDF/Regionales_Centros_Formacion_INA.pdf" TargetMode="External" Id="rId120"/><Relationship Type="http://schemas.openxmlformats.org/officeDocument/2006/relationships/hyperlink" Target="https://www.ina.ac.cr/SiteAssets/docs/PDF/Regionales_Centros_Formacion_INA.pdf" TargetMode="External" Id="rId121"/><Relationship Type="http://schemas.openxmlformats.org/officeDocument/2006/relationships/hyperlink" Target="https://www.ina.ac.cr/SiteAssets/docs/PDF/Regionales_Centros_Formacion_INA.pdf" TargetMode="External" Id="rId122"/><Relationship Type="http://schemas.openxmlformats.org/officeDocument/2006/relationships/hyperlink" Target="https://www.ina.ac.cr/SiteAssets/docs/PDF/Regionales_Centros_Formacion_INA.pdf" TargetMode="External" Id="rId123"/><Relationship Type="http://schemas.openxmlformats.org/officeDocument/2006/relationships/hyperlink" Target="https://www.ina.ac.cr/SiteAssets/docs/PDF/Regionales_Centros_Formacion_INA.pdf" TargetMode="External" Id="rId124"/><Relationship Type="http://schemas.openxmlformats.org/officeDocument/2006/relationships/hyperlink" Target="https://www.ina.ac.cr/SiteAssets/docs/PDF/Regionales_Centros_Formacion_INA.pdf" TargetMode="External" Id="rId125"/><Relationship Type="http://schemas.openxmlformats.org/officeDocument/2006/relationships/hyperlink" Target="https://www.ina.ac.cr/SiteAssets/docs/PDF/Regionales_Centros_Formacion_INA.pdf" TargetMode="External" Id="rId126"/><Relationship Type="http://schemas.openxmlformats.org/officeDocument/2006/relationships/hyperlink" Target="https://www.ina.ac.cr/SiteAssets/docs/PDF/Regionales_Centros_Formacion_INA.pdf" TargetMode="External" Id="rId127"/><Relationship Type="http://schemas.openxmlformats.org/officeDocument/2006/relationships/hyperlink" Target="https://www.ina.ac.cr/SiteAssets/docs/PDF/Regionales_Centros_Formacion_INA.pdf" TargetMode="External" Id="rId128"/><Relationship Type="http://schemas.openxmlformats.org/officeDocument/2006/relationships/hyperlink" Target="https://www.ina.ac.cr/SiteAssets/docs/PDF/Regionales_Centros_Formacion_INA.pdf" TargetMode="External" Id="rId129"/><Relationship Type="http://schemas.openxmlformats.org/officeDocument/2006/relationships/hyperlink" Target="https://www.ina.ac.cr/SiteAssets/docs/PDF/Regionales_Centros_Formacion_INA.pdf" TargetMode="External" Id="rId130"/><Relationship Type="http://schemas.openxmlformats.org/officeDocument/2006/relationships/hyperlink" Target="https://www.ina.ac.cr/SiteAssets/docs/PDF/Regionales_Centros_Formacion_INA.pdf" TargetMode="External" Id="rId131"/><Relationship Type="http://schemas.openxmlformats.org/officeDocument/2006/relationships/hyperlink" Target="https://www.ina.ac.cr/SiteAssets/docs/PDF/Regionales_Centros_Formacion_INA.pdf" TargetMode="External" Id="rId132"/><Relationship Type="http://schemas.openxmlformats.org/officeDocument/2006/relationships/hyperlink" Target="https://www.ina.ac.cr/SiteAssets/docs/PDF/Regionales_Centros_Formacion_INA.pdf" TargetMode="External" Id="rId133"/><Relationship Type="http://schemas.openxmlformats.org/officeDocument/2006/relationships/hyperlink" Target="https://www.ina.ac.cr/SiteAssets/docs/PDF/Regionales_Centros_Formacion_INA.pdf" TargetMode="External" Id="rId134"/><Relationship Type="http://schemas.openxmlformats.org/officeDocument/2006/relationships/hyperlink" Target="https://www.ina.ac.cr/SiteAssets/docs/PDF/Regionales_Centros_Formacion_INA.pdf" TargetMode="External" Id="rId135"/><Relationship Type="http://schemas.openxmlformats.org/officeDocument/2006/relationships/hyperlink" Target="https://www.ina.ac.cr/SiteAssets/docs/PDF/Regionales_Centros_Formacion_INA.pdf" TargetMode="External" Id="rId136"/><Relationship Type="http://schemas.openxmlformats.org/officeDocument/2006/relationships/hyperlink" Target="https://www.ina.ac.cr/SiteAssets/docs/PDF/Regionales_Centros_Formacion_INA.pdf" TargetMode="External" Id="rId137"/><Relationship Type="http://schemas.openxmlformats.org/officeDocument/2006/relationships/hyperlink" Target="https://www.ina.ac.cr/SiteAssets/docs/PDF/Regionales_Centros_Formacion_INA.pdf" TargetMode="External" Id="rId138"/><Relationship Type="http://schemas.openxmlformats.org/officeDocument/2006/relationships/hyperlink" Target="https://www.ina.ac.cr/SiteAssets/docs/PDF/Regionales_Centros_Formacion_INA.pdf" TargetMode="External" Id="rId139"/><Relationship Type="http://schemas.openxmlformats.org/officeDocument/2006/relationships/hyperlink" Target="https://www.ina.ac.cr/SiteAssets/docs/PDF/Regionales_Centros_Formacion_INA.pdf" TargetMode="External" Id="rId140"/><Relationship Type="http://schemas.openxmlformats.org/officeDocument/2006/relationships/hyperlink" Target="https://www.ucr.ac.cr" TargetMode="External" Id="rId141"/><Relationship Type="http://schemas.openxmlformats.org/officeDocument/2006/relationships/hyperlink" Target="https://www.tec.ac.cr" TargetMode="External" Id="rId142"/><Relationship Type="http://schemas.openxmlformats.org/officeDocument/2006/relationships/hyperlink" Target="https://www.una.ac.cr" TargetMode="External" Id="rId143"/><Relationship Type="http://schemas.openxmlformats.org/officeDocument/2006/relationships/hyperlink" Target="https://www.uned.ac.cr" TargetMode="External" Id="rId144"/><Relationship Type="http://schemas.openxmlformats.org/officeDocument/2006/relationships/hyperlink" Target="https://www.utn.ac.cr" TargetMode="External" Id="rId145"/><Relationship Type="http://schemas.openxmlformats.org/officeDocument/2006/relationships/hyperlink" Target="https://www.mtss.go.cr/tramites-servicios/catalogo-tramites/sindicatos.html" TargetMode="External" Id="rId146"/><Relationship Type="http://schemas.openxmlformats.org/officeDocument/2006/relationships/hyperlink" Target="https://rerumnovarumcr.com/contact-page/" TargetMode="External" Id="rId147"/><Relationship Type="http://schemas.openxmlformats.org/officeDocument/2006/relationships/hyperlink" Target="https://www.mtss.go.cr/tramites-servicios/catalogo-tramites/sindicatos.html" TargetMode="External" Id="rId148"/><Relationship Type="http://schemas.openxmlformats.org/officeDocument/2006/relationships/hyperlink" Target="https://cmtccr.org/" TargetMode="External" Id="rId149"/><Relationship Type="http://schemas.openxmlformats.org/officeDocument/2006/relationships/hyperlink" Target="https://www.mtss.go.cr/tramites-servicios/catalogo-tramites/sindicatos.html" TargetMode="External" Id="rId150"/><Relationship Type="http://schemas.openxmlformats.org/officeDocument/2006/relationships/hyperlink" Target="https://www.govern1.com/CR/San-Jos%C3%A9/1766865323545184/BUSSCO-COSTA-RICA" TargetMode="External" Id="rId151"/><Relationship Type="http://schemas.openxmlformats.org/officeDocument/2006/relationships/hyperlink" Target="https://www.mtss.go.cr/tramites-servicios/catalogo-tramites/sindicatos.html" TargetMode="External" Id="rId152"/><Relationship Type="http://schemas.openxmlformats.org/officeDocument/2006/relationships/hyperlink" Target="https://www.ande.cr/" TargetMode="External" Id="rId153"/><Relationship Type="http://schemas.openxmlformats.org/officeDocument/2006/relationships/hyperlink" Target="https://www.globgov.com/CR/San-Jos%C3%A9/474129352674244/ANDE---Asociaci%C3%B3n-Nacional-de-Educadores-y-Educadoras" TargetMode="External" Id="rId154"/><Relationship Type="http://schemas.openxmlformats.org/officeDocument/2006/relationships/hyperlink" Target="https://apse.cr/" TargetMode="External" Id="rId155"/><Relationship Type="http://schemas.openxmlformats.org/officeDocument/2006/relationships/hyperlink" Target="https://apse.cr/contactos/" TargetMode="External" Id="rId156"/><Relationship Type="http://schemas.openxmlformats.org/officeDocument/2006/relationships/hyperlink" Target="https://seccr.org/" TargetMode="External" Id="rId157"/><Relationship Type="http://schemas.openxmlformats.org/officeDocument/2006/relationships/hyperlink" Target="https://seccr.org/contactenos/" TargetMode="External" Id="rId158"/><Relationship Type="http://schemas.openxmlformats.org/officeDocument/2006/relationships/hyperlink" Target="https://www.mtss.go.cr/tramites-servicios/catalogo-tramites/sindicatos.html" TargetMode="External" Id="rId159"/><Relationship Type="http://schemas.openxmlformats.org/officeDocument/2006/relationships/hyperlink" Target="https://sindeu.ucr.ac.cr/contactenos/" TargetMode="External" Id="rId160"/><Relationship Type="http://schemas.openxmlformats.org/officeDocument/2006/relationships/hyperlink" Target="https://www.mtss.go.cr/tramites-servicios/catalogo-tramites/sindicatos.html" TargetMode="External" Id="rId161"/><Relationship Type="http://schemas.openxmlformats.org/officeDocument/2006/relationships/hyperlink" Target="https://www.situn.una.ac.cr/" TargetMode="External" Id="rId162"/><Relationship Type="http://schemas.openxmlformats.org/officeDocument/2006/relationships/hyperlink" Target="https://www.mtss.go.cr/tramites-servicios/catalogo-tramites/sindicatos.html" TargetMode="External" Id="rId163"/><Relationship Type="http://schemas.openxmlformats.org/officeDocument/2006/relationships/hyperlink" Target="https://undeca.cr/2012/05/29/contacto-administracion-undeca/" TargetMode="External" Id="rId164"/><Relationship Type="http://schemas.openxmlformats.org/officeDocument/2006/relationships/hyperlink" Target="https://www.unionmedica.com/" TargetMode="External" Id="rId165"/><Relationship Type="http://schemas.openxmlformats.org/officeDocument/2006/relationships/hyperlink" Target="https://unionmedica.com/contacto/" TargetMode="External" Id="rId166"/><Relationship Type="http://schemas.openxmlformats.org/officeDocument/2006/relationships/hyperlink" Target="https://sinaecr.com/category/noticias/sinae-afines/" TargetMode="External" Id="rId167"/><Relationship Type="http://schemas.openxmlformats.org/officeDocument/2006/relationships/hyperlink" Target="https://www.sinaeafinesvirtual.com/" TargetMode="External" Id="rId168"/><Relationship Type="http://schemas.openxmlformats.org/officeDocument/2006/relationships/hyperlink" Target="https://anep.cr/" TargetMode="External" Id="rId169"/><Relationship Type="http://schemas.openxmlformats.org/officeDocument/2006/relationships/hyperlink" Target="https://anep.cr/contacto/" TargetMode="External" Id="rId170"/><Relationship Type="http://schemas.openxmlformats.org/officeDocument/2006/relationships/hyperlink" Target="https://www.mtss.go.cr/tramites-servicios/catalogo-tramites/sindicatos.html" TargetMode="External" Id="rId171"/><Relationship Type="http://schemas.openxmlformats.org/officeDocument/2006/relationships/hyperlink" Target="https://sitrap.net/contacto/" TargetMode="External" Id="rId172"/><Relationship Type="http://schemas.openxmlformats.org/officeDocument/2006/relationships/table" Target="/xl/tables/table9.xml" Id="rId17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uba.ar" TargetMode="External" Id="rId1"/><Relationship Type="http://schemas.openxmlformats.org/officeDocument/2006/relationships/hyperlink" Target="https://mapa.educacion.gob.ar/maps/mapa-navegable-de-las-universidades" TargetMode="External" Id="rId2"/><Relationship Type="http://schemas.openxmlformats.org/officeDocument/2006/relationships/hyperlink" Target="https://www.unc.edu.ar" TargetMode="External" Id="rId3"/><Relationship Type="http://schemas.openxmlformats.org/officeDocument/2006/relationships/hyperlink" Target="https://mapa.educacion.gob.ar/maps/mapa-navegable-de-las-universidades" TargetMode="External" Id="rId4"/><Relationship Type="http://schemas.openxmlformats.org/officeDocument/2006/relationships/hyperlink" Target="https://unlp.edu.ar" TargetMode="External" Id="rId5"/><Relationship Type="http://schemas.openxmlformats.org/officeDocument/2006/relationships/hyperlink" Target="https://mapa.educacion.gob.ar/maps/mapa-navegable-de-las-universidades" TargetMode="External" Id="rId6"/><Relationship Type="http://schemas.openxmlformats.org/officeDocument/2006/relationships/hyperlink" Target="https://www.unt.edu.ar" TargetMode="External" Id="rId7"/><Relationship Type="http://schemas.openxmlformats.org/officeDocument/2006/relationships/hyperlink" Target="http://secretariaextension.unt.edu.ar/" TargetMode="External" Id="rId8"/><Relationship Type="http://schemas.openxmlformats.org/officeDocument/2006/relationships/hyperlink" Target="https://mapa.educacion.gob.ar/maps/mapa-navegable-de-las-universidades" TargetMode="External" Id="rId9"/><Relationship Type="http://schemas.openxmlformats.org/officeDocument/2006/relationships/hyperlink" Target="https://unr.edu.ar" TargetMode="External" Id="rId10"/><Relationship Type="http://schemas.openxmlformats.org/officeDocument/2006/relationships/hyperlink" Target="https://mapa.educacion.gob.ar/maps/mapa-navegable-de-las-universidades" TargetMode="External" Id="rId11"/><Relationship Type="http://schemas.openxmlformats.org/officeDocument/2006/relationships/hyperlink" Target="https://www.uncuyo.edu.ar" TargetMode="External" Id="rId12"/><Relationship Type="http://schemas.openxmlformats.org/officeDocument/2006/relationships/hyperlink" Target="https://mapa.educacion.gob.ar/maps/mapa-navegable-de-las-universidades" TargetMode="External" Id="rId13"/><Relationship Type="http://schemas.openxmlformats.org/officeDocument/2006/relationships/hyperlink" Target="https://www.unl.edu.ar" TargetMode="External" Id="rId14"/><Relationship Type="http://schemas.openxmlformats.org/officeDocument/2006/relationships/hyperlink" Target="https://mapa.educacion.gob.ar/maps/mapa-navegable-de-las-universidades" TargetMode="External" Id="rId15"/><Relationship Type="http://schemas.openxmlformats.org/officeDocument/2006/relationships/hyperlink" Target="https://www.utn.edu.ar/" TargetMode="External" Id="rId16"/><Relationship Type="http://schemas.openxmlformats.org/officeDocument/2006/relationships/hyperlink" Target="https://mapa.educacion.gob.ar/maps/mapa-navegable-de-las-universidades" TargetMode="External" Id="rId17"/><Relationship Type="http://schemas.openxmlformats.org/officeDocument/2006/relationships/hyperlink" Target="https://www.unne.edu.ar" TargetMode="External" Id="rId18"/><Relationship Type="http://schemas.openxmlformats.org/officeDocument/2006/relationships/hyperlink" Target="https://mapa.educacion.gob.ar/maps/mapa-navegable-de-las-universidades" TargetMode="External" Id="rId19"/><Relationship Type="http://schemas.openxmlformats.org/officeDocument/2006/relationships/hyperlink" Target="https://www.mdp.edu.ar" TargetMode="External" Id="rId20"/><Relationship Type="http://schemas.openxmlformats.org/officeDocument/2006/relationships/hyperlink" Target="https://mapa.educacion.gob.ar/maps/mapa-navegable-de-las-universidades" TargetMode="External" Id="rId21"/><Relationship Type="http://schemas.openxmlformats.org/officeDocument/2006/relationships/hyperlink" Target="https://www.uns.edu.ar" TargetMode="External" Id="rId22"/><Relationship Type="http://schemas.openxmlformats.org/officeDocument/2006/relationships/hyperlink" Target="https://mapa.educacion.gob.ar/maps/mapa-navegable-de-las-universidades" TargetMode="External" Id="rId23"/><Relationship Type="http://schemas.openxmlformats.org/officeDocument/2006/relationships/hyperlink" Target="https://www.unrc.edu.ar" TargetMode="External" Id="rId24"/><Relationship Type="http://schemas.openxmlformats.org/officeDocument/2006/relationships/hyperlink" Target="https://mapa.educacion.gob.ar/maps/mapa-navegable-de-las-universidades" TargetMode="External" Id="rId25"/><Relationship Type="http://schemas.openxmlformats.org/officeDocument/2006/relationships/hyperlink" Target="https://www.uncoma.edu.ar" TargetMode="External" Id="rId26"/><Relationship Type="http://schemas.openxmlformats.org/officeDocument/2006/relationships/hyperlink" Target="https://mapa.educacion.gob.ar/maps/mapa-navegable-de-las-universidades" TargetMode="External" Id="rId27"/><Relationship Type="http://schemas.openxmlformats.org/officeDocument/2006/relationships/hyperlink" Target="https://www.unsa.edu.ar" TargetMode="External" Id="rId28"/><Relationship Type="http://schemas.openxmlformats.org/officeDocument/2006/relationships/hyperlink" Target="https://mapa.educacion.gob.ar/maps/mapa-navegable-de-las-universidades" TargetMode="External" Id="rId29"/><Relationship Type="http://schemas.openxmlformats.org/officeDocument/2006/relationships/hyperlink" Target="https://www.unca.edu.ar" TargetMode="External" Id="rId30"/><Relationship Type="http://schemas.openxmlformats.org/officeDocument/2006/relationships/hyperlink" Target="https://mapa.educacion.gob.ar/maps/mapa-navegable-de-las-universidades" TargetMode="External" Id="rId31"/><Relationship Type="http://schemas.openxmlformats.org/officeDocument/2006/relationships/hyperlink" Target="https://www.unju.edu.ar" TargetMode="External" Id="rId32"/><Relationship Type="http://schemas.openxmlformats.org/officeDocument/2006/relationships/hyperlink" Target="https://mapa.educacion.gob.ar/maps/mapa-navegable-de-las-universidades" TargetMode="External" Id="rId33"/><Relationship Type="http://schemas.openxmlformats.org/officeDocument/2006/relationships/hyperlink" Target="https://www.unam.edu.ar" TargetMode="External" Id="rId34"/><Relationship Type="http://schemas.openxmlformats.org/officeDocument/2006/relationships/hyperlink" Target="https://mapa.educacion.gob.ar/maps/mapa-navegable-de-las-universidades" TargetMode="External" Id="rId35"/><Relationship Type="http://schemas.openxmlformats.org/officeDocument/2006/relationships/hyperlink" Target="https://www.unse.edu.ar" TargetMode="External" Id="rId36"/><Relationship Type="http://schemas.openxmlformats.org/officeDocument/2006/relationships/hyperlink" Target="https://mapa.educacion.gob.ar/maps/mapa-navegable-de-las-universidades" TargetMode="External" Id="rId37"/><Relationship Type="http://schemas.openxmlformats.org/officeDocument/2006/relationships/hyperlink" Target="https://www.unsj.edu.ar" TargetMode="External" Id="rId38"/><Relationship Type="http://schemas.openxmlformats.org/officeDocument/2006/relationships/hyperlink" Target="https://mapa.educacion.gob.ar/maps/mapa-navegable-de-las-universidades" TargetMode="External" Id="rId39"/><Relationship Type="http://schemas.openxmlformats.org/officeDocument/2006/relationships/hyperlink" Target="https://www.unsl.edu.ar" TargetMode="External" Id="rId40"/><Relationship Type="http://schemas.openxmlformats.org/officeDocument/2006/relationships/hyperlink" Target="https://mapa.educacion.gob.ar/maps/mapa-navegable-de-las-universidades" TargetMode="External" Id="rId41"/><Relationship Type="http://schemas.openxmlformats.org/officeDocument/2006/relationships/hyperlink" Target="https://www.uner.edu.ar" TargetMode="External" Id="rId42"/><Relationship Type="http://schemas.openxmlformats.org/officeDocument/2006/relationships/hyperlink" Target="https://mapa.educacion.gob.ar/maps/mapa-navegable-de-las-universidades" TargetMode="External" Id="rId43"/><Relationship Type="http://schemas.openxmlformats.org/officeDocument/2006/relationships/hyperlink" Target="https://www.unlu.edu.ar" TargetMode="External" Id="rId44"/><Relationship Type="http://schemas.openxmlformats.org/officeDocument/2006/relationships/hyperlink" Target="http://rectorado.unlu.edu.ar/" TargetMode="External" Id="rId45"/><Relationship Type="http://schemas.openxmlformats.org/officeDocument/2006/relationships/hyperlink" Target="https://mapa.educacion.gob.ar/maps/mapa-navegable-de-las-universidades" TargetMode="External" Id="rId46"/><Relationship Type="http://schemas.openxmlformats.org/officeDocument/2006/relationships/hyperlink" Target="https://www.unp.edu.ar" TargetMode="External" Id="rId47"/><Relationship Type="http://schemas.openxmlformats.org/officeDocument/2006/relationships/hyperlink" Target="https://mapa.educacion.gob.ar/maps/mapa-navegable-de-las-universidades" TargetMode="External" Id="rId48"/><Relationship Type="http://schemas.openxmlformats.org/officeDocument/2006/relationships/hyperlink" Target="https://www.unlpam.edu.ar" TargetMode="External" Id="rId49"/><Relationship Type="http://schemas.openxmlformats.org/officeDocument/2006/relationships/hyperlink" Target="https://mapa.educacion.gob.ar/maps/mapa-navegable-de-las-universidades" TargetMode="External" Id="rId50"/><Relationship Type="http://schemas.openxmlformats.org/officeDocument/2006/relationships/hyperlink" Target="https://www.unlz.edu.ar" TargetMode="External" Id="rId51"/><Relationship Type="http://schemas.openxmlformats.org/officeDocument/2006/relationships/hyperlink" Target="https://mapa.educacion.gob.ar/maps/mapa-navegable-de-las-universidades" TargetMode="External" Id="rId52"/><Relationship Type="http://schemas.openxmlformats.org/officeDocument/2006/relationships/hyperlink" Target="https://www.unq.edu.ar" TargetMode="External" Id="rId53"/><Relationship Type="http://schemas.openxmlformats.org/officeDocument/2006/relationships/hyperlink" Target="https://mapa.educacion.gob.ar/maps/mapa-navegable-de-las-universidades" TargetMode="External" Id="rId54"/><Relationship Type="http://schemas.openxmlformats.org/officeDocument/2006/relationships/hyperlink" Target="https://www.unsam.edu.ar" TargetMode="External" Id="rId55"/><Relationship Type="http://schemas.openxmlformats.org/officeDocument/2006/relationships/hyperlink" Target="https://mapa.educacion.gob.ar/maps/mapa-navegable-de-las-universidades" TargetMode="External" Id="rId56"/><Relationship Type="http://schemas.openxmlformats.org/officeDocument/2006/relationships/hyperlink" Target="https://www.ungs.edu.ar" TargetMode="External" Id="rId57"/><Relationship Type="http://schemas.openxmlformats.org/officeDocument/2006/relationships/hyperlink" Target="https://mapa.educacion.gob.ar/maps/mapa-navegable-de-las-universidades" TargetMode="External" Id="rId58"/><Relationship Type="http://schemas.openxmlformats.org/officeDocument/2006/relationships/hyperlink" Target="https://www.unlam.edu.ar" TargetMode="External" Id="rId59"/><Relationship Type="http://schemas.openxmlformats.org/officeDocument/2006/relationships/hyperlink" Target="https://mapa.educacion.gob.ar/maps/mapa-navegable-de-las-universidades" TargetMode="External" Id="rId60"/><Relationship Type="http://schemas.openxmlformats.org/officeDocument/2006/relationships/hyperlink" Target="https://www.unla.edu.ar" TargetMode="External" Id="rId61"/><Relationship Type="http://schemas.openxmlformats.org/officeDocument/2006/relationships/hyperlink" Target="https://mapa.educacion.gob.ar/maps/mapa-navegable-de-las-universidades" TargetMode="External" Id="rId62"/><Relationship Type="http://schemas.openxmlformats.org/officeDocument/2006/relationships/hyperlink" Target="https://www.untref.edu.ar" TargetMode="External" Id="rId63"/><Relationship Type="http://schemas.openxmlformats.org/officeDocument/2006/relationships/hyperlink" Target="https://mapa.educacion.gob.ar/maps/mapa-navegable-de-las-universidades" TargetMode="External" Id="rId64"/><Relationship Type="http://schemas.openxmlformats.org/officeDocument/2006/relationships/hyperlink" Target="https://www.unaf.edu.ar" TargetMode="External" Id="rId65"/><Relationship Type="http://schemas.openxmlformats.org/officeDocument/2006/relationships/hyperlink" Target="https://mapa.educacion.gob.ar/maps/mapa-navegable-de-las-universidades" TargetMode="External" Id="rId66"/><Relationship Type="http://schemas.openxmlformats.org/officeDocument/2006/relationships/hyperlink" Target="https://www.unpa.edu.ar" TargetMode="External" Id="rId67"/><Relationship Type="http://schemas.openxmlformats.org/officeDocument/2006/relationships/hyperlink" Target="https://mapa.educacion.gob.ar/maps/mapa-navegable-de-las-universidades" TargetMode="External" Id="rId68"/><Relationship Type="http://schemas.openxmlformats.org/officeDocument/2006/relationships/hyperlink" Target="https://www.unvm.edu.ar" TargetMode="External" Id="rId69"/><Relationship Type="http://schemas.openxmlformats.org/officeDocument/2006/relationships/hyperlink" Target="https://mapa.educacion.gob.ar/maps/mapa-navegable-de-las-universidades" TargetMode="External" Id="rId70"/><Relationship Type="http://schemas.openxmlformats.org/officeDocument/2006/relationships/hyperlink" Target="https://www.unicen.edu.ar" TargetMode="External" Id="rId71"/><Relationship Type="http://schemas.openxmlformats.org/officeDocument/2006/relationships/hyperlink" Target="https://mapa.educacion.gob.ar/maps/mapa-navegable-de-las-universidades" TargetMode="External" Id="rId72"/><Relationship Type="http://schemas.openxmlformats.org/officeDocument/2006/relationships/hyperlink" Target="https://www.unlar.edu.ar/" TargetMode="External" Id="rId73"/><Relationship Type="http://schemas.openxmlformats.org/officeDocument/2006/relationships/hyperlink" Target="https://mapa.educacion.gob.ar/maps/mapa-navegable-de-las-universidades" TargetMode="External" Id="rId74"/><Relationship Type="http://schemas.openxmlformats.org/officeDocument/2006/relationships/hyperlink" Target="https://www.undec.edu.ar" TargetMode="External" Id="rId75"/><Relationship Type="http://schemas.openxmlformats.org/officeDocument/2006/relationships/hyperlink" Target="https://mapa.educacion.gob.ar/maps/mapa-navegable-de-las-universidades" TargetMode="External" Id="rId76"/><Relationship Type="http://schemas.openxmlformats.org/officeDocument/2006/relationships/hyperlink" Target="https://www.unnoba.edu.ar" TargetMode="External" Id="rId77"/><Relationship Type="http://schemas.openxmlformats.org/officeDocument/2006/relationships/hyperlink" Target="https://mapa.educacion.gob.ar/maps/mapa-navegable-de-las-universidades" TargetMode="External" Id="rId78"/><Relationship Type="http://schemas.openxmlformats.org/officeDocument/2006/relationships/hyperlink" Target="https://www.unrn.edu.ar" TargetMode="External" Id="rId79"/><Relationship Type="http://schemas.openxmlformats.org/officeDocument/2006/relationships/hyperlink" Target="https://mapa.educacion.gob.ar/maps/mapa-navegable-de-las-universidades" TargetMode="External" Id="rId80"/><Relationship Type="http://schemas.openxmlformats.org/officeDocument/2006/relationships/hyperlink" Target="https://www.untdf.edu.ar" TargetMode="External" Id="rId81"/><Relationship Type="http://schemas.openxmlformats.org/officeDocument/2006/relationships/hyperlink" Target="https://mapa.educacion.gob.ar/maps/mapa-navegable-de-las-universidades" TargetMode="External" Id="rId82"/><Relationship Type="http://schemas.openxmlformats.org/officeDocument/2006/relationships/hyperlink" Target="https://una.edu.ar" TargetMode="External" Id="rId83"/><Relationship Type="http://schemas.openxmlformats.org/officeDocument/2006/relationships/hyperlink" Target="https://mapa.educacion.gob.ar/maps/mapa-navegable-de-las-universidades" TargetMode="External" Id="rId84"/><Relationship Type="http://schemas.openxmlformats.org/officeDocument/2006/relationships/hyperlink" Target="https://www.undav.edu.ar" TargetMode="External" Id="rId85"/><Relationship Type="http://schemas.openxmlformats.org/officeDocument/2006/relationships/hyperlink" Target="https://mapa.educacion.gob.ar/maps/mapa-navegable-de-las-universidades" TargetMode="External" Id="rId86"/><Relationship Type="http://schemas.openxmlformats.org/officeDocument/2006/relationships/hyperlink" Target="https://www.unpaz.edu.ar" TargetMode="External" Id="rId87"/><Relationship Type="http://schemas.openxmlformats.org/officeDocument/2006/relationships/hyperlink" Target="https://mapa.educacion.gob.ar/maps/mapa-navegable-de-las-universidades" TargetMode="External" Id="rId88"/><Relationship Type="http://schemas.openxmlformats.org/officeDocument/2006/relationships/hyperlink" Target="https://www.unaj.edu.ar" TargetMode="External" Id="rId89"/><Relationship Type="http://schemas.openxmlformats.org/officeDocument/2006/relationships/hyperlink" Target="https://mapa.educacion.gob.ar/maps/mapa-navegable-de-las-universidades" TargetMode="External" Id="rId90"/><Relationship Type="http://schemas.openxmlformats.org/officeDocument/2006/relationships/hyperlink" Target="https://www.unm.edu.ar" TargetMode="External" Id="rId91"/><Relationship Type="http://schemas.openxmlformats.org/officeDocument/2006/relationships/hyperlink" Target="https://mapa.educacion.gob.ar/maps/mapa-navegable-de-las-universidades" TargetMode="External" Id="rId92"/><Relationship Type="http://schemas.openxmlformats.org/officeDocument/2006/relationships/hyperlink" Target="https://www.uno.edu.ar" TargetMode="External" Id="rId93"/><Relationship Type="http://schemas.openxmlformats.org/officeDocument/2006/relationships/hyperlink" Target="https://mapa.educacion.gob.ar/maps/mapa-navegable-de-las-universidades" TargetMode="External" Id="rId94"/><Relationship Type="http://schemas.openxmlformats.org/officeDocument/2006/relationships/hyperlink" Target="https://uncaus.edu.ar" TargetMode="External" Id="rId95"/><Relationship Type="http://schemas.openxmlformats.org/officeDocument/2006/relationships/hyperlink" Target="https://mapa.educacion.gob.ar/maps/mapa-navegable-de-las-universidades" TargetMode="External" Id="rId96"/><Relationship Type="http://schemas.openxmlformats.org/officeDocument/2006/relationships/hyperlink" Target="https://www.undef.edu.ar" TargetMode="External" Id="rId97"/><Relationship Type="http://schemas.openxmlformats.org/officeDocument/2006/relationships/hyperlink" Target="https://mapa.educacion.gob.ar/maps/mapa-navegable-de-las-universidades" TargetMode="External" Id="rId98"/><Relationship Type="http://schemas.openxmlformats.org/officeDocument/2006/relationships/hyperlink" Target="https://unahur.edu.ar" TargetMode="External" Id="rId99"/><Relationship Type="http://schemas.openxmlformats.org/officeDocument/2006/relationships/hyperlink" Target="https://mapa.educacion.gob.ar/maps/mapa-navegable-de-las-universidades" TargetMode="External" Id="rId100"/><Relationship Type="http://schemas.openxmlformats.org/officeDocument/2006/relationships/hyperlink" Target="https://unipe.edu.ar" TargetMode="External" Id="rId101"/><Relationship Type="http://schemas.openxmlformats.org/officeDocument/2006/relationships/hyperlink" Target="https://mapa.educacion.gob.ar/maps/mapa-navegable-de-las-universidades" TargetMode="External" Id="rId102"/><Relationship Type="http://schemas.openxmlformats.org/officeDocument/2006/relationships/hyperlink" Target="https://www.unraf.edu.ar" TargetMode="External" Id="rId103"/><Relationship Type="http://schemas.openxmlformats.org/officeDocument/2006/relationships/hyperlink" Target="https://mapa.educacion.gob.ar/maps/mapa-navegable-de-las-universidades" TargetMode="External" Id="rId104"/><Relationship Type="http://schemas.openxmlformats.org/officeDocument/2006/relationships/hyperlink" Target="https://www.unsada.edu.ar" TargetMode="External" Id="rId105"/><Relationship Type="http://schemas.openxmlformats.org/officeDocument/2006/relationships/hyperlink" Target="https://mapa.educacion.gob.ar/maps/mapa-navegable-de-las-universidades" TargetMode="External" Id="rId106"/><Relationship Type="http://schemas.openxmlformats.org/officeDocument/2006/relationships/hyperlink" Target="https://www.unlc.edu.ar" TargetMode="External" Id="rId107"/><Relationship Type="http://schemas.openxmlformats.org/officeDocument/2006/relationships/hyperlink" Target="https://mapa.educacion.gob.ar/maps/mapa-navegable-de-las-universidades" TargetMode="External" Id="rId108"/><Relationship Type="http://schemas.openxmlformats.org/officeDocument/2006/relationships/hyperlink" Target="https://www.unau.edu.ar/" TargetMode="External" Id="rId109"/><Relationship Type="http://schemas.openxmlformats.org/officeDocument/2006/relationships/hyperlink" Target="https://mapa.educacion.gob.ar/maps/mapa-navegable-de-las-universidades" TargetMode="External" Id="rId110"/><Relationship Type="http://schemas.openxmlformats.org/officeDocument/2006/relationships/hyperlink" Target="https://www.unso.edu.ar" TargetMode="External" Id="rId111"/><Relationship Type="http://schemas.openxmlformats.org/officeDocument/2006/relationships/hyperlink" Target="https://mapa.educacion.gob.ar/maps/mapa-navegable-de-las-universidades" TargetMode="External" Id="rId112"/><Relationship Type="http://schemas.openxmlformats.org/officeDocument/2006/relationships/hyperlink" Target="https://www.unab.edu.ar" TargetMode="External" Id="rId113"/><Relationship Type="http://schemas.openxmlformats.org/officeDocument/2006/relationships/hyperlink" Target="https://mapa.educacion.gob.ar/maps/mapa-navegable-de-las-universidades" TargetMode="External" Id="rId114"/><Relationship Type="http://schemas.openxmlformats.org/officeDocument/2006/relationships/hyperlink" Target="https://www.upe.edu.ar" TargetMode="External" Id="rId115"/><Relationship Type="http://schemas.openxmlformats.org/officeDocument/2006/relationships/hyperlink" Target="https://mapa.educacion.gob.ar/maps/mapa-navegable-de-las-universidades" TargetMode="External" Id="rId116"/><Relationship Type="http://schemas.openxmlformats.org/officeDocument/2006/relationships/hyperlink" Target="https://www.undelta.edu.ar" TargetMode="External" Id="rId117"/><Relationship Type="http://schemas.openxmlformats.org/officeDocument/2006/relationships/hyperlink" Target="https://mapa.educacion.gob.ar/maps/mapa-navegable-de-las-universidades" TargetMode="External" Id="rId118"/><Relationship Type="http://schemas.openxmlformats.org/officeDocument/2006/relationships/hyperlink" Target="https://www.unpilar.edu.ar" TargetMode="External" Id="rId119"/><Relationship Type="http://schemas.openxmlformats.org/officeDocument/2006/relationships/hyperlink" Target="https://mapa.educacion.gob.ar/maps/mapa-navegable-de-las-universidades" TargetMode="External" Id="rId120"/><Relationship Type="http://schemas.openxmlformats.org/officeDocument/2006/relationships/hyperlink" Target="https://www.unrt.edu.ar" TargetMode="External" Id="rId121"/><Relationship Type="http://schemas.openxmlformats.org/officeDocument/2006/relationships/hyperlink" Target="https://mapa.educacion.gob.ar/maps/mapa-navegable-de-las-universidades" TargetMode="External" Id="rId122"/><Relationship Type="http://schemas.openxmlformats.org/officeDocument/2006/relationships/hyperlink" Target="https://www.unma.edu.ar" TargetMode="External" Id="rId123"/><Relationship Type="http://schemas.openxmlformats.org/officeDocument/2006/relationships/hyperlink" Target="https://mapa.educacion.gob.ar/maps/mapa-navegable-de-las-universidades" TargetMode="External" Id="rId124"/><Relationship Type="http://schemas.openxmlformats.org/officeDocument/2006/relationships/hyperlink" Target="https://mapa.educacion.gob.ar/maps/mapa-navegable-de-las-universidades" TargetMode="External" Id="rId125"/><Relationship Type="http://schemas.openxmlformats.org/officeDocument/2006/relationships/hyperlink" Target="https://www.iupfa.edu.ar" TargetMode="External" Id="rId126"/><Relationship Type="http://schemas.openxmlformats.org/officeDocument/2006/relationships/hyperlink" Target="https://mapa.educacion.gob.ar/maps/mapa-navegable-de-las-universidades" TargetMode="External" Id="rId127"/><Relationship Type="http://schemas.openxmlformats.org/officeDocument/2006/relationships/hyperlink" Target="https://www.iusm.edu.ar/" TargetMode="External" Id="rId128"/><Relationship Type="http://schemas.openxmlformats.org/officeDocument/2006/relationships/hyperlink" Target="https://mapa.educacion.gob.ar/maps/mapa-navegable-de-las-universidades" TargetMode="External" Id="rId129"/><Relationship Type="http://schemas.openxmlformats.org/officeDocument/2006/relationships/hyperlink" Target="https://uader.edu.ar" TargetMode="External" Id="rId130"/><Relationship Type="http://schemas.openxmlformats.org/officeDocument/2006/relationships/hyperlink" Target="https://mapa.educacion.gob.ar/maps/mapa-navegable-de-las-universidades" TargetMode="External" Id="rId131"/><Relationship Type="http://schemas.openxmlformats.org/officeDocument/2006/relationships/hyperlink" Target="https://upc.edu.ar" TargetMode="External" Id="rId132"/><Relationship Type="http://schemas.openxmlformats.org/officeDocument/2006/relationships/hyperlink" Target="https://mapa.educacion.gob.ar/maps/mapa-navegable-de-las-universidades" TargetMode="External" Id="rId133"/><Relationship Type="http://schemas.openxmlformats.org/officeDocument/2006/relationships/hyperlink" Target="https://www.upso.edu.ar" TargetMode="External" Id="rId134"/><Relationship Type="http://schemas.openxmlformats.org/officeDocument/2006/relationships/hyperlink" Target="https://mapa.educacion.gob.ar/maps/mapa-navegable-de-las-universidades" TargetMode="External" Id="rId135"/><Relationship Type="http://schemas.openxmlformats.org/officeDocument/2006/relationships/hyperlink" Target="https://upateco.edu.ar" TargetMode="External" Id="rId136"/><Relationship Type="http://schemas.openxmlformats.org/officeDocument/2006/relationships/hyperlink" Target="https://mapa.educacion.gob.ar/maps/mapa-navegable-de-las-universidades" TargetMode="External" Id="rId137"/><Relationship Type="http://schemas.openxmlformats.org/officeDocument/2006/relationships/hyperlink" Target="https://uplab.edu.ar" TargetMode="External" Id="rId138"/><Relationship Type="http://schemas.openxmlformats.org/officeDocument/2006/relationships/hyperlink" Target="https://mapa.educacion.gob.ar/maps/mapa-navegable-de-las-universidades" TargetMode="External" Id="rId139"/><Relationship Type="http://schemas.openxmlformats.org/officeDocument/2006/relationships/hyperlink" Target="https://iupa.edu.ar" TargetMode="External" Id="rId140"/><Relationship Type="http://schemas.openxmlformats.org/officeDocument/2006/relationships/hyperlink" Target="https://mapa.educacion.gob.ar/maps/mapa-navegable-de-las-universidades" TargetMode="External" Id="rId141"/><Relationship Type="http://schemas.openxmlformats.org/officeDocument/2006/relationships/hyperlink" Target="https://udc.edu.ar" TargetMode="External" Id="rId142"/><Relationship Type="http://schemas.openxmlformats.org/officeDocument/2006/relationships/hyperlink" Target="https://mapa.educacion.gob.ar/maps/mapa-navegable-de-las-universidades" TargetMode="External" Id="rId143"/><Relationship Type="http://schemas.openxmlformats.org/officeDocument/2006/relationships/hyperlink" Target="https://unicaba.edu.ar" TargetMode="External" Id="rId144"/><Relationship Type="http://schemas.openxmlformats.org/officeDocument/2006/relationships/hyperlink" Target="https://mapa.educacion.gob.ar/maps/mapa-navegable-de-las-universidades" TargetMode="External" Id="rId145"/><Relationship Type="http://schemas.openxmlformats.org/officeDocument/2006/relationships/table" Target="/xl/tables/table10.xml" Id="rId146"/></Relationships>
</file>

<file path=xl/worksheets/_rels/sheet12.xml.rels><Relationships xmlns="http://schemas.openxmlformats.org/package/2006/relationships"><Relationship Type="http://schemas.openxmlformats.org/officeDocument/2006/relationships/hyperlink" Target="https://unal.edu.co/" TargetMode="External" Id="rId1"/><Relationship Type="http://schemas.openxmlformats.org/officeDocument/2006/relationships/hyperlink" Target="https://www.google.com/search?q=https://unal.edu.co/atencion-al-ciudadano/" TargetMode="External" Id="rId2"/><Relationship Type="http://schemas.openxmlformats.org/officeDocument/2006/relationships/hyperlink" Target="https://www.udea.edu.co/" TargetMode="External" Id="rId3"/><Relationship Type="http://schemas.openxmlformats.org/officeDocument/2006/relationships/hyperlink" Target="https://www.google.com/search?q=https://www.udea.edu.co/wps/portal/udea/web/inicio/atencion-ciudadano" TargetMode="External" Id="rId4"/><Relationship Type="http://schemas.openxmlformats.org/officeDocument/2006/relationships/hyperlink" Target="https://www.univalle.edu.co/" TargetMode="External" Id="rId5"/><Relationship Type="http://schemas.openxmlformats.org/officeDocument/2006/relationships/hyperlink" Target="https://www.google.com/search?q=https://www.univalle.edu.co/atencion-al-ciudadano" TargetMode="External" Id="rId6"/><Relationship Type="http://schemas.openxmlformats.org/officeDocument/2006/relationships/hyperlink" Target="https://www.uis.edu.co/" TargetMode="External" Id="rId7"/><Relationship Type="http://schemas.openxmlformats.org/officeDocument/2006/relationships/hyperlink" Target="https://www.google.com/search?q=https://uis.edu.co/atencion-al-ciudadano/" TargetMode="External" Id="rId8"/><Relationship Type="http://schemas.openxmlformats.org/officeDocument/2006/relationships/hyperlink" Target="https://www.uptc.edu.co/" TargetMode="External" Id="rId9"/><Relationship Type="http://schemas.openxmlformats.org/officeDocument/2006/relationships/hyperlink" Target="https://www.uptc.edu.co/sitio/portal/sitios/universidad/rectoria/sec_general/" TargetMode="External" Id="rId10"/><Relationship Type="http://schemas.openxmlformats.org/officeDocument/2006/relationships/hyperlink" Target="https://www.ucaldas.edu.co/" TargetMode="External" Id="rId11"/><Relationship Type="http://schemas.openxmlformats.org/officeDocument/2006/relationships/hyperlink" Target="https://www.ucaldas.edu.co/portal/atencion-al-ciudadano/" TargetMode="External" Id="rId12"/><Relationship Type="http://schemas.openxmlformats.org/officeDocument/2006/relationships/hyperlink" Target="https://www.unicauca.edu.co/" TargetMode="External" Id="rId13"/><Relationship Type="http://schemas.openxmlformats.org/officeDocument/2006/relationships/hyperlink" Target="https://www.google.com/search?q=https://www.unicauca.edu.co/versionP/atencion-al-ciudadano" TargetMode="External" Id="rId14"/><Relationship Type="http://schemas.openxmlformats.org/officeDocument/2006/relationships/hyperlink" Target="https://www.unicartagena.edu.co/" TargetMode="External" Id="rId15"/><Relationship Type="http://schemas.openxmlformats.org/officeDocument/2006/relationships/hyperlink" Target="https://www.google.com/search?q=https://www.unicartagena.edu.co/gobierno/secretaria-general&amp;authuser=1" TargetMode="External" Id="rId16"/><Relationship Type="http://schemas.openxmlformats.org/officeDocument/2006/relationships/hyperlink" Target="https://www.udenar.edu.co/" TargetMode="External" Id="rId17"/><Relationship Type="http://schemas.openxmlformats.org/officeDocument/2006/relationships/hyperlink" Target="https://secretariageneral.udenar.edu.co/" TargetMode="External" Id="rId18"/><Relationship Type="http://schemas.openxmlformats.org/officeDocument/2006/relationships/hyperlink" Target="https://www.utp.edu.co/" TargetMode="External" Id="rId19"/><Relationship Type="http://schemas.openxmlformats.org/officeDocument/2006/relationships/hyperlink" Target="https://www.google.com/search?q=https://www.utp.edu.co/secretaria/&amp;authuser=1" TargetMode="External" Id="rId20"/><Relationship Type="http://schemas.openxmlformats.org/officeDocument/2006/relationships/hyperlink" Target="https://www.ut.edu.co/" TargetMode="External" Id="rId21"/><Relationship Type="http://schemas.openxmlformats.org/officeDocument/2006/relationships/hyperlink" Target="https://www.google.com/search?q=https://www.ut.edu.co/secretaria-general&amp;authuser=1" TargetMode="External" Id="rId22"/><Relationship Type="http://schemas.openxmlformats.org/officeDocument/2006/relationships/hyperlink" Target="https://www.uniquindio.edu.co/" TargetMode="External" Id="rId23"/><Relationship Type="http://schemas.openxmlformats.org/officeDocument/2006/relationships/hyperlink" Target="https://www.google.com/search?q=https://www.uniquindio.edu.co/secretaria-general/&amp;authuser=1" TargetMode="External" Id="rId24"/><Relationship Type="http://schemas.openxmlformats.org/officeDocument/2006/relationships/hyperlink" Target="https://www.usco.edu.co/" TargetMode="External" Id="rId25"/><Relationship Type="http://schemas.openxmlformats.org/officeDocument/2006/relationships/hyperlink" Target="https://www.google.com/search?q=https://www.usco.edu.co/es/secretaria-general/&amp;authuser=1" TargetMode="External" Id="rId26"/><Relationship Type="http://schemas.openxmlformats.org/officeDocument/2006/relationships/hyperlink" Target="https://www.unimagdalena.edu.co/" TargetMode="External" Id="rId27"/><Relationship Type="http://schemas.openxmlformats.org/officeDocument/2006/relationships/hyperlink" Target="https://www.google.com/search?q=https://www.unimagdalena.edu.co/sitios/secretariageneral&amp;authuser=1" TargetMode="External" Id="rId28"/><Relationship Type="http://schemas.openxmlformats.org/officeDocument/2006/relationships/hyperlink" Target="https://www.unicordoba.edu.co/" TargetMode="External" Id="rId29"/><Relationship Type="http://schemas.openxmlformats.org/officeDocument/2006/relationships/hyperlink" Target="https://www.google.com/search?q=https://www.unicordoba.edu.co/secretaria-general/&amp;authuser=1" TargetMode="External" Id="rId30"/><Relationship Type="http://schemas.openxmlformats.org/officeDocument/2006/relationships/hyperlink" Target="https://www.uniatlantico.edu.co/" TargetMode="External" Id="rId31"/><Relationship Type="http://schemas.openxmlformats.org/officeDocument/2006/relationships/hyperlink" Target="https://www.uniatlantico.edu.co/secretaria-general/" TargetMode="External" Id="rId32"/><Relationship Type="http://schemas.openxmlformats.org/officeDocument/2006/relationships/hyperlink" Target="https://ww2.ufps.edu.co/" TargetMode="External" Id="rId33"/><Relationship Type="http://schemas.openxmlformats.org/officeDocument/2006/relationships/hyperlink" Target="https://www.google.com/search?q=https://ww2.ufps.edu.co/universidad/secretaria-general&amp;authuser=1" TargetMode="External" Id="rId34"/><Relationship Type="http://schemas.openxmlformats.org/officeDocument/2006/relationships/hyperlink" Target="https://ufpso.edu.co/" TargetMode="External" Id="rId35"/><Relationship Type="http://schemas.openxmlformats.org/officeDocument/2006/relationships/hyperlink" Target="https://www.google.com/search?q=https://ufpso.edu.co/secretaria-general&amp;authuser=1" TargetMode="External" Id="rId36"/><Relationship Type="http://schemas.openxmlformats.org/officeDocument/2006/relationships/hyperlink" Target="https://www.unipamplona.edu.co/" TargetMode="External" Id="rId37"/><Relationship Type="http://schemas.openxmlformats.org/officeDocument/2006/relationships/hyperlink" Target="https://www.google.com/search?q=https://www.unipamplona.edu.co/unipamplona/portalIG/home_1/rectoria/secretaria_general/&amp;authuser=1" TargetMode="External" Id="rId38"/><Relationship Type="http://schemas.openxmlformats.org/officeDocument/2006/relationships/hyperlink" Target="https://www.uniamazonia.edu.co/" TargetMode="External" Id="rId39"/><Relationship Type="http://schemas.openxmlformats.org/officeDocument/2006/relationships/hyperlink" Target="https://www.google.com/search?q=https://www.uniamazonia.edu.co/portal/index.php/secretaria-general&amp;authuser=1" TargetMode="External" Id="rId40"/><Relationship Type="http://schemas.openxmlformats.org/officeDocument/2006/relationships/hyperlink" Target="https://www.unillanos.edu.co/" TargetMode="External" Id="rId41"/><Relationship Type="http://schemas.openxmlformats.org/officeDocument/2006/relationships/hyperlink" Target="https://www.google.com/search?q=https://www.unillanos.edu.co/index.php/secretaria-general&amp;authuser=1" TargetMode="External" Id="rId42"/><Relationship Type="http://schemas.openxmlformats.org/officeDocument/2006/relationships/hyperlink" Target="https://www.utch.edu.co/" TargetMode="External" Id="rId43"/><Relationship Type="http://schemas.openxmlformats.org/officeDocument/2006/relationships/hyperlink" Target="https://www.google.com/search?q=https://www.utch.edu.co/portal/secretaria-general&amp;authuser=1" TargetMode="External" Id="rId44"/><Relationship Type="http://schemas.openxmlformats.org/officeDocument/2006/relationships/hyperlink" Target="https://www.unicesar.edu.co/" TargetMode="External" Id="rId45"/><Relationship Type="http://schemas.openxmlformats.org/officeDocument/2006/relationships/hyperlink" Target="https://www.google.com/search?q=https://www.unicesar.edu.co/index.php/secretaria-general&amp;authuser=1" TargetMode="External" Id="rId46"/><Relationship Type="http://schemas.openxmlformats.org/officeDocument/2006/relationships/hyperlink" Target="https://www.uniguajira.edu.co/" TargetMode="External" Id="rId47"/><Relationship Type="http://schemas.openxmlformats.org/officeDocument/2006/relationships/hyperlink" Target="https://www.google.com/search?q=https://www.uniguajira.edu.co/secretaria-general/&amp;authuser=1" TargetMode="External" Id="rId48"/><Relationship Type="http://schemas.openxmlformats.org/officeDocument/2006/relationships/hyperlink" Target="https://www.unisucre.edu.co/" TargetMode="External" Id="rId49"/><Relationship Type="http://schemas.openxmlformats.org/officeDocument/2006/relationships/hyperlink" Target="https://www.google.com/search?q=https://www.unisucre.edu.co/secretaria-general/&amp;authuser=1" TargetMode="External" Id="rId50"/><Relationship Type="http://schemas.openxmlformats.org/officeDocument/2006/relationships/hyperlink" Target="https://www.unipacifico.edu.co/" TargetMode="External" Id="rId51"/><Relationship Type="http://schemas.openxmlformats.org/officeDocument/2006/relationships/hyperlink" Target="https://www.google.com/search?q=https://www.unipacifico.edu.co/secretaria-general&amp;authuser=1" TargetMode="External" Id="rId52"/><Relationship Type="http://schemas.openxmlformats.org/officeDocument/2006/relationships/hyperlink" Target="https://www.ucundinamarca.edu.co/" TargetMode="External" Id="rId53"/><Relationship Type="http://schemas.openxmlformats.org/officeDocument/2006/relationships/hyperlink" Target="https://www.google.com/search?q=https://www.ucundinamarca.edu.co/index.php/secretaria-general&amp;authuser=1" TargetMode="External" Id="rId54"/><Relationship Type="http://schemas.openxmlformats.org/officeDocument/2006/relationships/hyperlink" Target="https://www.udistrital.edu.co/" TargetMode="External" Id="rId55"/><Relationship Type="http://schemas.openxmlformats.org/officeDocument/2006/relationships/hyperlink" Target="https://www.google.com/search?q=https://www.udistrital.edu.co/dependencias/secretaria-general&amp;authuser=1" TargetMode="External" Id="rId56"/><Relationship Type="http://schemas.openxmlformats.org/officeDocument/2006/relationships/hyperlink" Target="https://www.umng.edu.co/" TargetMode="External" Id="rId57"/><Relationship Type="http://schemas.openxmlformats.org/officeDocument/2006/relationships/hyperlink" Target="https://www.google.com/search?q=https://www.umng.edu.co/dependencias/secretaria-general&amp;authuser=1" TargetMode="External" Id="rId58"/><Relationship Type="http://schemas.openxmlformats.org/officeDocument/2006/relationships/hyperlink" Target="https://www.google.com/search?q=https://upn.edu.co" TargetMode="External" Id="rId59"/><Relationship Type="http://schemas.openxmlformats.org/officeDocument/2006/relationships/hyperlink" Target="https://www.google.com/search?q=https://upn.edu.co/secretaria-general/&amp;authuser=1" TargetMode="External" Id="rId60"/><Relationship Type="http://schemas.openxmlformats.org/officeDocument/2006/relationships/hyperlink" Target="https://www.unicolmayor.edu.co/" TargetMode="External" Id="rId61"/><Relationship Type="http://schemas.openxmlformats.org/officeDocument/2006/relationships/hyperlink" Target="https://www.google.com/search?q=https://www.unicolmayor.edu.co/secretaria-general&amp;authuser=1" TargetMode="External" Id="rId62"/><Relationship Type="http://schemas.openxmlformats.org/officeDocument/2006/relationships/hyperlink" Target="https://www.unad.edu.co/" TargetMode="External" Id="rId63"/><Relationship Type="http://schemas.openxmlformats.org/officeDocument/2006/relationships/hyperlink" Target="https://www.google.com/search?q=https://secretaria.unad.edu.co/&amp;authuser=1" TargetMode="External" Id="rId64"/><Relationship Type="http://schemas.openxmlformats.org/officeDocument/2006/relationships/hyperlink" Target="https://www.unitropico.edu.co/" TargetMode="External" Id="rId65"/><Relationship Type="http://schemas.openxmlformats.org/officeDocument/2006/relationships/hyperlink" Target="https://www.google.com/search?q=https://www.unitropico.edu.co/secretaria-general&amp;authuser=1" TargetMode="External" Id="rId66"/><Relationship Type="http://schemas.openxmlformats.org/officeDocument/2006/relationships/hyperlink" Target="https://www.google.com/search?q=https://www.uaiin-cric.edu.co" TargetMode="External" Id="rId67"/><Relationship Type="http://schemas.openxmlformats.org/officeDocument/2006/relationships/hyperlink" Target="https://www.google.com/search?q=https://www.uaiin-cric.edu.co/contacto/&amp;authuser=1" TargetMode="External" Id="rId68"/><Relationship Type="http://schemas.openxmlformats.org/officeDocument/2006/relationships/hyperlink" Target="https://senamazonas.blogspot.com/" TargetMode="External" Id="rId69"/><Relationship Type="http://schemas.openxmlformats.org/officeDocument/2006/relationships/hyperlink" Target="https://senamazonas.blogspot.com" TargetMode="External" Id="rId70"/><Relationship Type="http://schemas.openxmlformats.org/officeDocument/2006/relationships/hyperlink" Target="https://senalasalada.blogspot.com/search" TargetMode="External" Id="rId71"/><Relationship Type="http://schemas.openxmlformats.org/officeDocument/2006/relationships/hyperlink" Target="https://caprendizaje.sena.edu.co/sgva/sgva_diseno/pag/ListaCentros.aspx" TargetMode="External" Id="rId72"/><Relationship Type="http://schemas.openxmlformats.org/officeDocument/2006/relationships/hyperlink" Target="https://centro-minero-ambiental.blogspot.com" TargetMode="External" Id="rId73"/><Relationship Type="http://schemas.openxmlformats.org/officeDocument/2006/relationships/hyperlink" Target="https://caprendizaje.sena.edu.co/sgva/sgva_diseno/pag/ListaCentros.aspx" TargetMode="External" Id="rId74"/><Relationship Type="http://schemas.openxmlformats.org/officeDocument/2006/relationships/hyperlink" Target="https://centrocuero.blogspot.com/p/blog-page_7.html" TargetMode="External" Id="rId75"/><Relationship Type="http://schemas.openxmlformats.org/officeDocument/2006/relationships/hyperlink" Target="https://caprendizaje.sena.edu.co/sgva/sgva_diseno/pag/ListaCentros.aspx" TargetMode="External" Id="rId76"/><Relationship Type="http://schemas.openxmlformats.org/officeDocument/2006/relationships/hyperlink" Target="https://caprendizaje.sena.edu.co/sgva/sgva_diseno/pag/ListaCentros.aspx" TargetMode="External" Id="rId77"/><Relationship Type="http://schemas.openxmlformats.org/officeDocument/2006/relationships/hyperlink" Target="https://centrodeconstruccion.blogspot.com/p/caracterizacion-de-aprendices.html" TargetMode="External" Id="rId78"/><Relationship Type="http://schemas.openxmlformats.org/officeDocument/2006/relationships/hyperlink" Target="https://caprendizaje.sena.edu.co/sgva/sgva_diseno/pag/ListaCentros.aspx" TargetMode="External" Id="rId79"/><Relationship Type="http://schemas.openxmlformats.org/officeDocument/2006/relationships/hyperlink" Target="https://tecnologia-manufactura-avanzada.blogspot.com/p/noticias-ctma.html" TargetMode="External" Id="rId80"/><Relationship Type="http://schemas.openxmlformats.org/officeDocument/2006/relationships/hyperlink" Target="https://caprendizaje.sena.edu.co/sgva/sgva_diseno/pag/ListaCentros.aspx" TargetMode="External" Id="rId81"/><Relationship Type="http://schemas.openxmlformats.org/officeDocument/2006/relationships/hyperlink" Target="http://centrotecnologicodelmobiliariosena.blogspot.com/" TargetMode="External" Id="rId82"/><Relationship Type="http://schemas.openxmlformats.org/officeDocument/2006/relationships/hyperlink" Target="https://caprendizaje.sena.edu.co/sgva/sgva_diseno/pag/ListaCentros.aspx" TargetMode="External" Id="rId83"/><Relationship Type="http://schemas.openxmlformats.org/officeDocument/2006/relationships/hyperlink" Target="https://centrotgi.blogspot.com/" TargetMode="External" Id="rId84"/><Relationship Type="http://schemas.openxmlformats.org/officeDocument/2006/relationships/hyperlink" Target="https://caprendizaje.sena.edu.co/sgva/sgva_diseno/pag/ListaCentros.aspx" TargetMode="External" Id="rId85"/><Relationship Type="http://schemas.openxmlformats.org/officeDocument/2006/relationships/hyperlink" Target="https://caprendizaje.sena.edu.co/sgva/sgva_diseno/pag/ListaCentros.aspx" TargetMode="External" Id="rId86"/><Relationship Type="http://schemas.openxmlformats.org/officeDocument/2006/relationships/hyperlink" Target="http://ctmasena.blogspot.com" TargetMode="External" Id="rId87"/><Relationship Type="http://schemas.openxmlformats.org/officeDocument/2006/relationships/hyperlink" Target="https://caprendizaje.sena.edu.co/sgva/sgva_diseno/pag/ListaCentros.aspx" TargetMode="External" Id="rId88"/><Relationship Type="http://schemas.openxmlformats.org/officeDocument/2006/relationships/hyperlink" Target="http://ctmasena.blogspot.com" TargetMode="External" Id="rId89"/><Relationship Type="http://schemas.openxmlformats.org/officeDocument/2006/relationships/hyperlink" Target="https://caprendizaje.sena.edu.co/sgva/sgva_diseno/pag/ListaCentros.aspx" TargetMode="External" Id="rId90"/><Relationship Type="http://schemas.openxmlformats.org/officeDocument/2006/relationships/hyperlink" Target="https://senaoriente.blogspot.com/" TargetMode="External" Id="rId91"/><Relationship Type="http://schemas.openxmlformats.org/officeDocument/2006/relationships/hyperlink" Target="https://caprendizaje.sena.edu.co/sgva/sgva_diseno/pag/ListaCentros.aspx" TargetMode="External" Id="rId92"/><Relationship Type="http://schemas.openxmlformats.org/officeDocument/2006/relationships/hyperlink" Target="https://prezi.com/p/v2tucuzgjre7/complejo-tecnologico-agroindustrial-pecuario-y-turistico-regional-antioquia/" TargetMode="External" Id="rId93"/><Relationship Type="http://schemas.openxmlformats.org/officeDocument/2006/relationships/hyperlink" Target="https://caprendizaje.sena.edu.co/sgva/sgva_diseno/pag/ListaCentros.aspx" TargetMode="External" Id="rId94"/><Relationship Type="http://schemas.openxmlformats.org/officeDocument/2006/relationships/hyperlink" Target="http://centrodeserviciosdesaludsena.blogspot.com/2026/08/" TargetMode="External" Id="rId95"/><Relationship Type="http://schemas.openxmlformats.org/officeDocument/2006/relationships/hyperlink" Target="https://caprendizaje.sena.edu.co/sgva/sgva_diseno/pag/ListaCentros.aspx" TargetMode="External" Id="rId96"/><Relationship Type="http://schemas.openxmlformats.org/officeDocument/2006/relationships/hyperlink" Target="http://centrodeserviciosygestionempresarial.blogspot.com/2025/11/el-centro-de-servicios-y-gestion_10.html" TargetMode="External" Id="rId97"/><Relationship Type="http://schemas.openxmlformats.org/officeDocument/2006/relationships/hyperlink" Target="https://caprendizaje.sena.edu.co/sgva/sgva_diseno/pag/ListaCentros.aspx" TargetMode="External" Id="rId98"/><Relationship Type="http://schemas.openxmlformats.org/officeDocument/2006/relationships/hyperlink" Target="https://sena-occidente.blogspot.com" TargetMode="External" Id="rId99"/><Relationship Type="http://schemas.openxmlformats.org/officeDocument/2006/relationships/hyperlink" Target="https://caprendizaje.sena.edu.co/sgva/sgva_diseno/pag/ListaCentros.aspx" TargetMode="External" Id="rId100"/><Relationship Type="http://schemas.openxmlformats.org/officeDocument/2006/relationships/hyperlink" Target="http://araucasena.blogspot.com" TargetMode="External" Id="rId101"/><Relationship Type="http://schemas.openxmlformats.org/officeDocument/2006/relationships/hyperlink" Target="https://caprendizaje.sena.edu.co/sgva/sgva_diseno/pag/ListaCentros.aspx" TargetMode="External" Id="rId102"/><Relationship Type="http://schemas.openxmlformats.org/officeDocument/2006/relationships/hyperlink" Target="http://centrodecomercioyserviciosatl.blogspot.com/p/aprendices.html" TargetMode="External" Id="rId103"/><Relationship Type="http://schemas.openxmlformats.org/officeDocument/2006/relationships/hyperlink" Target="http://centrodecomercioyserviciosatl.blogspot.com/p/aprendices.html" TargetMode="External" Id="rId104"/><Relationship Type="http://schemas.openxmlformats.org/officeDocument/2006/relationships/hyperlink" Target="http://centronalcolomboaleman.blogspot.com/2022/07/" TargetMode="External" Id="rId105"/><Relationship Type="http://schemas.openxmlformats.org/officeDocument/2006/relationships/hyperlink" Target="https://caprendizaje.sena.edu.co/sgva/sgva_diseno/pag/ListaCentros.aspx" TargetMode="External" Id="rId106"/><Relationship Type="http://schemas.openxmlformats.org/officeDocument/2006/relationships/hyperlink" Target="https://industrialyaviacionatlco.blogspot.com/2021/02/proceso-de-evaluacion-y-certificacion.html" TargetMode="External" Id="rId107"/><Relationship Type="http://schemas.openxmlformats.org/officeDocument/2006/relationships/hyperlink" Target="https://caprendizaje.sena.edu.co/sgva/sgva_diseno/pag/ListaCentros.aspx" TargetMode="External" Id="rId108"/><Relationship Type="http://schemas.openxmlformats.org/officeDocument/2006/relationships/hyperlink" Target="https://cedagro.blogspot.com/2025/10/resultados-oficiales-nueva.html" TargetMode="External" Id="rId109"/><Relationship Type="http://schemas.openxmlformats.org/officeDocument/2006/relationships/hyperlink" Target="https://caprendizaje.sena.edu.co/sgva/sgva_diseno/pag/ListaCentros.aspx" TargetMode="External" Id="rId110"/><Relationship Type="http://schemas.openxmlformats.org/officeDocument/2006/relationships/hyperlink" Target="https://cysbolivar.blogspot.com/p/directorio.html" TargetMode="External" Id="rId111"/><Relationship Type="http://schemas.openxmlformats.org/officeDocument/2006/relationships/hyperlink" Target="https://caprendizaje.sena.edu.co/sgva/sgva_diseno/pag/ListaCentros.aspx" TargetMode="External" Id="rId112"/><Relationship Type="http://schemas.openxmlformats.org/officeDocument/2006/relationships/hyperlink" Target="https://cipbolivar.blogspot.com/p/directorio.html" TargetMode="External" Id="rId113"/><Relationship Type="http://schemas.openxmlformats.org/officeDocument/2006/relationships/hyperlink" Target="https://caprendizaje.sena.edu.co/sgva/sgva_diseno/pag/ListaCentros.aspx" TargetMode="External" Id="rId114"/><Relationship Type="http://schemas.openxmlformats.org/officeDocument/2006/relationships/hyperlink" Target="http://caymbolivar.blogspot.com" TargetMode="External" Id="rId115"/><Relationship Type="http://schemas.openxmlformats.org/officeDocument/2006/relationships/hyperlink" Target="https://caprendizaje.sena.edu.co/sgva/sgva_diseno/pag/ListaCentros.aspx" TargetMode="External" Id="rId116"/><Relationship Type="http://schemas.openxmlformats.org/officeDocument/2006/relationships/hyperlink" Target="http://nauticobolivar.blogspot.com" TargetMode="External" Id="rId117"/><Relationship Type="http://schemas.openxmlformats.org/officeDocument/2006/relationships/hyperlink" Target="https://caprendizaje.sena.edu.co/sgva/sgva_diseno/pag/ListaCentros.aspx" TargetMode="External" Id="rId118"/><Relationship Type="http://schemas.openxmlformats.org/officeDocument/2006/relationships/hyperlink" Target="https://cedeagro.blogspot.com/p/informacion-del-centro.html" TargetMode="External" Id="rId119"/><Relationship Type="http://schemas.openxmlformats.org/officeDocument/2006/relationships/hyperlink" Target="https://caprendizaje.sena.edu.co/sgva/sgva_diseno/pag/ListaCentros.aspx" TargetMode="External" Id="rId120"/><Relationship Type="http://schemas.openxmlformats.org/officeDocument/2006/relationships/hyperlink" Target="https://centronacionalminero.blogspot.com/2010/02/" TargetMode="External" Id="rId121"/><Relationship Type="http://schemas.openxmlformats.org/officeDocument/2006/relationships/hyperlink" Target="https://caprendizaje.sena.edu.co/sgva/sgva_diseno/pag/ListaCentros.aspx" TargetMode="External" Id="rId122"/><Relationship Type="http://schemas.openxmlformats.org/officeDocument/2006/relationships/hyperlink" Target="https://senacentrogestiontunja.blogspot.com/2026/08/haz-que-tu-voz-cuente-y-representa-tus.html" TargetMode="External" Id="rId123"/><Relationship Type="http://schemas.openxmlformats.org/officeDocument/2006/relationships/hyperlink" Target="https://caprendizaje.sena.edu.co/sgva/sgva_diseno/pag/ListaCentros.aspx" TargetMode="External" Id="rId124"/><Relationship Type="http://schemas.openxmlformats.org/officeDocument/2006/relationships/hyperlink" Target="https://centroindustrialmantenimientointegral.blogspot.com" TargetMode="External" Id="rId125"/><Relationship Type="http://schemas.openxmlformats.org/officeDocument/2006/relationships/hyperlink" Target="https://caprendizaje.sena.edu.co/sgva/sgva_diseno/pag/ListaCentros.aspx" TargetMode="External" Id="rId126"/><Relationship Type="http://schemas.openxmlformats.org/officeDocument/2006/relationships/hyperlink" Target="https://caprendizaje.sena.edu.co/sgva/sgva_diseno/pag/ListaCentros.aspx" TargetMode="External" Id="rId127"/><Relationship Type="http://schemas.openxmlformats.org/officeDocument/2006/relationships/hyperlink" Target="https://caprendizaje.sena.edu.co/sgva/sgva_diseno/pag/ListaCentros.aspx" TargetMode="External" Id="rId128"/><Relationship Type="http://schemas.openxmlformats.org/officeDocument/2006/relationships/hyperlink" Target="https://centrocomerciocaldas.blogspot.com/2025/07/" TargetMode="External" Id="rId129"/><Relationship Type="http://schemas.openxmlformats.org/officeDocument/2006/relationships/hyperlink" Target="https://caprendizaje.sena.edu.co/sgva/sgva_diseno/pag/ListaCentros.aspx" TargetMode="External" Id="rId130"/><Relationship Type="http://schemas.openxmlformats.org/officeDocument/2006/relationships/hyperlink" Target="https://senacentroformacioncafetera.blogspot.com/p/quienes-somos.html" TargetMode="External" Id="rId131"/><Relationship Type="http://schemas.openxmlformats.org/officeDocument/2006/relationships/hyperlink" Target="https://caprendizaje.sena.edu.co/sgva/sgva_diseno/pag/ListaCentros.aspx" TargetMode="External" Id="rId132"/><Relationship Type="http://schemas.openxmlformats.org/officeDocument/2006/relationships/hyperlink" Target="https://caprendizaje.sena.edu.co/sgva/sgva_diseno/pag/ListaCentros.aspx" TargetMode="External" Id="rId133"/><Relationship Type="http://schemas.openxmlformats.org/officeDocument/2006/relationships/hyperlink" Target="https://caprendizaje.sena.edu.co/sgva/sgva_diseno/pag/ListaCentros.aspx" TargetMode="External" Id="rId134"/><Relationship Type="http://schemas.openxmlformats.org/officeDocument/2006/relationships/hyperlink" Target="https://caprendizaje.sena.edu.co/sgva/sgva_diseno/pag/ListaCentros.aspx" TargetMode="External" Id="rId135"/><Relationship Type="http://schemas.openxmlformats.org/officeDocument/2006/relationships/hyperlink" Target="https://caprendizaje.sena.edu.co/sgva/sgva_diseno/pag/ListaCentros.aspx" TargetMode="External" Id="rId136"/><Relationship Type="http://schemas.openxmlformats.org/officeDocument/2006/relationships/hyperlink" Target="https://caprendizaje.sena.edu.co/sgva/sgva_diseno/pag/ListaCentros.aspx" TargetMode="External" Id="rId137"/><Relationship Type="http://schemas.openxmlformats.org/officeDocument/2006/relationships/hyperlink" Target="https://caprendizaje.sena.edu.co/sgva/sgva_diseno/pag/ListaCentros.aspx" TargetMode="External" Id="rId138"/><Relationship Type="http://schemas.openxmlformats.org/officeDocument/2006/relationships/hyperlink" Target="https://caprendizaje.sena.edu.co/sgva/sgva_diseno/pag/ListaCentros.aspx" TargetMode="External" Id="rId139"/><Relationship Type="http://schemas.openxmlformats.org/officeDocument/2006/relationships/hyperlink" Target="https://caprendizaje.sena.edu.co/sgva/sgva_diseno/pag/ListaCentros.aspx" TargetMode="External" Id="rId140"/><Relationship Type="http://schemas.openxmlformats.org/officeDocument/2006/relationships/hyperlink" Target="https://caprendizaje.sena.edu.co/sgva/sgva_diseno/pag/ListaCentros.aspx" TargetMode="External" Id="rId141"/><Relationship Type="http://schemas.openxmlformats.org/officeDocument/2006/relationships/hyperlink" Target="https://caprendizaje.sena.edu.co/sgva/sgva_diseno/pag/ListaCentros.aspx" TargetMode="External" Id="rId142"/><Relationship Type="http://schemas.openxmlformats.org/officeDocument/2006/relationships/hyperlink" Target="https://caprendizaje.sena.edu.co/sgva/sgva_diseno/pag/ListaCentros.aspx" TargetMode="External" Id="rId143"/><Relationship Type="http://schemas.openxmlformats.org/officeDocument/2006/relationships/hyperlink" Target="https://caprendizaje.sena.edu.co/sgva/sgva_diseno/pag/ListaCentros.aspx" TargetMode="External" Id="rId144"/><Relationship Type="http://schemas.openxmlformats.org/officeDocument/2006/relationships/hyperlink" Target="https://caprendizaje.sena.edu.co/sgva/sgva_diseno/pag/ListaCentros.aspx" TargetMode="External" Id="rId145"/><Relationship Type="http://schemas.openxmlformats.org/officeDocument/2006/relationships/hyperlink" Target="https://caprendizaje.sena.edu.co/sgva/sgva_diseno/pag/ListaCentros.aspx" TargetMode="External" Id="rId146"/><Relationship Type="http://schemas.openxmlformats.org/officeDocument/2006/relationships/hyperlink" Target="https://caprendizaje.sena.edu.co/sgva/sgva_diseno/pag/ListaCentros.aspx" TargetMode="External" Id="rId147"/><Relationship Type="http://schemas.openxmlformats.org/officeDocument/2006/relationships/hyperlink" Target="https://caprendizaje.sena.edu.co/sgva/sgva_diseno/pag/ListaCentros.aspx" TargetMode="External" Id="rId148"/><Relationship Type="http://schemas.openxmlformats.org/officeDocument/2006/relationships/hyperlink" Target="https://caprendizaje.sena.edu.co/sgva/sgva_diseno/pag/ListaCentros.aspx" TargetMode="External" Id="rId149"/><Relationship Type="http://schemas.openxmlformats.org/officeDocument/2006/relationships/hyperlink" Target="https://caprendizaje.sena.edu.co/sgva/sgva_diseno/pag/ListaCentros.aspx" TargetMode="External" Id="rId150"/><Relationship Type="http://schemas.openxmlformats.org/officeDocument/2006/relationships/hyperlink" Target="https://caprendizaje.sena.edu.co/sgva/sgva_diseno/pag/ListaCentros.aspx" TargetMode="External" Id="rId151"/><Relationship Type="http://schemas.openxmlformats.org/officeDocument/2006/relationships/hyperlink" Target="https://caprendizaje.sena.edu.co/sgva/sgva_diseno/pag/ListaCentros.aspx" TargetMode="External" Id="rId152"/><Relationship Type="http://schemas.openxmlformats.org/officeDocument/2006/relationships/hyperlink" Target="https://caprendizaje.sena.edu.co/sgva/sgva_diseno/pag/ListaCentros.aspx" TargetMode="External" Id="rId153"/><Relationship Type="http://schemas.openxmlformats.org/officeDocument/2006/relationships/hyperlink" Target="https://caprendizaje.sena.edu.co/sgva/sgva_diseno/pag/ListaCentros.aspx" TargetMode="External" Id="rId154"/><Relationship Type="http://schemas.openxmlformats.org/officeDocument/2006/relationships/hyperlink" Target="https://caprendizaje.sena.edu.co/sgva/sgva_diseno/pag/ListaCentros.aspx" TargetMode="External" Id="rId155"/><Relationship Type="http://schemas.openxmlformats.org/officeDocument/2006/relationships/hyperlink" Target="https://caprendizaje.sena.edu.co/sgva/sgva_diseno/pag/ListaCentros.aspx" TargetMode="External" Id="rId156"/><Relationship Type="http://schemas.openxmlformats.org/officeDocument/2006/relationships/hyperlink" Target="https://caprendizaje.sena.edu.co/sgva/sgva_diseno/pag/ListaCentros.aspx" TargetMode="External" Id="rId157"/><Relationship Type="http://schemas.openxmlformats.org/officeDocument/2006/relationships/hyperlink" Target="https://caprendizaje.sena.edu.co/sgva/sgva_diseno/pag/ListaCentros.aspx" TargetMode="External" Id="rId158"/><Relationship Type="http://schemas.openxmlformats.org/officeDocument/2006/relationships/hyperlink" Target="https://caprendizaje.sena.edu.co/sgva/sgva_diseno/pag/ListaCentros.aspx" TargetMode="External" Id="rId159"/><Relationship Type="http://schemas.openxmlformats.org/officeDocument/2006/relationships/hyperlink" Target="https://caprendizaje.sena.edu.co/sgva/sgva_diseno/pag/ListaCentros.aspx" TargetMode="External" Id="rId160"/><Relationship Type="http://schemas.openxmlformats.org/officeDocument/2006/relationships/hyperlink" Target="https://caprendizaje.sena.edu.co/sgva/sgva_diseno/pag/ListaCentros.aspx" TargetMode="External" Id="rId161"/><Relationship Type="http://schemas.openxmlformats.org/officeDocument/2006/relationships/hyperlink" Target="https://caprendizaje.sena.edu.co/sgva/sgva_diseno/pag/ListaCentros.aspx" TargetMode="External" Id="rId162"/><Relationship Type="http://schemas.openxmlformats.org/officeDocument/2006/relationships/hyperlink" Target="https://caprendizaje.sena.edu.co/sgva/sgva_diseno/pag/ListaCentros.aspx" TargetMode="External" Id="rId163"/><Relationship Type="http://schemas.openxmlformats.org/officeDocument/2006/relationships/hyperlink" Target="https://caprendizaje.sena.edu.co/sgva/sgva_diseno/pag/ListaCentros.aspx" TargetMode="External" Id="rId164"/><Relationship Type="http://schemas.openxmlformats.org/officeDocument/2006/relationships/hyperlink" Target="https://caprendizaje.sena.edu.co/sgva/sgva_diseno/pag/ListaCentros.aspx" TargetMode="External" Id="rId165"/><Relationship Type="http://schemas.openxmlformats.org/officeDocument/2006/relationships/hyperlink" Target="https://caprendizaje.sena.edu.co/sgva/sgva_diseno/pag/ListaCentros.aspx" TargetMode="External" Id="rId166"/><Relationship Type="http://schemas.openxmlformats.org/officeDocument/2006/relationships/hyperlink" Target="https://caprendizaje.sena.edu.co/sgva/sgva_diseno/pag/ListaCentros.aspx" TargetMode="External" Id="rId167"/><Relationship Type="http://schemas.openxmlformats.org/officeDocument/2006/relationships/hyperlink" Target="https://caprendizaje.sena.edu.co/sgva/sgva_diseno/pag/ListaCentros.aspx" TargetMode="External" Id="rId168"/><Relationship Type="http://schemas.openxmlformats.org/officeDocument/2006/relationships/hyperlink" Target="https://caprendizaje.sena.edu.co/sgva/sgva_diseno/pag/ListaCentros.aspx" TargetMode="External" Id="rId169"/><Relationship Type="http://schemas.openxmlformats.org/officeDocument/2006/relationships/hyperlink" Target="https://caprendizaje.sena.edu.co/sgva/sgva_diseno/pag/ListaCentros.aspx" TargetMode="External" Id="rId170"/><Relationship Type="http://schemas.openxmlformats.org/officeDocument/2006/relationships/hyperlink" Target="https://caprendizaje.sena.edu.co/sgva/sgva_diseno/pag/ListaCentros.aspx" TargetMode="External" Id="rId171"/><Relationship Type="http://schemas.openxmlformats.org/officeDocument/2006/relationships/hyperlink" Target="https://caprendizaje.sena.edu.co/sgva/sgva_diseno/pag/ListaCentros.aspx" TargetMode="External" Id="rId172"/><Relationship Type="http://schemas.openxmlformats.org/officeDocument/2006/relationships/hyperlink" Target="https://caprendizaje.sena.edu.co/sgva/sgva_diseno/pag/ListaCentros.aspx" TargetMode="External" Id="rId173"/><Relationship Type="http://schemas.openxmlformats.org/officeDocument/2006/relationships/hyperlink" Target="https://caprendizaje.sena.edu.co/sgva/sgva_diseno/pag/ListaCentros.aspx" TargetMode="External" Id="rId174"/><Relationship Type="http://schemas.openxmlformats.org/officeDocument/2006/relationships/hyperlink" Target="https://caprendizaje.sena.edu.co/sgva/sgva_diseno/pag/ListaCentros.aspx" TargetMode="External" Id="rId175"/><Relationship Type="http://schemas.openxmlformats.org/officeDocument/2006/relationships/hyperlink" Target="https://caprendizaje.sena.edu.co/sgva/sgva_diseno/pag/ListaCentros.aspx" TargetMode="External" Id="rId176"/><Relationship Type="http://schemas.openxmlformats.org/officeDocument/2006/relationships/hyperlink" Target="https://caprendizaje.sena.edu.co/sgva/sgva_diseno/pag/ListaCentros.aspx" TargetMode="External" Id="rId177"/><Relationship Type="http://schemas.openxmlformats.org/officeDocument/2006/relationships/hyperlink" Target="https://caprendizaje.sena.edu.co/sgva/sgva_diseno/pag/ListaCentros.aspx" TargetMode="External" Id="rId178"/><Relationship Type="http://schemas.openxmlformats.org/officeDocument/2006/relationships/hyperlink" Target="https://caprendizaje.sena.edu.co/sgva/sgva_diseno/pag/ListaCentros.aspx" TargetMode="External" Id="rId179"/><Relationship Type="http://schemas.openxmlformats.org/officeDocument/2006/relationships/hyperlink" Target="https://caprendizaje.sena.edu.co/sgva/sgva_diseno/pag/ListaCentros.aspx" TargetMode="External" Id="rId180"/><Relationship Type="http://schemas.openxmlformats.org/officeDocument/2006/relationships/hyperlink" Target="https://caprendizaje.sena.edu.co/sgva/sgva_diseno/pag/ListaCentros.aspx" TargetMode="External" Id="rId181"/><Relationship Type="http://schemas.openxmlformats.org/officeDocument/2006/relationships/hyperlink" Target="https://caprendizaje.sena.edu.co/sgva/sgva_diseno/pag/ListaCentros.aspx" TargetMode="External" Id="rId182"/><Relationship Type="http://schemas.openxmlformats.org/officeDocument/2006/relationships/hyperlink" Target="https://caprendizaje.sena.edu.co/sgva/sgva_diseno/pag/ListaCentros.aspx" TargetMode="External" Id="rId183"/><Relationship Type="http://schemas.openxmlformats.org/officeDocument/2006/relationships/hyperlink" Target="https://caprendizaje.sena.edu.co/sgva/sgva_diseno/pag/ListaCentros.aspx" TargetMode="External" Id="rId184"/><Relationship Type="http://schemas.openxmlformats.org/officeDocument/2006/relationships/hyperlink" Target="https://caprendizaje.sena.edu.co/sgva/sgva_diseno/pag/ListaCentros.aspx" TargetMode="External" Id="rId185"/><Relationship Type="http://schemas.openxmlformats.org/officeDocument/2006/relationships/hyperlink" Target="https://caprendizaje.sena.edu.co/sgva/sgva_diseno/pag/ListaCentros.aspx" TargetMode="External" Id="rId186"/><Relationship Type="http://schemas.openxmlformats.org/officeDocument/2006/relationships/hyperlink" Target="https://caprendizaje.sena.edu.co/sgva/sgva_diseno/pag/ListaCentros.aspx" TargetMode="External" Id="rId187"/><Relationship Type="http://schemas.openxmlformats.org/officeDocument/2006/relationships/hyperlink" Target="https://caprendizaje.sena.edu.co/sgva/sgva_diseno/pag/ListaCentros.aspx" TargetMode="External" Id="rId188"/><Relationship Type="http://schemas.openxmlformats.org/officeDocument/2006/relationships/hyperlink" Target="https://caprendizaje.sena.edu.co/sgva/sgva_diseno/pag/ListaCentros.aspx" TargetMode="External" Id="rId189"/><Relationship Type="http://schemas.openxmlformats.org/officeDocument/2006/relationships/hyperlink" Target="https://caprendizaje.sena.edu.co/sgva/sgva_diseno/pag/ListaCentros.aspx" TargetMode="External" Id="rId190"/><Relationship Type="http://schemas.openxmlformats.org/officeDocument/2006/relationships/hyperlink" Target="https://caprendizaje.sena.edu.co/sgva/sgva_diseno/pag/ListaCentros.aspx" TargetMode="External" Id="rId191"/><Relationship Type="http://schemas.openxmlformats.org/officeDocument/2006/relationships/hyperlink" Target="https://caprendizaje.sena.edu.co/sgva/sgva_diseno/pag/ListaCentros.aspx" TargetMode="External" Id="rId192"/><Relationship Type="http://schemas.openxmlformats.org/officeDocument/2006/relationships/hyperlink" Target="https://caprendizaje.sena.edu.co/sgva/sgva_diseno/pag/ListaCentros.aspx" TargetMode="External" Id="rId193"/><Relationship Type="http://schemas.openxmlformats.org/officeDocument/2006/relationships/hyperlink" Target="https://caprendizaje.sena.edu.co/sgva/sgva_diseno/pag/ListaCentros.aspx" TargetMode="External" Id="rId194"/><Relationship Type="http://schemas.openxmlformats.org/officeDocument/2006/relationships/hyperlink" Target="https://caprendizaje.sena.edu.co/sgva/sgva_diseno/pag/ListaCentros.aspx" TargetMode="External" Id="rId195"/><Relationship Type="http://schemas.openxmlformats.org/officeDocument/2006/relationships/hyperlink" Target="https://caprendizaje.sena.edu.co/sgva/sgva_diseno/pag/ListaCentros.aspx" TargetMode="External" Id="rId196"/><Relationship Type="http://schemas.openxmlformats.org/officeDocument/2006/relationships/hyperlink" Target="https://caprendizaje.sena.edu.co/sgva/sgva_diseno/pag/ListaCentros.aspx" TargetMode="External" Id="rId197"/><Relationship Type="http://schemas.openxmlformats.org/officeDocument/2006/relationships/hyperlink" Target="https://caprendizaje.sena.edu.co/sgva/sgva_diseno/pag/ListaCentros.aspx" TargetMode="External" Id="rId198"/><Relationship Type="http://schemas.openxmlformats.org/officeDocument/2006/relationships/hyperlink" Target="https://caprendizaje.sena.edu.co/sgva/sgva_diseno/pag/ListaCentros.aspx" TargetMode="External" Id="rId199"/><Relationship Type="http://schemas.openxmlformats.org/officeDocument/2006/relationships/hyperlink" Target="https://caprendizaje.sena.edu.co/sgva/sgva_diseno/pag/ListaCentros.aspx" TargetMode="External" Id="rId200"/><Relationship Type="http://schemas.openxmlformats.org/officeDocument/2006/relationships/hyperlink" Target="https://caprendizaje.sena.edu.co/sgva/sgva_diseno/pag/ListaCentros.aspx" TargetMode="External" Id="rId201"/><Relationship Type="http://schemas.openxmlformats.org/officeDocument/2006/relationships/hyperlink" Target="https://caprendizaje.sena.edu.co/sgva/sgva_diseno/pag/ListaCentros.aspx" TargetMode="External" Id="rId202"/><Relationship Type="http://schemas.openxmlformats.org/officeDocument/2006/relationships/hyperlink" Target="https://caprendizaje.sena.edu.co/sgva/sgva_diseno/pag/ListaCentros.aspx" TargetMode="External" Id="rId203"/><Relationship Type="http://schemas.openxmlformats.org/officeDocument/2006/relationships/hyperlink" Target="https://caprendizaje.sena.edu.co/sgva/sgva_diseno/pag/ListaCentros.aspx" TargetMode="External" Id="rId204"/><Relationship Type="http://schemas.openxmlformats.org/officeDocument/2006/relationships/hyperlink" Target="https://caprendizaje.sena.edu.co/sgva/sgva_diseno/pag/ListaCentros.aspx" TargetMode="External" Id="rId205"/><Relationship Type="http://schemas.openxmlformats.org/officeDocument/2006/relationships/hyperlink" Target="https://caprendizaje.sena.edu.co/sgva/sgva_diseno/pag/ListaCentros.aspx" TargetMode="External" Id="rId206"/><Relationship Type="http://schemas.openxmlformats.org/officeDocument/2006/relationships/hyperlink" Target="https://caprendizaje.sena.edu.co/sgva/sgva_diseno/pag/ListaCentros.aspx" TargetMode="External" Id="rId207"/><Relationship Type="http://schemas.openxmlformats.org/officeDocument/2006/relationships/hyperlink" Target="https://caprendizaje.sena.edu.co/sgva/sgva_diseno/pag/ListaCentros.aspx" TargetMode="External" Id="rId208"/><Relationship Type="http://schemas.openxmlformats.org/officeDocument/2006/relationships/hyperlink" Target="https://caprendizaje.sena.edu.co/sgva/sgva_diseno/pag/ListaCentros.aspx" TargetMode="External" Id="rId209"/><Relationship Type="http://schemas.openxmlformats.org/officeDocument/2006/relationships/hyperlink" Target="https://caprendizaje.sena.edu.co/sgva/sgva_diseno/pag/ListaCentros.aspx" TargetMode="External" Id="rId210"/><Relationship Type="http://schemas.openxmlformats.org/officeDocument/2006/relationships/hyperlink" Target="https://caprendizaje.sena.edu.co/sgva/sgva_diseno/pag/ListaCentros.aspx" TargetMode="External" Id="rId211"/><Relationship Type="http://schemas.openxmlformats.org/officeDocument/2006/relationships/hyperlink" Target="https://caprendizaje.sena.edu.co/sgva/sgva_diseno/pag/ListaCentros.aspx" TargetMode="External" Id="rId212"/><Relationship Type="http://schemas.openxmlformats.org/officeDocument/2006/relationships/hyperlink" Target="https://caprendizaje.sena.edu.co/sgva/sgva_diseno/pag/ListaCentros.aspx" TargetMode="External" Id="rId213"/><Relationship Type="http://schemas.openxmlformats.org/officeDocument/2006/relationships/hyperlink" Target="https://caprendizaje.sena.edu.co/sgva/sgva_diseno/pag/ListaCentros.aspx" TargetMode="External" Id="rId214"/><Relationship Type="http://schemas.openxmlformats.org/officeDocument/2006/relationships/hyperlink" Target="https://caprendizaje.sena.edu.co/sgva/sgva_diseno/pag/ListaCentros.aspx" TargetMode="External" Id="rId215"/><Relationship Type="http://schemas.openxmlformats.org/officeDocument/2006/relationships/hyperlink" Target="https://caprendizaje.sena.edu.co/sgva/sgva_diseno/pag/ListaCentros.aspx" TargetMode="External" Id="rId216"/><Relationship Type="http://schemas.openxmlformats.org/officeDocument/2006/relationships/table" Target="/xl/tables/table11.xml" Id="rId217"/></Relationships>
</file>

<file path=xl/worksheets/_rels/sheet13.xml.rels><Relationships xmlns="http://schemas.openxmlformats.org/package/2006/relationships"><Relationship Type="http://schemas.openxmlformats.org/officeDocument/2006/relationships/hyperlink" Target="https://sart.iess.gob.ec/" TargetMode="External" Id="rId1"/><Relationship Type="http://schemas.openxmlformats.org/officeDocument/2006/relationships/hyperlink" Target="https://www.iess.gob.ec/" TargetMode="External" Id="rId2"/><Relationship Type="http://schemas.openxmlformats.org/officeDocument/2006/relationships/hyperlink" Target="https://www.iaen.edu.ec/" TargetMode="External" Id="rId3"/><Relationship Type="http://schemas.openxmlformats.org/officeDocument/2006/relationships/hyperlink" Target="https://www.iaen.edu.ec/historia/" TargetMode="External" Id="rId4"/><Relationship Type="http://schemas.openxmlformats.org/officeDocument/2006/relationships/hyperlink" Target="https://tecnologicosucre.edu.ec/web/" TargetMode="External" Id="rId5"/><Relationship Type="http://schemas.openxmlformats.org/officeDocument/2006/relationships/hyperlink" Target="https://ec.todosnegocios.com/sucre-instituto-superior-tecnol%C3%B3gico-02-291-0513" TargetMode="External" Id="rId6"/><Relationship Type="http://schemas.openxmlformats.org/officeDocument/2006/relationships/hyperlink" Target="https://istct.edu.ec/portal/nuevo/" TargetMode="External" Id="rId7"/><Relationship Type="http://schemas.openxmlformats.org/officeDocument/2006/relationships/hyperlink" Target="https://istct.edu.ec/portal/nuevo/" TargetMode="External" Id="rId8"/><Relationship Type="http://schemas.openxmlformats.org/officeDocument/2006/relationships/hyperlink" Target="https://yavirac.edu.ec/contacto/" TargetMode="External" Id="rId9"/><Relationship Type="http://schemas.openxmlformats.org/officeDocument/2006/relationships/hyperlink" Target="https://yavirac.edu.ec/contactos/" TargetMode="External" Id="rId10"/><Relationship Type="http://schemas.openxmlformats.org/officeDocument/2006/relationships/hyperlink" Target="https://web.ist17dejulio.edu.ec/?page=inicio" TargetMode="External" Id="rId11"/><Relationship Type="http://schemas.openxmlformats.org/officeDocument/2006/relationships/hyperlink" Target="https://web.ist17dejulio.edu.ec/?page=inicio" TargetMode="External" Id="rId12"/><Relationship Type="http://schemas.openxmlformats.org/officeDocument/2006/relationships/hyperlink" Target="https://www.istlam.edu.ec/" TargetMode="External" Id="rId13"/><Relationship Type="http://schemas.openxmlformats.org/officeDocument/2006/relationships/hyperlink" Target="https://www.istlam.edu.ec/index.php/contactenos" TargetMode="External" Id="rId14"/><Relationship Type="http://schemas.openxmlformats.org/officeDocument/2006/relationships/hyperlink" Target="https://www.istsb.edu.ec/contacto/" TargetMode="External" Id="rId15"/><Relationship Type="http://schemas.openxmlformats.org/officeDocument/2006/relationships/hyperlink" Target="https://istsb.edu.ec/contact/" TargetMode="External" Id="rId16"/><Relationship Type="http://schemas.openxmlformats.org/officeDocument/2006/relationships/hyperlink" Target="https://www.isttsachila.edu.ec/contacto/" TargetMode="External" Id="rId17"/><Relationship Type="http://schemas.openxmlformats.org/officeDocument/2006/relationships/hyperlink" Target="https://tsachila.edu.ec/PortalWeb/" TargetMode="External" Id="rId18"/><Relationship Type="http://schemas.openxmlformats.org/officeDocument/2006/relationships/hyperlink" Target="https://www.istvr.edu.ec/contacto/" TargetMode="External" Id="rId19"/><Relationship Type="http://schemas.openxmlformats.org/officeDocument/2006/relationships/hyperlink" Target="https://istvr.edu.ec/web/contactenos/" TargetMode="External" Id="rId20"/><Relationship Type="http://schemas.openxmlformats.org/officeDocument/2006/relationships/hyperlink" Target="https://ecuador.techo.org/" TargetMode="External" Id="rId21"/><Relationship Type="http://schemas.openxmlformats.org/officeDocument/2006/relationships/hyperlink" Target="https://ecuador.techo.org/contacto/" TargetMode="External" Id="rId22"/><Relationship Type="http://schemas.openxmlformats.org/officeDocument/2006/relationships/hyperlink" Target="https://scoutsecuador.org/" TargetMode="External" Id="rId23"/><Relationship Type="http://schemas.openxmlformats.org/officeDocument/2006/relationships/hyperlink" Target="https://scoutsecuador.org/" TargetMode="External" Id="rId24"/><Relationship Type="http://schemas.openxmlformats.org/officeDocument/2006/relationships/hyperlink" Target="https://www.cruzroja.org.ec/" TargetMode="External" Id="rId25"/><Relationship Type="http://schemas.openxmlformats.org/officeDocument/2006/relationships/hyperlink" Target="https://www.cruzroja.org.ec/" TargetMode="External" Id="rId26"/><Relationship Type="http://schemas.openxmlformats.org/officeDocument/2006/relationships/hyperlink" Target="https://ymcaecuador.org/" TargetMode="External" Id="rId27"/><Relationship Type="http://schemas.openxmlformats.org/officeDocument/2006/relationships/hyperlink" Target="https://ymcaecuador.org/contacto/" TargetMode="External" Id="rId28"/><Relationship Type="http://schemas.openxmlformats.org/officeDocument/2006/relationships/hyperlink" Target="https://www.igualdad.gob.ec/" TargetMode="External" Id="rId29"/><Relationship Type="http://schemas.openxmlformats.org/officeDocument/2006/relationships/hyperlink" Target="https://www.igualdad.gob.ec/directorio-servicios-sociales/" TargetMode="External" Id="rId30"/><Relationship Type="http://schemas.openxmlformats.org/officeDocument/2006/relationships/hyperlink" Target="https://cedocut.org.ec/" TargetMode="External" Id="rId31"/><Relationship Type="http://schemas.openxmlformats.org/officeDocument/2006/relationships/hyperlink" Target="https://cedocut.org.ec/seccion/filiales/" TargetMode="External" Id="rId32"/><Relationship Type="http://schemas.openxmlformats.org/officeDocument/2006/relationships/hyperlink" Target="https://ceosl.ec/" TargetMode="External" Id="rId33"/><Relationship Type="http://schemas.openxmlformats.org/officeDocument/2006/relationships/hyperlink" Target="https://ceosl.ec/comite-ejecutivo/" TargetMode="External" Id="rId34"/><Relationship Type="http://schemas.openxmlformats.org/officeDocument/2006/relationships/hyperlink" Target="https://www.cte.org.ec/" TargetMode="External" Id="rId35"/><Relationship Type="http://schemas.openxmlformats.org/officeDocument/2006/relationships/hyperlink" Target="https://www.cte.org.ec/" TargetMode="External" Id="rId36"/><Relationship Type="http://schemas.openxmlformats.org/officeDocument/2006/relationships/hyperlink" Target="http://fut.cl" TargetMode="External" Id="rId37"/><Relationship Type="http://schemas.openxmlformats.org/officeDocument/2006/relationships/hyperlink" Target="https://www.facebook.com/frenteunitariodetrabajadores/" TargetMode="External" Id="rId38"/><Relationship Type="http://schemas.openxmlformats.org/officeDocument/2006/relationships/hyperlink" Target="https://www.epn.edu.ec/" TargetMode="External" Id="rId39"/><Relationship Type="http://schemas.openxmlformats.org/officeDocument/2006/relationships/hyperlink" Target="https://www.epn.edu.ec/" TargetMode="External" Id="rId40"/><Relationship Type="http://schemas.openxmlformats.org/officeDocument/2006/relationships/hyperlink" Target="https://www.espoch.edu.ec/" TargetMode="External" Id="rId41"/><Relationship Type="http://schemas.openxmlformats.org/officeDocument/2006/relationships/hyperlink" Target="https://www.espoch.edu.ec/" TargetMode="External" Id="rId42"/><Relationship Type="http://schemas.openxmlformats.org/officeDocument/2006/relationships/hyperlink" Target="https://www.espam.edu.ec/" TargetMode="External" Id="rId43"/><Relationship Type="http://schemas.openxmlformats.org/officeDocument/2006/relationships/hyperlink" Target="mailto:bienestar@espam.edu.ec" TargetMode="External" Id="rId44"/><Relationship Type="http://schemas.openxmlformats.org/officeDocument/2006/relationships/hyperlink" Target="https://www.espam.edu.ec/web/universidad/Contactos.aspx" TargetMode="External" Id="rId45"/><Relationship Type="http://schemas.openxmlformats.org/officeDocument/2006/relationships/hyperlink" Target="https://www.uce.edu.ec/" TargetMode="External" Id="rId46"/><Relationship Type="http://schemas.openxmlformats.org/officeDocument/2006/relationships/hyperlink" Target="https://www.uce.edu.ec/administrativos" TargetMode="External" Id="rId47"/><Relationship Type="http://schemas.openxmlformats.org/officeDocument/2006/relationships/hyperlink" Target="https://www.ug.edu.ec/" TargetMode="External" Id="rId48"/><Relationship Type="http://schemas.openxmlformats.org/officeDocument/2006/relationships/hyperlink" Target="https://www.ug.edu.ec/" TargetMode="External" Id="rId49"/><Relationship Type="http://schemas.openxmlformats.org/officeDocument/2006/relationships/hyperlink" Target="https://www.ucuenca.edu.ec/" TargetMode="External" Id="rId50"/><Relationship Type="http://schemas.openxmlformats.org/officeDocument/2006/relationships/hyperlink" Target="https://www.ucuenca.edu.ec/vinculacion/" TargetMode="External" Id="rId51"/><Relationship Type="http://schemas.openxmlformats.org/officeDocument/2006/relationships/hyperlink" Target="https://unl.edu.ec/" TargetMode="External" Id="rId52"/><Relationship Type="http://schemas.openxmlformats.org/officeDocument/2006/relationships/hyperlink" Target="https://unl.edu.ec/contactenos" TargetMode="External" Id="rId53"/><Relationship Type="http://schemas.openxmlformats.org/officeDocument/2006/relationships/hyperlink" Target="https://www.utm.edu.ec/" TargetMode="External" Id="rId54"/><Relationship Type="http://schemas.openxmlformats.org/officeDocument/2006/relationships/hyperlink" Target="https://www.utm.edu.ec/" TargetMode="External" Id="rId55"/><Relationship Type="http://schemas.openxmlformats.org/officeDocument/2006/relationships/hyperlink" Target="https://www.uta.edu.ec/" TargetMode="External" Id="rId56"/><Relationship Type="http://schemas.openxmlformats.org/officeDocument/2006/relationships/hyperlink" Target="https://www.utm.edu.ec/la-universidad/directorios-utm/directorio-de-unidades-administrativas" TargetMode="External" Id="rId57"/><Relationship Type="http://schemas.openxmlformats.org/officeDocument/2006/relationships/hyperlink" Target="https://www.utmachala.edu.ec/" TargetMode="External" Id="rId58"/><Relationship Type="http://schemas.openxmlformats.org/officeDocument/2006/relationships/hyperlink" Target="https://www.utmachala.edu.ec/portalwp/index.php/campus-machala/" TargetMode="External" Id="rId59"/><Relationship Type="http://schemas.openxmlformats.org/officeDocument/2006/relationships/hyperlink" Target="https://www.utelvt.edu.ec/" TargetMode="External" Id="rId60"/><Relationship Type="http://schemas.openxmlformats.org/officeDocument/2006/relationships/hyperlink" Target="https://www.utmachala.edu.ec/" TargetMode="External" Id="rId61"/><Relationship Type="http://schemas.openxmlformats.org/officeDocument/2006/relationships/hyperlink" Target="https://www.utb.edu.ec/" TargetMode="External" Id="rId62"/><Relationship Type="http://schemas.openxmlformats.org/officeDocument/2006/relationships/hyperlink" Target="https://www.uteq.edu.ec/" TargetMode="External" Id="rId63"/><Relationship Type="http://schemas.openxmlformats.org/officeDocument/2006/relationships/hyperlink" Target="https://www.uteq.edu.ec/" TargetMode="External" Id="rId64"/><Relationship Type="http://schemas.openxmlformats.org/officeDocument/2006/relationships/hyperlink" Target="https://www.utn.edu.ec/" TargetMode="External" Id="rId65"/><Relationship Type="http://schemas.openxmlformats.org/officeDocument/2006/relationships/hyperlink" Target="https://www.utn.edu.ec/" TargetMode="External" Id="rId66"/><Relationship Type="http://schemas.openxmlformats.org/officeDocument/2006/relationships/hyperlink" Target="https://www.uleam.edu.ec/" TargetMode="External" Id="rId67"/><Relationship Type="http://schemas.openxmlformats.org/officeDocument/2006/relationships/hyperlink" Target="https://www.uleam.edu.ec/" TargetMode="External" Id="rId68"/><Relationship Type="http://schemas.openxmlformats.org/officeDocument/2006/relationships/hyperlink" Target="https://www.ueb.edu.ec/" TargetMode="External" Id="rId69"/><Relationship Type="http://schemas.openxmlformats.org/officeDocument/2006/relationships/hyperlink" Target="https://www.uagraria.edu.ec/" TargetMode="External" Id="rId70"/><Relationship Type="http://schemas.openxmlformats.org/officeDocument/2006/relationships/hyperlink" Target="https://admision.uagraria.edu.ec/documentacion.html" TargetMode="External" Id="rId71"/><Relationship Type="http://schemas.openxmlformats.org/officeDocument/2006/relationships/hyperlink" Target="https://www.unach.edu.ec/" TargetMode="External" Id="rId72"/><Relationship Type="http://schemas.openxmlformats.org/officeDocument/2006/relationships/hyperlink" Target="https://www.unach.edu.ec/" TargetMode="External" Id="rId73"/><Relationship Type="http://schemas.openxmlformats.org/officeDocument/2006/relationships/hyperlink" Target="https://www.utc.edu.ec/" TargetMode="External" Id="rId74"/><Relationship Type="http://schemas.openxmlformats.org/officeDocument/2006/relationships/hyperlink" Target="https://www.utc.edu.ec/" TargetMode="External" Id="rId75"/><Relationship Type="http://schemas.openxmlformats.org/officeDocument/2006/relationships/hyperlink" Target="https://www.espol.edu.ec/" TargetMode="External" Id="rId76"/><Relationship Type="http://schemas.openxmlformats.org/officeDocument/2006/relationships/hyperlink" Target="https://www.espol.edu.ec/es/contactanos" TargetMode="External" Id="rId77"/><Relationship Type="http://schemas.openxmlformats.org/officeDocument/2006/relationships/hyperlink" Target="https://www.uasb.edu.ec/" TargetMode="External" Id="rId78"/><Relationship Type="http://schemas.openxmlformats.org/officeDocument/2006/relationships/hyperlink" Target="https://www.uasb.edu.ec/admisiones/contacto/" TargetMode="External" Id="rId79"/><Relationship Type="http://schemas.openxmlformats.org/officeDocument/2006/relationships/hyperlink" Target="https://www.upse.edu.ec/" TargetMode="External" Id="rId80"/><Relationship Type="http://schemas.openxmlformats.org/officeDocument/2006/relationships/hyperlink" Target="https://www.upse.edu.ec/secretariageneral/" TargetMode="External" Id="rId81"/><Relationship Type="http://schemas.openxmlformats.org/officeDocument/2006/relationships/hyperlink" Target="https://www.unemi.edu.ec/" TargetMode="External" Id="rId82"/><Relationship Type="http://schemas.openxmlformats.org/officeDocument/2006/relationships/hyperlink" Target="https://www.unemi.edu.ec/" TargetMode="External" Id="rId83"/><Relationship Type="http://schemas.openxmlformats.org/officeDocument/2006/relationships/hyperlink" Target="https://www.unesum.edu.ec/" TargetMode="External" Id="rId84"/><Relationship Type="http://schemas.openxmlformats.org/officeDocument/2006/relationships/hyperlink" Target="https://unesum.edu.ec/" TargetMode="External" Id="rId85"/><Relationship Type="http://schemas.openxmlformats.org/officeDocument/2006/relationships/hyperlink" Target="https://www.flacso.edu.ec/" TargetMode="External" Id="rId86"/><Relationship Type="http://schemas.openxmlformats.org/officeDocument/2006/relationships/hyperlink" Target="https://www.flacso.edu.ec/" TargetMode="External" Id="rId87"/><Relationship Type="http://schemas.openxmlformats.org/officeDocument/2006/relationships/hyperlink" Target="https://www.uea.edu.ec/" TargetMode="External" Id="rId88"/><Relationship Type="http://schemas.openxmlformats.org/officeDocument/2006/relationships/hyperlink" Target="https://www.uea.edu.ec/web/v2/" TargetMode="External" Id="rId89"/><Relationship Type="http://schemas.openxmlformats.org/officeDocument/2006/relationships/hyperlink" Target="https://www.amawtaywasi.edu.ec/" TargetMode="External" Id="rId90"/><Relationship Type="http://schemas.openxmlformats.org/officeDocument/2006/relationships/hyperlink" Target="https://uaw.edu.ec/" TargetMode="External" Id="rId91"/><Relationship Type="http://schemas.openxmlformats.org/officeDocument/2006/relationships/hyperlink" Target="https://www.upec.edu.ec/" TargetMode="External" Id="rId92"/><Relationship Type="http://schemas.openxmlformats.org/officeDocument/2006/relationships/hyperlink" Target="https://upec.edu.ec/index.php/contactos-principal/" TargetMode="External" Id="rId93"/><Relationship Type="http://schemas.openxmlformats.org/officeDocument/2006/relationships/hyperlink" Target="https://www.espe.edu.ec/" TargetMode="External" Id="rId94"/><Relationship Type="http://schemas.openxmlformats.org/officeDocument/2006/relationships/hyperlink" Target="https://www.espe.edu.ec/" TargetMode="External" Id="rId95"/><Relationship Type="http://schemas.openxmlformats.org/officeDocument/2006/relationships/hyperlink" Target="https://www.ikiam.edu.ec/" TargetMode="External" Id="rId96"/><Relationship Type="http://schemas.openxmlformats.org/officeDocument/2006/relationships/hyperlink" Target="https://www.ikiam.edu.ec/" TargetMode="External" Id="rId97"/><Relationship Type="http://schemas.openxmlformats.org/officeDocument/2006/relationships/hyperlink" Target="https://www.yachaytech.edu.ec/" TargetMode="External" Id="rId98"/><Relationship Type="http://schemas.openxmlformats.org/officeDocument/2006/relationships/hyperlink" Target="https://yachaytech.edu.ec/admisiones/" TargetMode="External" Id="rId99"/><Relationship Type="http://schemas.openxmlformats.org/officeDocument/2006/relationships/hyperlink" Target="https://www.uartes.edu.ec/" TargetMode="External" Id="rId100"/><Relationship Type="http://schemas.openxmlformats.org/officeDocument/2006/relationships/hyperlink" Target="https://www.uartes.edu.ec/" TargetMode="External" Id="rId101"/><Relationship Type="http://schemas.openxmlformats.org/officeDocument/2006/relationships/hyperlink" Target="https://www.unae.edu.ec/" TargetMode="External" Id="rId102"/><Relationship Type="http://schemas.openxmlformats.org/officeDocument/2006/relationships/hyperlink" Target="https://www.unae.edu.ec/" TargetMode="External" Id="rId103"/><Relationship Type="http://schemas.openxmlformats.org/officeDocument/2006/relationships/table" Target="/xl/tables/table12.xml" Id="rId104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igssgt.org/" TargetMode="External" Id="rId1"/><Relationship Type="http://schemas.openxmlformats.org/officeDocument/2006/relationships/hyperlink" Target="https://www.igssgt.org/" TargetMode="External" Id="rId2"/><Relationship Type="http://schemas.openxmlformats.org/officeDocument/2006/relationships/hyperlink" Target="https://inap.gob.gt/app/" TargetMode="External" Id="rId3"/><Relationship Type="http://schemas.openxmlformats.org/officeDocument/2006/relationships/hyperlink" Target="https://inap.gob.gt/app/" TargetMode="External" Id="rId4"/><Relationship Type="http://schemas.openxmlformats.org/officeDocument/2006/relationships/hyperlink" Target="https://www.intecap.edu.gt/centros/centroturismo/" TargetMode="External" Id="rId5"/><Relationship Type="http://schemas.openxmlformats.org/officeDocument/2006/relationships/hyperlink" Target="https://www.intecap.edu.gt/informacionpublica/pdf/DIRECCIONES%20INTECAP-unificado25.pdf" TargetMode="External" Id="rId6"/><Relationship Type="http://schemas.openxmlformats.org/officeDocument/2006/relationships/hyperlink" Target="https://www.intecap.edu.gt/centros/cti/" TargetMode="External" Id="rId7"/><Relationship Type="http://schemas.openxmlformats.org/officeDocument/2006/relationships/hyperlink" Target="https://www.intecap.edu.gt/centros/cti/" TargetMode="External" Id="rId8"/><Relationship Type="http://schemas.openxmlformats.org/officeDocument/2006/relationships/hyperlink" Target="https://www.intecap.edu.gt/centros/centroguatemala1/" TargetMode="External" Id="rId9"/><Relationship Type="http://schemas.openxmlformats.org/officeDocument/2006/relationships/hyperlink" Target="https://www.intecap.edu.gt/centros/centroguatemala1/" TargetMode="External" Id="rId10"/><Relationship Type="http://schemas.openxmlformats.org/officeDocument/2006/relationships/hyperlink" Target="https://www.intecap.edu.gt/centros/centroguatemala2/" TargetMode="External" Id="rId11"/><Relationship Type="http://schemas.openxmlformats.org/officeDocument/2006/relationships/hyperlink" Target="https://www.intecap.edu.gt/centros/centroguatemala2/" TargetMode="External" Id="rId12"/><Relationship Type="http://schemas.openxmlformats.org/officeDocument/2006/relationships/hyperlink" Target="https://www.intecap.edu.gt/centros/centroguatemala4/" TargetMode="External" Id="rId13"/><Relationship Type="http://schemas.openxmlformats.org/officeDocument/2006/relationships/hyperlink" Target="https://www.intecap.edu.gt/centros/centroguatemala4/" TargetMode="External" Id="rId14"/><Relationship Type="http://schemas.openxmlformats.org/officeDocument/2006/relationships/hyperlink" Target="https://www.intecap.edu.gt/centros/cetec/" TargetMode="External" Id="rId15"/><Relationship Type="http://schemas.openxmlformats.org/officeDocument/2006/relationships/hyperlink" Target="https://www.intecap.edu.gt/centros/cetec/" TargetMode="External" Id="rId16"/><Relationship Type="http://schemas.openxmlformats.org/officeDocument/2006/relationships/hyperlink" Target="https://www.intecap.edu.gt/centros/centrodebanca/" TargetMode="External" Id="rId17"/><Relationship Type="http://schemas.openxmlformats.org/officeDocument/2006/relationships/hyperlink" Target="https://www.intecap.edu.gt/centros/centrodebanca/" TargetMode="External" Id="rId18"/><Relationship Type="http://schemas.openxmlformats.org/officeDocument/2006/relationships/hyperlink" Target="https://www.intecap.edu.gt/centros/centrovillanueva/" TargetMode="External" Id="rId19"/><Relationship Type="http://schemas.openxmlformats.org/officeDocument/2006/relationships/hyperlink" Target="https://www.intecap.edu.gt/centros/centrovillanueva/" TargetMode="External" Id="rId20"/><Relationship Type="http://schemas.openxmlformats.org/officeDocument/2006/relationships/hyperlink" Target="https://www.intecap.edu.gt/centros/vnreformadores/" TargetMode="External" Id="rId21"/><Relationship Type="http://schemas.openxmlformats.org/officeDocument/2006/relationships/hyperlink" Target="https://www.intecap.edu.gt/centros/vnreformadores/" TargetMode="External" Id="rId22"/><Relationship Type="http://schemas.openxmlformats.org/officeDocument/2006/relationships/hyperlink" Target="https://www.intecap.edu.gt/centros/centrojutiapa/" TargetMode="External" Id="rId23"/><Relationship Type="http://schemas.openxmlformats.org/officeDocument/2006/relationships/hyperlink" Target="https://www.intecap.edu.gt/centros/centrojutiapa/" TargetMode="External" Id="rId24"/><Relationship Type="http://schemas.openxmlformats.org/officeDocument/2006/relationships/hyperlink" Target="https://www.intecap.edu.gt/centros/centrosantarosa/" TargetMode="External" Id="rId25"/><Relationship Type="http://schemas.openxmlformats.org/officeDocument/2006/relationships/hyperlink" Target="https://www.intecap.edu.gt/centros/centrosantarosa/" TargetMode="External" Id="rId26"/><Relationship Type="http://schemas.openxmlformats.org/officeDocument/2006/relationships/hyperlink" Target="https://www.intecap.edu.gt/centros/centrozona10/" TargetMode="External" Id="rId27"/><Relationship Type="http://schemas.openxmlformats.org/officeDocument/2006/relationships/hyperlink" Target="https://www.intecap.edu.gt/centros/centrozona10/" TargetMode="External" Id="rId28"/><Relationship Type="http://schemas.openxmlformats.org/officeDocument/2006/relationships/hyperlink" Target="https://www.intecap.edu.gt/centros/centrocoban/" TargetMode="External" Id="rId29"/><Relationship Type="http://schemas.openxmlformats.org/officeDocument/2006/relationships/hyperlink" Target="https://www.intecap.edu.gt/centros/centrocoban/" TargetMode="External" Id="rId30"/><Relationship Type="http://schemas.openxmlformats.org/officeDocument/2006/relationships/hyperlink" Target="https://www.intecap.edu.gt/centros/centrobajaverapaz/" TargetMode="External" Id="rId31"/><Relationship Type="http://schemas.openxmlformats.org/officeDocument/2006/relationships/hyperlink" Target="https://www.intecap.edu.gt/centros/centrobajaverapaz/" TargetMode="External" Id="rId32"/><Relationship Type="http://schemas.openxmlformats.org/officeDocument/2006/relationships/hyperlink" Target="https://www.intecap.edu.gt/centros/centropeten/" TargetMode="External" Id="rId33"/><Relationship Type="http://schemas.openxmlformats.org/officeDocument/2006/relationships/hyperlink" Target="https://www.intecap.edu.gt/centros/centropeten/" TargetMode="External" Id="rId34"/><Relationship Type="http://schemas.openxmlformats.org/officeDocument/2006/relationships/hyperlink" Target="https://www.intecap.edu.gt/centros/centroquetzaltenango/" TargetMode="External" Id="rId35"/><Relationship Type="http://schemas.openxmlformats.org/officeDocument/2006/relationships/hyperlink" Target="https://www.intecap.edu.gt/centros/centroquetzaltenango/" TargetMode="External" Id="rId36"/><Relationship Type="http://schemas.openxmlformats.org/officeDocument/2006/relationships/hyperlink" Target="https://www.intecap.edu.gt/centros/centrosolola/" TargetMode="External" Id="rId37"/><Relationship Type="http://schemas.openxmlformats.org/officeDocument/2006/relationships/hyperlink" Target="https://www.intecap.edu.gt/centros/centrosolola/" TargetMode="External" Id="rId38"/><Relationship Type="http://schemas.openxmlformats.org/officeDocument/2006/relationships/hyperlink" Target="https://www.intecap.edu.gt/centros/centrohuehuetenango/" TargetMode="External" Id="rId39"/><Relationship Type="http://schemas.openxmlformats.org/officeDocument/2006/relationships/hyperlink" Target="https://www.intecap.edu.gt/centros/centrohuehuetenango/" TargetMode="External" Id="rId40"/><Relationship Type="http://schemas.openxmlformats.org/officeDocument/2006/relationships/hyperlink" Target="https://www.intecap.edu.gt/centros/centrosanmarcos/" TargetMode="External" Id="rId41"/><Relationship Type="http://schemas.openxmlformats.org/officeDocument/2006/relationships/hyperlink" Target="https://www.intecap.edu.gt/centros/centrosanmarcos/" TargetMode="External" Id="rId42"/><Relationship Type="http://schemas.openxmlformats.org/officeDocument/2006/relationships/hyperlink" Target="https://www.intecap.edu.gt/centros/centroquiche/" TargetMode="External" Id="rId43"/><Relationship Type="http://schemas.openxmlformats.org/officeDocument/2006/relationships/hyperlink" Target="https://www.intecap.edu.gt/centros/centroquiche/" TargetMode="External" Id="rId44"/><Relationship Type="http://schemas.openxmlformats.org/officeDocument/2006/relationships/hyperlink" Target="https://www.intecap.edu.gt/centros/centrototonicapan/" TargetMode="External" Id="rId45"/><Relationship Type="http://schemas.openxmlformats.org/officeDocument/2006/relationships/hyperlink" Target="https://www.intecap.edu.gt/centros/centrototonicapan/" TargetMode="External" Id="rId46"/><Relationship Type="http://schemas.openxmlformats.org/officeDocument/2006/relationships/hyperlink" Target="https://www.intecap.edu.gt/centros/centrosantalucia/" TargetMode="External" Id="rId47"/><Relationship Type="http://schemas.openxmlformats.org/officeDocument/2006/relationships/hyperlink" Target="https://www.intecap.edu.gt/centros/centrosantalucia/" TargetMode="External" Id="rId48"/><Relationship Type="http://schemas.openxmlformats.org/officeDocument/2006/relationships/hyperlink" Target="https://www.intecap.edu.gt/centros/centroretalhuleu/" TargetMode="External" Id="rId49"/><Relationship Type="http://schemas.openxmlformats.org/officeDocument/2006/relationships/hyperlink" Target="https://www.intecap.edu.gt/centros/centroretalhuleu/" TargetMode="External" Id="rId50"/><Relationship Type="http://schemas.openxmlformats.org/officeDocument/2006/relationships/hyperlink" Target="https://www.intecap.edu.gt/centros/centroescuintla1/" TargetMode="External" Id="rId51"/><Relationship Type="http://schemas.openxmlformats.org/officeDocument/2006/relationships/hyperlink" Target="https://www.intecap.edu.gt/centros/centroescuintla1/" TargetMode="External" Id="rId52"/><Relationship Type="http://schemas.openxmlformats.org/officeDocument/2006/relationships/hyperlink" Target="https://www.intecap.edu.gt/centros/centroescuintla2/" TargetMode="External" Id="rId53"/><Relationship Type="http://schemas.openxmlformats.org/officeDocument/2006/relationships/hyperlink" Target="https://www.intecap.edu.gt/centros/centroescuintla2/" TargetMode="External" Id="rId54"/><Relationship Type="http://schemas.openxmlformats.org/officeDocument/2006/relationships/hyperlink" Target="https://www.intecap.edu.gt/centros/centrocoatepeque/" TargetMode="External" Id="rId55"/><Relationship Type="http://schemas.openxmlformats.org/officeDocument/2006/relationships/hyperlink" Target="https://www.intecap.edu.gt/centros/centrocoatepeque/" TargetMode="External" Id="rId56"/><Relationship Type="http://schemas.openxmlformats.org/officeDocument/2006/relationships/hyperlink" Target="https://www.intecap.edu.gt/centros/centrosuchitepequez/" TargetMode="External" Id="rId57"/><Relationship Type="http://schemas.openxmlformats.org/officeDocument/2006/relationships/hyperlink" Target="https://www.intecap.edu.gt/centros/centrosuchitepequez/" TargetMode="External" Id="rId58"/><Relationship Type="http://schemas.openxmlformats.org/officeDocument/2006/relationships/hyperlink" Target="https://www.intecap.edu.gt/centros/centrochiquimula/" TargetMode="External" Id="rId59"/><Relationship Type="http://schemas.openxmlformats.org/officeDocument/2006/relationships/hyperlink" Target="https://www.intecap.edu.gt/centros/centrochiquimula/" TargetMode="External" Id="rId60"/><Relationship Type="http://schemas.openxmlformats.org/officeDocument/2006/relationships/hyperlink" Target="https://www.intecap.edu.gt/centros/centrosantotomas/" TargetMode="External" Id="rId61"/><Relationship Type="http://schemas.openxmlformats.org/officeDocument/2006/relationships/hyperlink" Target="https://www.intecap.edu.gt/centros/centrosantotomas/" TargetMode="External" Id="rId62"/><Relationship Type="http://schemas.openxmlformats.org/officeDocument/2006/relationships/hyperlink" Target="https://www.intecap.edu.gt/centros/centrozacapa/" TargetMode="External" Id="rId63"/><Relationship Type="http://schemas.openxmlformats.org/officeDocument/2006/relationships/hyperlink" Target="https://www.intecap.edu.gt/centros/centrozacapa/" TargetMode="External" Id="rId64"/><Relationship Type="http://schemas.openxmlformats.org/officeDocument/2006/relationships/hyperlink" Target="https://www.intecap.edu.gt/centros/centrojalapa/" TargetMode="External" Id="rId65"/><Relationship Type="http://schemas.openxmlformats.org/officeDocument/2006/relationships/hyperlink" Target="https://www.intecap.edu.gt/centros/centrojalapa/" TargetMode="External" Id="rId66"/><Relationship Type="http://schemas.openxmlformats.org/officeDocument/2006/relationships/hyperlink" Target="https://www.techo.org/guatemala/" TargetMode="External" Id="rId67"/><Relationship Type="http://schemas.openxmlformats.org/officeDocument/2006/relationships/hyperlink" Target="https://guatemala.techo.org/contacto/" TargetMode="External" Id="rId68"/><Relationship Type="http://schemas.openxmlformats.org/officeDocument/2006/relationships/hyperlink" Target="https://scouts.org.gt/" TargetMode="External" Id="rId69"/><Relationship Type="http://schemas.openxmlformats.org/officeDocument/2006/relationships/hyperlink" Target="https://scouts.org.gt/contactanos/" TargetMode="External" Id="rId70"/><Relationship Type="http://schemas.openxmlformats.org/officeDocument/2006/relationships/hyperlink" Target="https://aiesec.org.gt/" TargetMode="External" Id="rId71"/><Relationship Type="http://schemas.openxmlformats.org/officeDocument/2006/relationships/hyperlink" Target="https://www.linkedin.com/company/aiesec-en-guatemala/about/" TargetMode="External" Id="rId72"/><Relationship Type="http://schemas.openxmlformats.org/officeDocument/2006/relationships/hyperlink" Target="https://cruzroja.org.gt/" TargetMode="External" Id="rId73"/><Relationship Type="http://schemas.openxmlformats.org/officeDocument/2006/relationships/hyperlink" Target="https://www.cruzroja.gt/comunicate/" TargetMode="External" Id="rId74"/><Relationship Type="http://schemas.openxmlformats.org/officeDocument/2006/relationships/hyperlink" Target="https://conjuve.gob.gt/registro-de-organizaciones-juveniles-nacionales/" TargetMode="External" Id="rId75"/><Relationship Type="http://schemas.openxmlformats.org/officeDocument/2006/relationships/hyperlink" Target="https://conjuve.gob.gt/contacto/" TargetMode="External" Id="rId76"/><Relationship Type="http://schemas.openxmlformats.org/officeDocument/2006/relationships/hyperlink" Target="https://www.facebook.com/RDJGT/" TargetMode="External" Id="rId77"/><Relationship Type="http://schemas.openxmlformats.org/officeDocument/2006/relationships/hyperlink" Target="http://ajegua.org/" TargetMode="External" Id="rId78"/><Relationship Type="http://schemas.openxmlformats.org/officeDocument/2006/relationships/hyperlink" Target="mailto:contacto@ajegua.org" TargetMode="External" Id="rId79"/><Relationship Type="http://schemas.openxmlformats.org/officeDocument/2006/relationships/hyperlink" Target="https://www.facebook.com/AJEGUA502/about" TargetMode="External" Id="rId80"/><Relationship Type="http://schemas.openxmlformats.org/officeDocument/2006/relationships/hyperlink" Target="https://www.yhriguatemala.org/" TargetMode="External" Id="rId81"/><Relationship Type="http://schemas.openxmlformats.org/officeDocument/2006/relationships/hyperlink" Target="https://www.facebook.com/yhriguatemala/" TargetMode="External" Id="rId82"/><Relationship Type="http://schemas.openxmlformats.org/officeDocument/2006/relationships/hyperlink" Target="https://www.facebook.com/ConfederacionDeUnidadSindicalDeGuatemalaCUSG/about" TargetMode="External" Id="rId83"/><Relationship Type="http://schemas.openxmlformats.org/officeDocument/2006/relationships/hyperlink" Target="https://portal.usac.edu.gt/" TargetMode="External" Id="rId84"/><Relationship Type="http://schemas.openxmlformats.org/officeDocument/2006/relationships/hyperlink" Target="https://portal.usac.edu.gt/" TargetMode="External" Id="rId85"/><Relationship Type="http://schemas.openxmlformats.org/officeDocument/2006/relationships/hyperlink" Target="https://cunoc.edu.gt/" TargetMode="External" Id="rId86"/><Relationship Type="http://schemas.openxmlformats.org/officeDocument/2006/relationships/hyperlink" Target="https://www.cunoc.edu.gt/" TargetMode="External" Id="rId87"/><Relationship Type="http://schemas.openxmlformats.org/officeDocument/2006/relationships/hyperlink" Target="https://cunori.edu.gt/" TargetMode="External" Id="rId88"/><Relationship Type="http://schemas.openxmlformats.org/officeDocument/2006/relationships/hyperlink" Target="https://cunori.edu.gt/" TargetMode="External" Id="rId89"/><Relationship Type="http://schemas.openxmlformats.org/officeDocument/2006/relationships/hyperlink" Target="https://cunor.usac.edu.gt/" TargetMode="External" Id="rId90"/><Relationship Type="http://schemas.openxmlformats.org/officeDocument/2006/relationships/hyperlink" Target="https://cunor.usac.edu.gt/contacto/" TargetMode="External" Id="rId91"/><Relationship Type="http://schemas.openxmlformats.org/officeDocument/2006/relationships/hyperlink" Target="https://cunsuroc.usac.edu.gt/" TargetMode="External" Id="rId92"/><Relationship Type="http://schemas.openxmlformats.org/officeDocument/2006/relationships/hyperlink" Target="https://ddo.usac.edu.gt/index.php/administracion-central/" TargetMode="External" Id="rId93"/><Relationship Type="http://schemas.openxmlformats.org/officeDocument/2006/relationships/hyperlink" Target="https://cunsur.usac.edu.gt/" TargetMode="External" Id="rId94"/><Relationship Type="http://schemas.openxmlformats.org/officeDocument/2006/relationships/hyperlink" Target="https://ddo.usac.edu.gt/wp-content/uploads/2024/03/M-N-Y-P-Coordinacion-Academica-CUNSUR-2009.pdf" TargetMode="External" Id="rId95"/><Relationship Type="http://schemas.openxmlformats.org/officeDocument/2006/relationships/hyperlink" Target="https://cusam.usac.edu.gt/" TargetMode="External" Id="rId96"/><Relationship Type="http://schemas.openxmlformats.org/officeDocument/2006/relationships/hyperlink" Target="https://cusam.usac.edu.gt/" TargetMode="External" Id="rId97"/><Relationship Type="http://schemas.openxmlformats.org/officeDocument/2006/relationships/hyperlink" Target="https://cunoroc.usac.edu.gt/" TargetMode="External" Id="rId98"/><Relationship Type="http://schemas.openxmlformats.org/officeDocument/2006/relationships/hyperlink" Target="https://www.cunoroc.edu.gt/" TargetMode="External" Id="rId99"/><Relationship Type="http://schemas.openxmlformats.org/officeDocument/2006/relationships/hyperlink" Target="https://cudep.usac.edu.gt/" TargetMode="External" Id="rId100"/><Relationship Type="http://schemas.openxmlformats.org/officeDocument/2006/relationships/hyperlink" Target="https://centrouniversitariodepeten.com/" TargetMode="External" Id="rId101"/><Relationship Type="http://schemas.openxmlformats.org/officeDocument/2006/relationships/hyperlink" Target="https://cunizab.usac.edu.gt/" TargetMode="External" Id="rId102"/><Relationship Type="http://schemas.openxmlformats.org/officeDocument/2006/relationships/hyperlink" Target="https://ddo.usac.edu.gt/wp-content/uploads/2024/03/M-O-CUNIZAB-2006.pdf" TargetMode="External" Id="rId103"/><Relationship Type="http://schemas.openxmlformats.org/officeDocument/2006/relationships/hyperlink" Target="https://cunsurori.usac.edu.gt/" TargetMode="External" Id="rId104"/><Relationship Type="http://schemas.openxmlformats.org/officeDocument/2006/relationships/hyperlink" Target="https://ddo.usac.edu.gt/wp-content/uploads/2024/03/M-O-CUNSURORI-2006.pdf" TargetMode="External" Id="rId105"/><Relationship Type="http://schemas.openxmlformats.org/officeDocument/2006/relationships/hyperlink" Target="https://cunba.usac.edu.gt/" TargetMode="External" Id="rId106"/><Relationship Type="http://schemas.openxmlformats.org/officeDocument/2006/relationships/hyperlink" Target="https://cunbav.usac.edu.gt/" TargetMode="External" Id="rId107"/><Relationship Type="http://schemas.openxmlformats.org/officeDocument/2006/relationships/hyperlink" Target="https://cunsol.usac.edu.gt/" TargetMode="External" Id="rId108"/><Relationship Type="http://schemas.openxmlformats.org/officeDocument/2006/relationships/hyperlink" Target="https://www.cunsol.edu.gt/?page_id=401" TargetMode="External" Id="rId109"/><Relationship Type="http://schemas.openxmlformats.org/officeDocument/2006/relationships/hyperlink" Target="https://cundech.usac.edu.gt/" TargetMode="External" Id="rId110"/><Relationship Type="http://schemas.openxmlformats.org/officeDocument/2006/relationships/hyperlink" Target="https://cundech.usac.edu.gt/?page_id=273" TargetMode="External" Id="rId111"/><Relationship Type="http://schemas.openxmlformats.org/officeDocument/2006/relationships/hyperlink" Target="https://cunpropro.usac.edu.gt/" TargetMode="External" Id="rId112"/><Relationship Type="http://schemas.openxmlformats.org/officeDocument/2006/relationships/hyperlink" Target="https://ddo.usac.edu.gt/wp-content/uploads/2024/03/M-O-CUNPROGRESO-2013.pdf" TargetMode="External" Id="rId113"/><Relationship Type="http://schemas.openxmlformats.org/officeDocument/2006/relationships/hyperlink" Target="https://cuntot.usac.edu.gt/" TargetMode="External" Id="rId114"/><Relationship Type="http://schemas.openxmlformats.org/officeDocument/2006/relationships/hyperlink" Target="https://cuntoto.usac.edu.gt/" TargetMode="External" Id="rId115"/><Relationship Type="http://schemas.openxmlformats.org/officeDocument/2006/relationships/hyperlink" Target="https://cunsac.usac.edu.gt/" TargetMode="External" Id="rId116"/><Relationship Type="http://schemas.openxmlformats.org/officeDocument/2006/relationships/hyperlink" Target="https://cunsac.usac.edu.gt/contactenos/" TargetMode="External" Id="rId117"/><Relationship Type="http://schemas.openxmlformats.org/officeDocument/2006/relationships/hyperlink" Target="https://ddo.usac.edu.gt/index.php/centros-universitarios/centro-universitario-de-jutiapa-jusac/" TargetMode="External" Id="rId118"/><Relationship Type="http://schemas.openxmlformats.org/officeDocument/2006/relationships/hyperlink" Target="https://ddo.usac.edu.gt/wp-content/uploads/2024/03/M-O-JUSAC-2016.pdf" TargetMode="External" Id="rId119"/><Relationship Type="http://schemas.openxmlformats.org/officeDocument/2006/relationships/hyperlink" Target="https://cunzac.usac.edu.gt/" TargetMode="External" Id="rId120"/><Relationship Type="http://schemas.openxmlformats.org/officeDocument/2006/relationships/hyperlink" Target="https://cunzac.usac.edu.gt/index.php/ubicacion-3/" TargetMode="External" Id="rId121"/><Relationship Type="http://schemas.openxmlformats.org/officeDocument/2006/relationships/hyperlink" Target="https://cunsudi.usac.edu.gt/" TargetMode="External" Id="rId122"/><Relationship Type="http://schemas.openxmlformats.org/officeDocument/2006/relationships/hyperlink" Target="https://ddo.usac.edu.gt/wp-content/uploads/2024/03/Manual-de-Organizacion-del-CUNSARO.pdf" TargetMode="External" Id="rId123"/><Relationship Type="http://schemas.openxmlformats.org/officeDocument/2006/relationships/hyperlink" Target="https://cunquiche.usac.edu.gt/" TargetMode="External" Id="rId124"/><Relationship Type="http://schemas.openxmlformats.org/officeDocument/2006/relationships/hyperlink" Target="https://ddo.usac.edu.gt/wp-content/uploads/2024/03/M-O-CUSACQ-2015.pdf" TargetMode="External" Id="rId125"/><Relationship Type="http://schemas.openxmlformats.org/officeDocument/2006/relationships/hyperlink" Target="https://cunretal.usac.edu.gt/" TargetMode="External" Id="rId126"/><Relationship Type="http://schemas.openxmlformats.org/officeDocument/2006/relationships/hyperlink" Target="https://cunreu.usac.edu.gt/" TargetMode="External" Id="rId127"/><Relationship Type="http://schemas.openxmlformats.org/officeDocument/2006/relationships/table" Target="/xl/tables/table13.xml" Id="rId128"/></Relationships>
</file>

<file path=xl/worksheets/_rels/sheet15.xml.rels><Relationships xmlns="http://schemas.openxmlformats.org/package/2006/relationships"><Relationship Type="http://schemas.openxmlformats.org/officeDocument/2006/relationships/hyperlink" Target="https://udelar.edu.uy/" TargetMode="External" Id="rId1"/><Relationship Type="http://schemas.openxmlformats.org/officeDocument/2006/relationships/hyperlink" Target="https://udelar.edu.uy/directorio/lugares/rectorado/" TargetMode="External" Id="rId2"/><Relationship Type="http://schemas.openxmlformats.org/officeDocument/2006/relationships/hyperlink" Target="https://utec.edu.uy/" TargetMode="External" Id="rId3"/><Relationship Type="http://schemas.openxmlformats.org/officeDocument/2006/relationships/hyperlink" Target="https://utec.edu.uy/es/sobre-utec/autoridades/" TargetMode="External" Id="rId4"/><Relationship Type="http://schemas.openxmlformats.org/officeDocument/2006/relationships/table" Target="/xl/tables/table14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20" customWidth="1" style="182" min="1" max="1"/>
    <col width="15" customWidth="1" style="182" min="2" max="2"/>
    <col width="26" customWidth="1" style="182" min="3" max="8"/>
    <col width="8.710000000000001" customWidth="1" style="182" min="9" max="26"/>
  </cols>
  <sheetData>
    <row r="1" ht="51.75" customHeight="1" s="182">
      <c r="A1" s="1" t="inlineStr">
        <is>
          <t>País</t>
        </is>
      </c>
      <c r="B1" s="1" t="inlineStr">
        <is>
          <t>Región</t>
        </is>
      </c>
      <c r="C1" s="1" t="inlineStr">
        <is>
          <t>Universidades públicas</t>
        </is>
      </c>
      <c r="D1" s="1" t="inlineStr">
        <is>
          <t>Formación técnica pública</t>
        </is>
      </c>
      <c r="E1" s="1" t="inlineStr">
        <is>
          <t>Organizaciones juveniles</t>
        </is>
      </c>
      <c r="F1" s="1" t="inlineStr">
        <is>
          <t>Asociaciones de seguridad social</t>
        </is>
      </c>
      <c r="G1" s="1" t="inlineStr">
        <is>
          <t>Escuelas de gobierno y administración pública</t>
        </is>
      </c>
      <c r="H1" s="1" t="inlineStr">
        <is>
          <t>Sindicatos y confederaciones de trabajadores</t>
        </is>
      </c>
    </row>
    <row r="2" ht="48" customHeight="1" s="182">
      <c r="A2" s="2" t="inlineStr">
        <is>
          <t>Antigua y Barbuda</t>
        </is>
      </c>
      <c r="B2" s="73" t="inlineStr">
        <is>
          <t>Caribe anglófono</t>
        </is>
      </c>
      <c r="C2" s="4" t="inlineStr">
        <is>
          <t>Antigua and Barbuda National Accreditation Board (ABNAB)</t>
        </is>
      </c>
      <c r="D2" s="4" t="inlineStr">
        <is>
          <t>Antigua and Barbuda National Accreditation Board (ABNAB)</t>
        </is>
      </c>
      <c r="E2" s="5" t="inlineStr">
        <is>
          <t>Department of Youth Affairs; National Youth Council of Antigua and Barbuda (NYCAB)</t>
        </is>
      </c>
      <c r="F2" s="6" t="inlineStr">
        <is>
          <t>Antigua and Barbuda Social Security Board (ABSSB)</t>
        </is>
      </c>
      <c r="G2" s="7" t="inlineStr">
        <is>
          <t>No existe formalmente</t>
        </is>
      </c>
      <c r="H2" s="5" t="inlineStr">
        <is>
          <t>Antigua Trades and Labour Union (ATLU)</t>
        </is>
      </c>
    </row>
    <row r="3" ht="48" customHeight="1" s="182">
      <c r="A3" s="2" t="inlineStr">
        <is>
          <t>Argentina</t>
        </is>
      </c>
      <c r="B3" s="73" t="inlineStr">
        <is>
          <t>Cono Sur</t>
        </is>
      </c>
      <c r="C3" s="4" t="inlineStr">
        <is>
          <t>Secretaría de Educación / Mapa Educativo Nacional (Políticas Universitarias, SPU)</t>
        </is>
      </c>
      <c r="D3" s="4" t="inlineStr">
        <is>
          <t>INET – Registro Federal de Instituciones de ETP (RFIETP)</t>
        </is>
      </c>
      <c r="E3" s="5" t="inlineStr">
        <is>
          <t>Instituto Nacional de Juventudes (INJUVE) — Registro Nacional de Organizaciones Juveniles (RENOJ)</t>
        </is>
      </c>
      <c r="F3" s="4" t="inlineStr">
        <is>
          <t>Administración Nacional de la Seguridad Social (ANSES)</t>
        </is>
      </c>
      <c r="G3" s="4" t="inlineStr">
        <is>
          <t>Instituto Nacional de la Administración Pública (INAP)</t>
        </is>
      </c>
      <c r="H3" s="6" t="inlineStr">
        <is>
          <t>CGT (Confederación General del Trabajo)</t>
        </is>
      </c>
    </row>
    <row r="4" ht="48" customHeight="1" s="182">
      <c r="A4" s="2" t="inlineStr">
        <is>
          <t>Bahamas</t>
        </is>
      </c>
      <c r="B4" s="73" t="inlineStr">
        <is>
          <t>Caribe anglófono</t>
        </is>
      </c>
      <c r="C4" s="4" t="inlineStr">
        <is>
          <t>NAECOB</t>
        </is>
      </c>
      <c r="D4" s="4" t="inlineStr">
        <is>
          <t>National Accreditation and Equivalency Council of The Bahamas (NAECOB)</t>
        </is>
      </c>
      <c r="E4" s="6" t="inlineStr">
        <is>
          <t>Ministry of Youth, Sports and Culture — Division of Youth</t>
        </is>
      </c>
      <c r="F4" s="4" t="inlineStr">
        <is>
          <t>National Insurance Board of The Bahamas (NIB)</t>
        </is>
      </c>
      <c r="G4" s="7" t="inlineStr">
        <is>
          <t>No existe formalmente</t>
        </is>
      </c>
      <c r="H4" s="5" t="inlineStr">
        <is>
          <t>National Congress of Trade Unions Bahamas (NCTUB)</t>
        </is>
      </c>
    </row>
    <row r="5" ht="48" customHeight="1" s="182">
      <c r="A5" s="2" t="inlineStr">
        <is>
          <t>Barbados</t>
        </is>
      </c>
      <c r="B5" s="73" t="inlineStr">
        <is>
          <t>Caribe anglófono</t>
        </is>
      </c>
      <c r="C5" s="4" t="inlineStr">
        <is>
          <t>Barbados Accreditation Council (BAC)</t>
        </is>
      </c>
      <c r="D5" s="4" t="inlineStr">
        <is>
          <t>TVET Council Barbados</t>
        </is>
      </c>
      <c r="E5" s="5" t="inlineStr">
        <is>
          <t>Division of Youth &amp; Culture, Prime Minister's Office</t>
        </is>
      </c>
      <c r="F5" s="4" t="inlineStr">
        <is>
          <t>National Insurance and Social Security Service (NIS)</t>
        </is>
      </c>
      <c r="G5" s="4" t="inlineStr">
        <is>
          <t>BIMAP (Barbados Institute of Management and Productivity)</t>
        </is>
      </c>
      <c r="H5" s="6" t="inlineStr">
        <is>
          <t>BWU (Barbados Workers' Union)</t>
        </is>
      </c>
    </row>
    <row r="6" ht="48" customHeight="1" s="182">
      <c r="A6" s="2" t="inlineStr">
        <is>
          <t>Belice</t>
        </is>
      </c>
      <c r="B6" s="73" t="inlineStr">
        <is>
          <t>México / Centroamérica</t>
        </is>
      </c>
      <c r="C6" s="5" t="inlineStr">
        <is>
          <t>Ministry of Education, Culture, Science and Technology</t>
        </is>
      </c>
      <c r="D6" s="5" t="inlineStr">
        <is>
          <t>Ministry of Education, Culture, Science and Technology (ETES/ITVETs)</t>
        </is>
      </c>
      <c r="E6" s="5" t="inlineStr">
        <is>
          <t>Department of Youth Services</t>
        </is>
      </c>
      <c r="F6" s="4" t="inlineStr">
        <is>
          <t>Social Security Board (SSB), Belize</t>
        </is>
      </c>
      <c r="G6" s="7" t="inlineStr">
        <is>
          <t>No existe formalmente</t>
        </is>
      </c>
      <c r="H6" s="4" t="inlineStr">
        <is>
          <t>National Trade Union Congress of Belize (NTUCB)</t>
        </is>
      </c>
    </row>
    <row r="7" ht="48" customHeight="1" s="182">
      <c r="A7" s="2" t="inlineStr">
        <is>
          <t>Bolivia</t>
        </is>
      </c>
      <c r="B7" s="73" t="inlineStr">
        <is>
          <t>Región andina</t>
        </is>
      </c>
      <c r="C7" s="6" t="inlineStr">
        <is>
          <t>CEUB (Comité Ejecutivo de la Universidad Boliviana)</t>
        </is>
      </c>
      <c r="D7" s="4" t="inlineStr">
        <is>
          <t>Ministerio de Educación – Viceministerio de Educación Superior de Formación Profesional</t>
        </is>
      </c>
      <c r="E7" s="5" t="inlineStr">
        <is>
          <t>Viceministerio de Igualdad de Oportunidades — Dirección Plurinacional de la Juventud (Sistema Plurinacional de Registro de Organizaciones y Agrupaciones Juveniles)</t>
        </is>
      </c>
      <c r="F7" s="4" t="inlineStr">
        <is>
          <t>Gestora Pública de la Seguridad Social de Largo Plazo</t>
        </is>
      </c>
      <c r="G7" s="4" t="inlineStr">
        <is>
          <t>Escuela de Gestión Pública Plurinacional (EGPP)</t>
        </is>
      </c>
      <c r="H7" s="6" t="inlineStr">
        <is>
          <t>COB (Central Obrera Boliviana)</t>
        </is>
      </c>
    </row>
    <row r="8" ht="48" customHeight="1" s="182">
      <c r="A8" s="2" t="inlineStr">
        <is>
          <t>Brasil</t>
        </is>
      </c>
      <c r="B8" s="73" t="inlineStr">
        <is>
          <t>Cono Sur</t>
        </is>
      </c>
      <c r="C8" s="4" t="inlineStr">
        <is>
          <t>e-MEC (Ministério da Educação) — Consulta Avançada + dataset abierto</t>
        </is>
      </c>
      <c r="D8" s="6" t="inlineStr">
        <is>
          <t>SENAI (Sistema S / Portal da Indústria)</t>
        </is>
      </c>
      <c r="E8" s="4" t="inlineStr">
        <is>
          <t>Secretaria Nacional de Juventude — Cadastro Nacional das Unidades de Juventude (Sinajuve)</t>
        </is>
      </c>
      <c r="F8" s="4" t="inlineStr">
        <is>
          <t>Instituto Nacional do Seguro Social (INSS)</t>
        </is>
      </c>
      <c r="G8" s="4" t="inlineStr">
        <is>
          <t>Escola Nacional de Administração Pública (ENAP)</t>
        </is>
      </c>
      <c r="H8" s="4" t="inlineStr">
        <is>
          <t>Central Única dos Trabalhadores (CUT)</t>
        </is>
      </c>
    </row>
    <row r="9" ht="48" customHeight="1" s="182">
      <c r="A9" s="2" t="inlineStr">
        <is>
          <t>Chile</t>
        </is>
      </c>
      <c r="B9" s="73" t="inlineStr">
        <is>
          <t>Cono Sur</t>
        </is>
      </c>
      <c r="C9" s="4" t="inlineStr">
        <is>
          <t>Ministerio de Educación — Subsecretaría de Educación Superior</t>
        </is>
      </c>
      <c r="D9" s="4" t="inlineStr">
        <is>
          <t>SENCE – Registro OTEC</t>
        </is>
      </c>
      <c r="E9" s="6" t="inlineStr">
        <is>
          <t>INJUV — Registro de Organización (extranet) no tiene registro</t>
        </is>
      </c>
      <c r="F9" s="4" t="inlineStr">
        <is>
          <t>Instituto de Previsión Social (IPS)</t>
        </is>
      </c>
      <c r="G9" s="4" t="inlineStr">
        <is>
          <t>Servicio Civil — Campus / plataforma 'Aprende SC'</t>
        </is>
      </c>
      <c r="H9" s="6" t="inlineStr">
        <is>
          <t>CUT Chile - no hay registros</t>
        </is>
      </c>
    </row>
    <row r="10" ht="48" customHeight="1" s="182">
      <c r="A10" s="2" t="inlineStr">
        <is>
          <t>Colombia</t>
        </is>
      </c>
      <c r="B10" s="73" t="inlineStr">
        <is>
          <t>Región andina</t>
        </is>
      </c>
      <c r="C10" s="4" t="inlineStr">
        <is>
          <t>Ministerio de Educación Nacional — SNIES</t>
        </is>
      </c>
      <c r="D10" s="4" t="inlineStr">
        <is>
          <t>SENA</t>
        </is>
      </c>
      <c r="E10" s="6" t="inlineStr">
        <is>
          <t>Personería de Bogotá — Registro Público de Plataforma de Juventudes</t>
        </is>
      </c>
      <c r="F10" s="4" t="inlineStr">
        <is>
          <t>Administradora Colombiana de Pensiones (Colpensiones)</t>
        </is>
      </c>
      <c r="G10" s="4" t="inlineStr">
        <is>
          <t>Escuela Superior de Administración Pública (ESAP)</t>
        </is>
      </c>
      <c r="H10" s="4" t="inlineStr">
        <is>
          <t>CUT Colombia (Central Unitaria de Trabajadores)</t>
        </is>
      </c>
    </row>
    <row r="11" ht="48" customHeight="1" s="182">
      <c r="A11" s="2" t="inlineStr">
        <is>
          <t>Costa Rica</t>
        </is>
      </c>
      <c r="B11" s="73" t="inlineStr">
        <is>
          <t>México / Centroamérica</t>
        </is>
      </c>
      <c r="C11" s="5" t="inlineStr">
        <is>
          <t>CONARE (Consejo Nacional de Rectores)</t>
        </is>
      </c>
      <c r="D11" s="4" t="inlineStr">
        <is>
          <t>INA (Instituto Nacional de Aprendizaje)</t>
        </is>
      </c>
      <c r="E11" s="4" t="inlineStr">
        <is>
          <t>Consejo de la Persona Joven (CPJ) — Red Nacional Consultiva de la Persona Joven</t>
        </is>
      </c>
      <c r="F11" s="4" t="inlineStr">
        <is>
          <t>Caja Costarricense de Seguro Social (CCSS)</t>
        </is>
      </c>
      <c r="G11" s="7" t="inlineStr">
        <is>
          <t>No existe formalmente a nivel estatal nacional (cuasi-equivalente: CICAP-UCR)</t>
        </is>
      </c>
      <c r="H11" s="6" t="inlineStr">
        <is>
          <t>MTSS — Registro de Sindicatos (alternativa al no haber central única)</t>
        </is>
      </c>
    </row>
    <row r="12" ht="48" customHeight="1" s="182">
      <c r="A12" s="2" t="inlineStr">
        <is>
          <t>Cuba</t>
        </is>
      </c>
      <c r="B12" s="73" t="inlineStr">
        <is>
          <t>Caribe latino</t>
        </is>
      </c>
      <c r="C12" s="4" t="inlineStr">
        <is>
          <t>MES – Ministerio de Educación Superior</t>
        </is>
      </c>
      <c r="D12" s="5" t="inlineStr">
        <is>
          <t>MINED – Educación Técnica y Profesional</t>
        </is>
      </c>
      <c r="E12" s="5" t="inlineStr">
        <is>
          <t>Unión de Jóvenes Comunistas (UJC)</t>
        </is>
      </c>
      <c r="F12" s="5" t="inlineStr">
        <is>
          <t>Instituto Nacional de Seguridad Social (INASS), bajo Ministerio de Trabajo y Seguridad Social</t>
        </is>
      </c>
      <c r="G12" s="7" t="inlineStr">
        <is>
          <t>No existe equivalente civil (Escuela Superior del PCC 'Ñico López')</t>
        </is>
      </c>
      <c r="H12" s="5" t="inlineStr">
        <is>
          <t>Central de Trabajadores de Cuba (CTC)</t>
        </is>
      </c>
    </row>
    <row r="13" ht="48" customHeight="1" s="182">
      <c r="A13" s="2" t="inlineStr">
        <is>
          <t>Dominica</t>
        </is>
      </c>
      <c r="B13" s="73" t="inlineStr">
        <is>
          <t>Caribe anglófono</t>
        </is>
      </c>
      <c r="C13" s="4" t="inlineStr">
        <is>
          <t>National Accreditation Board (NAB)</t>
        </is>
      </c>
      <c r="D13" s="5" t="inlineStr">
        <is>
          <t>Ministry of Education / Dominica TVET Council</t>
        </is>
      </c>
      <c r="E13" s="5" t="inlineStr">
        <is>
          <t>National Youth Council of Dominica (Youth Development Division)</t>
        </is>
      </c>
      <c r="F13" s="4" t="inlineStr">
        <is>
          <t>Dominica Social Security (DSS)</t>
        </is>
      </c>
      <c r="G13" s="7" t="inlineStr">
        <is>
          <t>No existe formalmente</t>
        </is>
      </c>
      <c r="H13" s="5" t="inlineStr">
        <is>
          <t>Dominica Trade Union (DTU)</t>
        </is>
      </c>
    </row>
    <row r="14" ht="48" customHeight="1" s="182">
      <c r="A14" s="2" t="inlineStr">
        <is>
          <t>República Dominicana</t>
        </is>
      </c>
      <c r="B14" s="73" t="inlineStr">
        <is>
          <t>Caribe latino</t>
        </is>
      </c>
      <c r="C14" s="6" t="inlineStr">
        <is>
          <t>MESCYT — portal de consulta</t>
        </is>
      </c>
      <c r="D14" s="4" t="inlineStr">
        <is>
          <t>INFOTEP</t>
        </is>
      </c>
      <c r="E14" s="5" t="inlineStr">
        <is>
          <t>Ministerio de la Juventud</t>
        </is>
      </c>
      <c r="F14" s="4" t="inlineStr">
        <is>
          <t>Tesorería de la Seguridad Social (TSS)</t>
        </is>
      </c>
      <c r="G14" s="4" t="inlineStr">
        <is>
          <t>Instituto Nacional de Administración Pública (INAP)</t>
        </is>
      </c>
      <c r="H14" s="6" t="inlineStr">
        <is>
          <t>Fragmentado: CASC, CNTD y CNUS</t>
        </is>
      </c>
    </row>
    <row r="15" ht="48" customHeight="1" s="182">
      <c r="A15" s="2" t="inlineStr">
        <is>
          <t>Ecuador</t>
        </is>
      </c>
      <c r="B15" s="73" t="inlineStr">
        <is>
          <t>Región andina</t>
        </is>
      </c>
      <c r="C15" s="4" t="inlineStr">
        <is>
          <t>CES (Consejo de Educación Superior)</t>
        </is>
      </c>
      <c r="D15" s="6" t="inlineStr">
        <is>
          <t>SECAP</t>
        </is>
      </c>
      <c r="E15" s="6" t="inlineStr">
        <is>
          <t>Consejo Nacional para la Igualdad Intergeneracional (CNII)</t>
        </is>
      </c>
      <c r="F15" s="4" t="inlineStr">
        <is>
          <t>Instituto Ecuatoriano de Seguridad Social (IESS)</t>
        </is>
      </c>
      <c r="G15" s="4" t="inlineStr">
        <is>
          <t>Instituto de Altos Estudios Nacionales (IAEN)</t>
        </is>
      </c>
      <c r="H15" s="4" t="inlineStr">
        <is>
          <t>Fragmentado: CEOSL, CTE y CEDOCUT</t>
        </is>
      </c>
    </row>
    <row r="16" ht="48" customHeight="1" s="182">
      <c r="A16" s="2" t="inlineStr">
        <is>
          <t>El Salvador</t>
        </is>
      </c>
      <c r="B16" s="73" t="inlineStr">
        <is>
          <t>México / Centroamérica</t>
        </is>
      </c>
      <c r="C16" s="6" t="inlineStr">
        <is>
          <t>MINEDUCYT</t>
        </is>
      </c>
      <c r="D16" s="6" t="inlineStr">
        <is>
          <t>INSAFORP</t>
        </is>
      </c>
      <c r="E16" s="6" t="inlineStr">
        <is>
          <t>INJUVE / Observatorio Juventudes Rurales SICA</t>
        </is>
      </c>
      <c r="F16" s="4" t="inlineStr">
        <is>
          <t>Instituto Salvadoreño del Seguro Social (ISSS)</t>
        </is>
      </c>
      <c r="G16" s="4" t="inlineStr">
        <is>
          <t>Escuela Superior de Innovación en la Administración Pública (ESIAP)</t>
        </is>
      </c>
      <c r="H16" s="5" t="inlineStr">
        <is>
          <t>Central Autónoma de Trabajadores Salvadoreños (CATS)</t>
        </is>
      </c>
    </row>
    <row r="17" ht="48" customHeight="1" s="182">
      <c r="A17" s="2" t="inlineStr">
        <is>
          <t>Granada</t>
        </is>
      </c>
      <c r="B17" s="73" t="inlineStr">
        <is>
          <t>Caribe anglófono</t>
        </is>
      </c>
      <c r="C17" s="4" t="inlineStr">
        <is>
          <t>Grenada National Accreditation Board (GNAB)</t>
        </is>
      </c>
      <c r="D17" s="5" t="inlineStr">
        <is>
          <t>Grenada National Training Agency / GCTVET</t>
        </is>
      </c>
      <c r="E17" s="5" t="inlineStr">
        <is>
          <t>Ministry of Sports and Youth Affairs; National Youth Organisation (NYO, no gubernamental)</t>
        </is>
      </c>
      <c r="F17" s="4" t="inlineStr">
        <is>
          <t>Grenada National Insurance Scheme (NIS)</t>
        </is>
      </c>
      <c r="G17" s="7" t="inlineStr">
        <is>
          <t>No existe formalmente</t>
        </is>
      </c>
      <c r="H17" s="5" t="inlineStr">
        <is>
          <t>Grenada Trades Union Council (GTUC)</t>
        </is>
      </c>
    </row>
    <row r="18" ht="48" customHeight="1" s="182">
      <c r="A18" s="2" t="inlineStr">
        <is>
          <t>Guatemala</t>
        </is>
      </c>
      <c r="B18" s="73" t="inlineStr">
        <is>
          <t>México / Centroamérica</t>
        </is>
      </c>
      <c r="C18" s="4" t="inlineStr">
        <is>
          <t>USAC (Universidad de San Carlos de Guatemala)</t>
        </is>
      </c>
      <c r="D18" s="4" t="inlineStr">
        <is>
          <t>INTECAP</t>
        </is>
      </c>
      <c r="E18" s="4" t="inlineStr">
        <is>
          <t>CONJUVE — Registro de Organizaciones Juveniles Nacionales</t>
        </is>
      </c>
      <c r="F18" s="4" t="inlineStr">
        <is>
          <t>Instituto Guatemalteco de Seguridad Social (IGSS)</t>
        </is>
      </c>
      <c r="G18" s="4" t="inlineStr">
        <is>
          <t>Instituto Nacional de Administración Pública (INAP)</t>
        </is>
      </c>
      <c r="H18" s="6" t="inlineStr">
        <is>
          <t>CUSG (Confederación de Unidad Sindical de Guatemala)</t>
        </is>
      </c>
    </row>
    <row r="19" ht="48" customHeight="1" s="182">
      <c r="A19" s="2" t="inlineStr">
        <is>
          <t>Guyana</t>
        </is>
      </c>
      <c r="B19" s="73" t="inlineStr">
        <is>
          <t>Caribe anglófono</t>
        </is>
      </c>
      <c r="C19" s="5" t="inlineStr">
        <is>
          <t>Ministry of Education / consejo de acreditación (NAB/NAC)</t>
        </is>
      </c>
      <c r="D19" s="4" t="inlineStr">
        <is>
          <t>Board of Industrial Training (vía Ministry of Education)</t>
        </is>
      </c>
      <c r="E19" s="5" t="inlineStr">
        <is>
          <t>Guyana National Youth Council (GNYC, red no gubernamental)</t>
        </is>
      </c>
      <c r="F19" s="4" t="inlineStr">
        <is>
          <t>National Insurance Scheme (NIS) Guyana</t>
        </is>
      </c>
      <c r="G19" s="4" t="inlineStr">
        <is>
          <t>Ministerio de Servicio Público (Ministry of Public Service) — División de Capacitación</t>
        </is>
      </c>
      <c r="H19" s="5" t="inlineStr">
        <is>
          <t>Guyana Trades Union Congress (GTUC/TUC)</t>
        </is>
      </c>
    </row>
    <row r="20" ht="48" customHeight="1" s="182">
      <c r="A20" s="2" t="inlineStr">
        <is>
          <t>Haití</t>
        </is>
      </c>
      <c r="B20" s="73" t="inlineStr">
        <is>
          <t>Caribe (francófono/criollo)</t>
        </is>
      </c>
      <c r="C20" s="6" t="inlineStr">
        <is>
          <t>MENFP/MESRS (DESRS)</t>
        </is>
      </c>
      <c r="D20" s="4" t="inlineStr">
        <is>
          <t>Institut National de Formation Professionnelle (INFP)</t>
        </is>
      </c>
      <c r="E20" s="5" t="inlineStr">
        <is>
          <t>Ministère de la Jeunesse, des Sports et de l'Action Civique (MJSAC)</t>
        </is>
      </c>
      <c r="F20" s="4" t="inlineStr">
        <is>
          <t>Office National d'Assurance-Vieillesse (ONA)</t>
        </is>
      </c>
      <c r="G20" s="7" t="inlineStr">
        <is>
          <t>No existe formalmente / no confirmado</t>
        </is>
      </c>
      <c r="H20" s="7" t="inlineStr">
        <is>
          <t>Sin central dominante identificada de forma confiable (CATH, CTSP, CSH, entre otras)</t>
        </is>
      </c>
    </row>
    <row r="21" ht="48" customHeight="1" s="182">
      <c r="A21" s="2" t="inlineStr">
        <is>
          <t>Honduras</t>
        </is>
      </c>
      <c r="B21" s="73" t="inlineStr">
        <is>
          <t>México / Centroamérica</t>
        </is>
      </c>
      <c r="C21" s="4" t="inlineStr">
        <is>
          <t>DES-UNAH (Dirección de Educación Superior)</t>
        </is>
      </c>
      <c r="D21" s="5" t="inlineStr">
        <is>
          <t>INFOP</t>
        </is>
      </c>
      <c r="E21" s="6" t="inlineStr">
        <is>
          <t>INJUVE — vía CENISS (Registro de Oferta Institucional)</t>
        </is>
      </c>
      <c r="F21" s="4" t="inlineStr">
        <is>
          <t>Instituto Hondureño de Seguridad Social (IHSS)</t>
        </is>
      </c>
      <c r="G21" s="6" t="inlineStr">
        <is>
          <t>Escuela de Alta Gerencia Pública (EAGP)</t>
        </is>
      </c>
      <c r="H21" s="5" t="inlineStr">
        <is>
          <t>Fragmentado: CTH, CGT y CUTH (tres centrales de peso comparable)</t>
        </is>
      </c>
    </row>
    <row r="22" ht="48" customHeight="1" s="182">
      <c r="A22" s="2" t="inlineStr">
        <is>
          <t>Jamaica</t>
        </is>
      </c>
      <c r="B22" s="73" t="inlineStr">
        <is>
          <t>Caribe anglófono</t>
        </is>
      </c>
      <c r="C22" s="4" t="inlineStr">
        <is>
          <t>University Council of Jamaica (UCJ)</t>
        </is>
      </c>
      <c r="D22" s="4" t="inlineStr">
        <is>
          <t>HEART/NSTA Trust</t>
        </is>
      </c>
      <c r="E22" s="5" t="inlineStr">
        <is>
          <t>National Youth Council of Jamaica (Ministry of Education, Skills, Youth and Information)</t>
        </is>
      </c>
      <c r="F22" s="4" t="inlineStr">
        <is>
          <t>National Insurance Scheme (NIS), bajo el Ministry of Labour and Social Security (MLSS)</t>
        </is>
      </c>
      <c r="G22" s="4" t="inlineStr">
        <is>
          <t>Management Institute for National Development (MIND)</t>
        </is>
      </c>
      <c r="H22" s="5" t="inlineStr">
        <is>
          <t>Jamaica Confederation of Trade Unions (JCTU)</t>
        </is>
      </c>
    </row>
    <row r="23" ht="48" customHeight="1" s="182">
      <c r="A23" s="2" t="inlineStr">
        <is>
          <t>México</t>
        </is>
      </c>
      <c r="B23" s="73" t="inlineStr">
        <is>
          <t>México / Centroamérica</t>
        </is>
      </c>
      <c r="C23" s="4" t="inlineStr">
        <is>
          <t>ANUIES (Asociación Nacional de Universidades e Instituciones de Educación Superior)</t>
        </is>
      </c>
      <c r="D23" s="4" t="inlineStr">
        <is>
          <t>CONALEP</t>
        </is>
      </c>
      <c r="E23" s="4" t="inlineStr">
        <is>
          <t>IMJUVE — Directorio Nacional de Organizaciones de la Sociedad Civil Juveniles</t>
        </is>
      </c>
      <c r="F23" s="4" t="inlineStr">
        <is>
          <t>Instituto Mexicano del Seguro Social (IMSS)</t>
        </is>
      </c>
      <c r="G23" s="4" t="inlineStr">
        <is>
          <t>Instituto Nacional de Administración Pública (INAP) / ENAPROG</t>
        </is>
      </c>
      <c r="H23" s="5" t="inlineStr">
        <is>
          <t>Confederación de Trabajadores de México (CTM)</t>
        </is>
      </c>
    </row>
    <row r="24" ht="48" customHeight="1" s="182">
      <c r="A24" s="2" t="inlineStr">
        <is>
          <t>Nicaragua</t>
        </is>
      </c>
      <c r="B24" s="73" t="inlineStr">
        <is>
          <t>México / Centroamérica</t>
        </is>
      </c>
      <c r="C24" s="4" t="inlineStr">
        <is>
          <t>CNU (Consejo Nacional de Universidades)</t>
        </is>
      </c>
      <c r="D24" s="4" t="inlineStr">
        <is>
          <t>INATEC / Tecnológico Nacional</t>
        </is>
      </c>
      <c r="E24" s="5" t="inlineStr">
        <is>
          <t>Ministerio de la Juventud (MINJUVE)</t>
        </is>
      </c>
      <c r="F24" s="4" t="inlineStr">
        <is>
          <t>Instituto Nicaragüense de Seguridad Social (INSS)</t>
        </is>
      </c>
      <c r="G24" s="5" t="inlineStr">
        <is>
          <t>Instituto Nicaragüense de Administración Pública (INAP)</t>
        </is>
      </c>
      <c r="H24" s="6" t="inlineStr">
        <is>
          <t>FNT (Frente Nacional de los Trabajadores)</t>
        </is>
      </c>
    </row>
    <row r="25" ht="48" customHeight="1" s="182">
      <c r="A25" s="2" t="inlineStr">
        <is>
          <t>Panamá</t>
        </is>
      </c>
      <c r="B25" s="73" t="inlineStr">
        <is>
          <t>México / Centroamérica</t>
        </is>
      </c>
      <c r="C25" s="4" t="inlineStr">
        <is>
          <t>CONEAUPA (Consejo Nacional de Evaluación y Acreditación Universitaria de Panamá)</t>
        </is>
      </c>
      <c r="D25" s="4" t="inlineStr">
        <is>
          <t>INADEH</t>
        </is>
      </c>
      <c r="E25" s="6" t="inlineStr">
        <is>
          <t>MIDES — Consejo Nacional de Juventud (CNJ), Estatuto 2023</t>
        </is>
      </c>
      <c r="F25" s="4" t="inlineStr">
        <is>
          <t>Caja de Seguro Social (CSS)</t>
        </is>
      </c>
      <c r="G25" s="4" t="inlineStr">
        <is>
          <t>Dirección General de Carrera Administrativa (DIGECA)</t>
        </is>
      </c>
      <c r="H25" s="6" t="inlineStr">
        <is>
          <t>CTRP (una de las centrales miembro de CONATO)</t>
        </is>
      </c>
    </row>
    <row r="26" ht="48" customHeight="1" s="182">
      <c r="A26" s="2" t="inlineStr">
        <is>
          <t>Paraguay</t>
        </is>
      </c>
      <c r="B26" s="73" t="inlineStr">
        <is>
          <t>Cono Sur</t>
        </is>
      </c>
      <c r="C26" s="6" t="inlineStr">
        <is>
          <t>CONES</t>
        </is>
      </c>
      <c r="D26" s="5" t="inlineStr">
        <is>
          <t>SNPP (Servicio Nacional de Promoción Profesional)</t>
        </is>
      </c>
      <c r="E26" s="6" t="inlineStr">
        <is>
          <t>SNJ — posible Registro Único de Beneficiarios/organizaciones</t>
        </is>
      </c>
      <c r="F26" s="4" t="inlineStr">
        <is>
          <t>Instituto de Previsión Social (IPS)</t>
        </is>
      </c>
      <c r="G26" s="4" t="inlineStr">
        <is>
          <t>Instituto Nacional de la Administración Pública (INAPP)</t>
        </is>
      </c>
      <c r="H26" s="5" t="inlineStr">
        <is>
          <t>CUT-A (Central Unitaria de Trabajadores – Auténtica)</t>
        </is>
      </c>
    </row>
    <row r="27" ht="48" customHeight="1" s="182">
      <c r="A27" s="2" t="inlineStr">
        <is>
          <t>Perú</t>
        </is>
      </c>
      <c r="B27" s="73" t="inlineStr">
        <is>
          <t>Región andina</t>
        </is>
      </c>
      <c r="C27" s="6" t="inlineStr">
        <is>
          <t>SUNEDU</t>
        </is>
      </c>
      <c r="D27" s="4" t="inlineStr">
        <is>
          <t>SENATI</t>
        </is>
      </c>
      <c r="E27" s="4" t="inlineStr">
        <is>
          <t>Secretaría Nacional de la Juventud (SENAJU) — Registro Nacional de Organizaciones Juveniles (RENOJ)</t>
        </is>
      </c>
      <c r="F27" s="4" t="inlineStr">
        <is>
          <t>Oficina de Normalización Previsional (ONP) / EsSalud</t>
        </is>
      </c>
      <c r="G27" s="4" t="inlineStr">
        <is>
          <t>Escuela Nacional de Administración Pública (ENAP) – SERVIR</t>
        </is>
      </c>
      <c r="H27" s="4" t="inlineStr">
        <is>
          <t>Confederación General de Trabajadores del Perú (CGTP)</t>
        </is>
      </c>
    </row>
    <row r="28" ht="48" customHeight="1" s="182">
      <c r="A28" s="2" t="inlineStr">
        <is>
          <t>San Cristóbal y Nieves</t>
        </is>
      </c>
      <c r="B28" s="73" t="inlineStr">
        <is>
          <t>Caribe anglófono</t>
        </is>
      </c>
      <c r="C28" s="4" t="inlineStr">
        <is>
          <t>St. Christopher and Nevis Accreditation Board (SKNAB)</t>
        </is>
      </c>
      <c r="D28" s="5" t="inlineStr">
        <is>
          <t>Ministry of Education (TVET) / Christopher-Wilkin Institute of Technology</t>
        </is>
      </c>
      <c r="E28" s="5" t="inlineStr">
        <is>
          <t>Department of Youth Empowerment</t>
        </is>
      </c>
      <c r="F28" s="4" t="inlineStr">
        <is>
          <t>Saint Christopher and Nevis Social Security Board</t>
        </is>
      </c>
      <c r="G28" s="7" t="inlineStr">
        <is>
          <t>No existe formalmente</t>
        </is>
      </c>
      <c r="H28" s="5" t="inlineStr">
        <is>
          <t>St. Kitts-Nevis Trades and Labour Union (SKNTLU)</t>
        </is>
      </c>
    </row>
    <row r="29" ht="48" customHeight="1" s="182">
      <c r="A29" s="2" t="inlineStr">
        <is>
          <t>Santa Lucía</t>
        </is>
      </c>
      <c r="B29" s="73" t="inlineStr">
        <is>
          <t>Caribe anglófono</t>
        </is>
      </c>
      <c r="C29" s="5" t="inlineStr">
        <is>
          <t>Department of Education, Innovation and Gender Relations</t>
        </is>
      </c>
      <c r="D29" s="4" t="inlineStr">
        <is>
          <t>Workforce Development Centre (WDC) / SLCTVET</t>
        </is>
      </c>
      <c r="E29" s="5" t="inlineStr">
        <is>
          <t>Saint Lucia National Youth Council (SLNYC, no gubernamental)</t>
        </is>
      </c>
      <c r="F29" s="4" t="inlineStr">
        <is>
          <t>National Insurance Corporation (NIC), Saint Lucia</t>
        </is>
      </c>
      <c r="G29" s="7" t="inlineStr">
        <is>
          <t>No existe formalmente</t>
        </is>
      </c>
      <c r="H29" s="5" t="inlineStr">
        <is>
          <t>National Workers Union (NWU)</t>
        </is>
      </c>
    </row>
    <row r="30" ht="48" customHeight="1" s="182">
      <c r="A30" s="2" t="inlineStr">
        <is>
          <t>San Vicente y las Granadinas</t>
        </is>
      </c>
      <c r="B30" s="73" t="inlineStr">
        <is>
          <t>Caribe anglófono</t>
        </is>
      </c>
      <c r="C30" s="4" t="inlineStr">
        <is>
          <t>National Accreditation Board of SVG (NAB SVG)</t>
        </is>
      </c>
      <c r="D30" s="4" t="inlineStr">
        <is>
          <t>National Accreditation Board SVG (incluye TVET)</t>
        </is>
      </c>
      <c r="E30" s="5" t="inlineStr">
        <is>
          <t>National Youth Council of SVG</t>
        </is>
      </c>
      <c r="F30" s="4" t="inlineStr">
        <is>
          <t>National Insurance Services (NIS)</t>
        </is>
      </c>
      <c r="G30" s="7" t="inlineStr">
        <is>
          <t>No existe formalmente</t>
        </is>
      </c>
      <c r="H30" s="5" t="inlineStr">
        <is>
          <t>National Labour Congress (NLC) — central real, NWM es una de sus organizaciones miembro</t>
        </is>
      </c>
    </row>
    <row r="31" ht="48" customHeight="1" s="182">
      <c r="A31" s="2" t="inlineStr">
        <is>
          <t>Surinam</t>
        </is>
      </c>
      <c r="B31" s="73" t="inlineStr">
        <is>
          <t>Caribe neerlandófono</t>
        </is>
      </c>
      <c r="C31" s="5" t="inlineStr">
        <is>
          <t>Ministerie van Onderwijs, Wetenschap en Cultuur (MinOWC)</t>
        </is>
      </c>
      <c r="D31" s="4" t="inlineStr">
        <is>
          <t>Directoraat Beroepsonderwijs (Ministerie van Onderwijs)</t>
        </is>
      </c>
      <c r="E31" s="5" t="inlineStr">
        <is>
          <t>Jeugdraad Suriname / Nationaal Jeugd Instituut (Ministerie van Arbeid, Werkgelegenheid en Jeugdzaken)</t>
        </is>
      </c>
      <c r="F31" s="4" t="inlineStr">
        <is>
          <t>Stichting Staatsziekenfonds (SZF)</t>
        </is>
      </c>
      <c r="G31" s="7" t="inlineStr">
        <is>
          <t>No existe formalmente / no confirmado</t>
        </is>
      </c>
      <c r="H31" s="5" t="inlineStr">
        <is>
          <t>Fragmentado: OSAV, Moederbond/AVVS y C-47</t>
        </is>
      </c>
    </row>
    <row r="32" ht="48" customHeight="1" s="182">
      <c r="A32" s="2" t="inlineStr">
        <is>
          <t>Trinidad y Tobago</t>
        </is>
      </c>
      <c r="B32" s="73" t="inlineStr">
        <is>
          <t>Caribe anglófono</t>
        </is>
      </c>
      <c r="C32" s="4" t="inlineStr">
        <is>
          <t>Accreditation Council of Trinidad and Tobago (ACTT)</t>
        </is>
      </c>
      <c r="D32" s="4" t="inlineStr">
        <is>
          <t>Accreditation Council of Trinidad and Tobago (ACTT)</t>
        </is>
      </c>
      <c r="E32" s="6" t="inlineStr">
        <is>
          <t>Youth Affairs Division (MYDNS) — Youth Group/Organization Database</t>
        </is>
      </c>
      <c r="F32" s="4" t="inlineStr">
        <is>
          <t>National Insurance Board of Trinidad and Tobago (NIBTT)</t>
        </is>
      </c>
      <c r="G32" s="4" t="inlineStr">
        <is>
          <t>Public Service Academy (Ministry of Public Administration and AI)</t>
        </is>
      </c>
      <c r="H32" s="5" t="inlineStr">
        <is>
          <t>National Trade Union Centre of Trinidad and Tobago (NATUC)</t>
        </is>
      </c>
    </row>
    <row r="33" ht="48" customHeight="1" s="182">
      <c r="A33" s="2" t="inlineStr">
        <is>
          <t>Uruguay</t>
        </is>
      </c>
      <c r="B33" s="73" t="inlineStr">
        <is>
          <t>Cono Sur</t>
        </is>
      </c>
      <c r="C33" s="5" t="inlineStr">
        <is>
          <t>Ministerio de Educación y Cultura (MEC)</t>
        </is>
      </c>
      <c r="D33" s="4" t="inlineStr">
        <is>
          <t>UTU / DGETP</t>
        </is>
      </c>
      <c r="E33" s="5" t="inlineStr">
        <is>
          <t>Instituto Nacional de la Juventud (INJU), MIDES</t>
        </is>
      </c>
      <c r="F33" s="4" t="inlineStr">
        <is>
          <t>Banco de Previsión Social (BPS)</t>
        </is>
      </c>
      <c r="G33" s="4" t="inlineStr">
        <is>
          <t>Escuela Nacional de Administración Pública (ENAP) – ONSC</t>
        </is>
      </c>
      <c r="H33" s="4" t="inlineStr">
        <is>
          <t>PIT-CNT</t>
        </is>
      </c>
    </row>
    <row r="34" ht="48" customHeight="1" s="182">
      <c r="A34" s="2" t="inlineStr">
        <is>
          <t>Venezuela</t>
        </is>
      </c>
      <c r="B34" s="73" t="inlineStr">
        <is>
          <t>Región andina</t>
        </is>
      </c>
      <c r="C34" s="4" t="inlineStr">
        <is>
          <t>OPSU/LOEU (Consejo Nacional de Universidades)</t>
        </is>
      </c>
      <c r="D34" s="4" t="inlineStr">
        <is>
          <t>INCES</t>
        </is>
      </c>
      <c r="E34" s="5" t="inlineStr">
        <is>
          <t>Ministerio del Poder Popular para la Juventud (MinJuventud)</t>
        </is>
      </c>
      <c r="F34" s="4" t="inlineStr">
        <is>
          <t>Instituto Venezolano de los Seguros Sociales (IVSS)</t>
        </is>
      </c>
      <c r="G34" s="4" t="inlineStr">
        <is>
          <t>Escuela Venezolana de Planificación (EVP) / Fundación EVP</t>
        </is>
      </c>
      <c r="H34" s="5" t="inlineStr">
        <is>
          <t>Fragmentado y politizado: CTV (histórica), UNT y CBST (oficialista)</t>
        </is>
      </c>
    </row>
    <row r="35" ht="15.75" customHeight="1" s="182"/>
    <row r="36" ht="15" customHeight="1" s="182">
      <c r="A36" s="10" t="inlineStr">
        <is>
          <t>Leyenda:</t>
        </is>
      </c>
    </row>
    <row r="37" ht="15" customHeight="1" s="182">
      <c r="A37" s="23" t="inlineStr">
        <is>
          <t xml:space="preserve">  confirmada por fetch directo o documento oficial descargable</t>
        </is>
      </c>
    </row>
    <row r="38" ht="15" customHeight="1" s="182">
      <c r="A38" s="24" t="inlineStr">
        <is>
          <t xml:space="preserve">  candidata: URL específica encontrada, contenido sin confirmar (revisar con navegador)</t>
        </is>
      </c>
    </row>
    <row r="39" ht="15" customHeight="1" s="182">
      <c r="A39" s="25" t="inlineStr">
        <is>
          <t xml:space="preserve">  sin institución identificada / no existe formalmente / sin URL</t>
        </is>
      </c>
    </row>
    <row r="40" ht="15.75" customHeight="1" s="182"/>
    <row r="41" ht="15.75" customHeight="1" s="182"/>
    <row r="42" ht="15.75" customHeight="1" s="182"/>
    <row r="43" ht="15.75" customHeight="1" s="182"/>
    <row r="44" ht="15.75" customHeight="1" s="182"/>
    <row r="45" ht="15.75" customHeight="1" s="182"/>
    <row r="46" ht="15.75" customHeight="1" s="182"/>
    <row r="47" ht="15.75" customHeight="1" s="182"/>
    <row r="48" ht="15.75" customHeight="1" s="182"/>
    <row r="49" ht="15.75" customHeight="1" s="182"/>
    <row r="50" ht="15.75" customHeight="1" s="182"/>
    <row r="51" ht="15.75" customHeight="1" s="182"/>
    <row r="52" ht="15.75" customHeight="1" s="182"/>
    <row r="53" ht="15.75" customHeight="1" s="182"/>
    <row r="54" ht="15.75" customHeight="1" s="182"/>
    <row r="55" ht="15.75" customHeight="1" s="182"/>
    <row r="56" ht="15.75" customHeight="1" s="182"/>
    <row r="57" ht="15.75" customHeight="1" s="182"/>
    <row r="58" ht="15.75" customHeight="1" s="182"/>
    <row r="59" ht="15.75" customHeight="1" s="182"/>
    <row r="60" ht="15.75" customHeight="1" s="182"/>
    <row r="61" ht="15.75" customHeight="1" s="182"/>
    <row r="62" ht="15.75" customHeight="1" s="182"/>
    <row r="63" ht="15.75" customHeight="1" s="182"/>
    <row r="64" ht="15.75" customHeight="1" s="182"/>
    <row r="65" ht="15.75" customHeight="1" s="182"/>
    <row r="66" ht="15.75" customHeight="1" s="182"/>
    <row r="67" ht="15.75" customHeight="1" s="182"/>
    <row r="68" ht="15.75" customHeight="1" s="182"/>
    <row r="69" ht="15.75" customHeight="1" s="182"/>
    <row r="70" ht="15.75" customHeight="1" s="182"/>
    <row r="71" ht="15.75" customHeight="1" s="182"/>
    <row r="72" ht="15.75" customHeight="1" s="182"/>
    <row r="73" ht="15.75" customHeight="1" s="182"/>
    <row r="74" ht="15.75" customHeight="1" s="182"/>
    <row r="75" ht="15.75" customHeight="1" s="182"/>
    <row r="76" ht="15.75" customHeight="1" s="182"/>
    <row r="77" ht="15.75" customHeight="1" s="182"/>
    <row r="78" ht="15.75" customHeight="1" s="182"/>
    <row r="79" ht="15.75" customHeight="1" s="182"/>
    <row r="80" ht="15.75" customHeight="1" s="182"/>
    <row r="81" ht="15.75" customHeight="1" s="182"/>
    <row r="82" ht="15.75" customHeight="1" s="182"/>
    <row r="83" ht="15.75" customHeight="1" s="182"/>
    <row r="84" ht="15.75" customHeight="1" s="182"/>
    <row r="85" ht="15.75" customHeight="1" s="182"/>
    <row r="86" ht="15.75" customHeight="1" s="182"/>
    <row r="87" ht="15.75" customHeight="1" s="182"/>
    <row r="88" ht="15.75" customHeight="1" s="182"/>
    <row r="89" ht="15.75" customHeight="1" s="182"/>
    <row r="90" ht="15.75" customHeight="1" s="182"/>
    <row r="91" ht="15.75" customHeight="1" s="182"/>
    <row r="92" ht="15.75" customHeight="1" s="182"/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  <row r="962" ht="15.75" customHeight="1" s="182"/>
    <row r="963" ht="15.75" customHeight="1" s="182"/>
    <row r="964" ht="15.75" customHeight="1" s="182"/>
    <row r="965" ht="15.75" customHeight="1" s="182"/>
    <row r="966" ht="15.75" customHeight="1" s="182"/>
    <row r="967" ht="15.75" customHeight="1" s="182"/>
    <row r="968" ht="15.75" customHeight="1" s="182"/>
    <row r="969" ht="15.75" customHeight="1" s="182"/>
    <row r="970" ht="15.75" customHeight="1" s="182"/>
    <row r="971" ht="15.75" customHeight="1" s="182"/>
    <row r="972" ht="15.75" customHeight="1" s="182"/>
    <row r="973" ht="15.75" customHeight="1" s="182"/>
    <row r="974" ht="15.75" customHeight="1" s="182"/>
    <row r="975" ht="15.75" customHeight="1" s="182"/>
    <row r="976" ht="15.75" customHeight="1" s="182"/>
    <row r="977" ht="15.75" customHeight="1" s="182"/>
    <row r="978" ht="15.75" customHeight="1" s="182"/>
    <row r="979" ht="15.75" customHeight="1" s="182"/>
    <row r="980" ht="15.75" customHeight="1" s="182"/>
    <row r="981" ht="15.75" customHeight="1" s="182"/>
    <row r="982" ht="15.75" customHeight="1" s="182"/>
    <row r="983" ht="15.75" customHeight="1" s="182"/>
    <row r="984" ht="15.75" customHeight="1" s="182"/>
    <row r="985" ht="15.75" customHeight="1" s="182"/>
    <row r="986" ht="15.75" customHeight="1" s="182"/>
    <row r="987" ht="15.75" customHeight="1" s="182"/>
    <row r="988" ht="15.75" customHeight="1" s="182"/>
    <row r="989" ht="15.75" customHeight="1" s="182"/>
    <row r="990" ht="15.75" customHeight="1" s="182"/>
    <row r="991" ht="15.75" customHeight="1" s="182"/>
    <row r="992" ht="15.75" customHeight="1" s="182"/>
    <row r="993" ht="15.75" customHeight="1" s="182"/>
    <row r="994" ht="15.75" customHeight="1" s="182"/>
    <row r="995" ht="15.75" customHeight="1" s="182"/>
    <row r="996" ht="15.75" customHeight="1" s="182"/>
    <row r="997" ht="15.75" customHeight="1" s="182"/>
    <row r="998" ht="15.75" customHeight="1" s="182"/>
    <row r="999" ht="15.75" customHeight="1" s="182"/>
    <row r="1000" ht="15.75" customHeight="1" s="182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182" min="1" max="1"/>
    <col width="15" customWidth="1" style="182" min="2" max="2"/>
    <col width="30" customWidth="1" style="182" min="3" max="3"/>
    <col width="34" customWidth="1" style="182" min="4" max="4"/>
    <col width="40" customWidth="1" style="182" min="5" max="5"/>
    <col width="46" customWidth="1" style="182" min="6" max="6"/>
    <col width="8.710000000000001" customWidth="1" style="182" min="7" max="26"/>
  </cols>
  <sheetData>
    <row r="1" ht="25.5" customHeight="1" s="182">
      <c r="A1" s="8" t="inlineStr">
        <is>
          <t>País</t>
        </is>
      </c>
      <c r="B1" s="9" t="inlineStr">
        <is>
          <t>Región</t>
        </is>
      </c>
      <c r="C1" s="9" t="inlineStr">
        <is>
          <t>Categoría</t>
        </is>
      </c>
      <c r="D1" s="9" t="inlineStr">
        <is>
          <t>Organismo / registro</t>
        </is>
      </c>
      <c r="E1" s="9" t="inlineStr">
        <is>
          <t>URL</t>
        </is>
      </c>
      <c r="F1" s="11" t="inlineStr">
        <is>
          <t>Notas de verificación</t>
        </is>
      </c>
      <c r="G1" s="12" t="inlineStr">
        <is>
          <t>Columna 1</t>
        </is>
      </c>
    </row>
    <row r="2" ht="30" customHeight="1" s="182">
      <c r="A2" s="42" t="inlineStr">
        <is>
          <t>Antigua y Barbuda</t>
        </is>
      </c>
      <c r="B2" s="73" t="inlineStr">
        <is>
          <t>Caribe anglófono</t>
        </is>
      </c>
      <c r="C2" s="73" t="inlineStr">
        <is>
          <t>Universidades públicas</t>
        </is>
      </c>
      <c r="D2" s="73" t="inlineStr">
        <is>
          <t>Antigua and Barbuda National Accreditation Board (ABNAB)</t>
        </is>
      </c>
      <c r="E2" s="73" t="inlineStr">
        <is>
          <t>http://abnab.edu.ag/institutions.php</t>
        </is>
      </c>
      <c r="F2" s="26" t="inlineStr">
        <is>
          <t>CONFIRMADA por fetch directo: 'Registered Institutions', incluye UWI Five Islands</t>
        </is>
      </c>
      <c r="G2" s="98" t="n"/>
    </row>
    <row r="3" ht="30" customHeight="1" s="182">
      <c r="A3" s="42" t="inlineStr">
        <is>
          <t>Antigua y Barbuda</t>
        </is>
      </c>
      <c r="B3" s="73" t="inlineStr">
        <is>
          <t>Caribe anglófono</t>
        </is>
      </c>
      <c r="C3" s="73" t="inlineStr">
        <is>
          <t>Formación técnica pública</t>
        </is>
      </c>
      <c r="D3" s="73" t="inlineStr">
        <is>
          <t>Antigua and Barbuda National Accreditation Board (ABNAB)</t>
        </is>
      </c>
      <c r="E3" s="73" t="inlineStr">
        <is>
          <t>http://abnab.edu.ag/institutions.php</t>
        </is>
      </c>
      <c r="F3" s="26" t="inlineStr">
        <is>
          <t>Verificada: lista real de 'Registered Institutions' e 'Institutions Under Review'</t>
        </is>
      </c>
      <c r="G3" s="98" t="n"/>
    </row>
    <row r="4" ht="30" customHeight="1" s="182">
      <c r="A4" s="42" t="inlineStr">
        <is>
          <t>Antigua y Barbuda</t>
        </is>
      </c>
      <c r="B4" s="73" t="inlineStr">
        <is>
          <t>Caribe anglófono</t>
        </is>
      </c>
      <c r="C4" s="73" t="inlineStr">
        <is>
          <t>Organizaciones juveniles</t>
        </is>
      </c>
      <c r="D4" s="73" t="inlineStr">
        <is>
          <t>Department of Youth Affairs; National Youth Council of Antigua and Barbuda (NYCAB)</t>
        </is>
      </c>
      <c r="E4" s="73" t="inlineStr">
        <is>
          <t>listado no disponible</t>
        </is>
      </c>
      <c r="F4" s="26" t="inlineStr">
        <is>
          <t>Sitio oficial del Departamento sin URL funcional confirmada; NYCAB no publica listado de organizaciones miembro</t>
        </is>
      </c>
      <c r="G4" s="98" t="n"/>
    </row>
    <row r="5" ht="30" customHeight="1" s="182">
      <c r="A5" s="42" t="inlineStr">
        <is>
          <t>Antigua y Barbuda</t>
        </is>
      </c>
      <c r="B5" s="73" t="inlineStr">
        <is>
          <t>Caribe anglófono</t>
        </is>
      </c>
      <c r="C5" s="73" t="inlineStr">
        <is>
          <t>Asociaciones de seguridad social</t>
        </is>
      </c>
      <c r="D5" s="73" t="inlineStr">
        <is>
          <t>Antigua and Barbuda Social Security Board (ABSSB)</t>
        </is>
      </c>
      <c r="E5" s="73" t="inlineStr">
        <is>
          <t>https://socialsecurity.gov.ag/</t>
        </is>
      </c>
      <c r="F5" s="26" t="inlineStr">
        <is>
          <t>Sitio activo, verificado por búsqueda directa; membresía CISS no confirmada</t>
        </is>
      </c>
      <c r="G5" s="98" t="n"/>
    </row>
    <row r="6" ht="30" customHeight="1" s="182">
      <c r="A6" s="42" t="inlineStr">
        <is>
          <t>Antigua y Barbuda</t>
        </is>
      </c>
      <c r="B6" s="73" t="inlineStr">
        <is>
          <t>Caribe anglófono</t>
        </is>
      </c>
      <c r="C6" s="73" t="inlineStr">
        <is>
          <t>Escuelas de gobierno y administración pública</t>
        </is>
      </c>
      <c r="D6" s="73" t="inlineStr">
        <is>
          <t>No existe formalmente</t>
        </is>
      </c>
      <c r="E6" s="73" t="inlineStr">
        <is>
          <t>listado no disponible</t>
        </is>
      </c>
      <c r="F6" s="26" t="inlineStr">
        <is>
          <t>Estado pequeño OECS; capacitación de funcionarios vía organismos regionales (CARICAD, UWI), sin escuela nacional propia</t>
        </is>
      </c>
      <c r="G6" s="98" t="n"/>
    </row>
    <row r="7" ht="30" customHeight="1" s="182">
      <c r="A7" s="42" t="inlineStr">
        <is>
          <t>Antigua y Barbuda</t>
        </is>
      </c>
      <c r="B7" s="73" t="inlineStr">
        <is>
          <t>Caribe anglófono</t>
        </is>
      </c>
      <c r="C7" s="73" t="inlineStr">
        <is>
          <t>Sindicatos y confederaciones de trabajadores</t>
        </is>
      </c>
      <c r="D7" s="73" t="inlineStr">
        <is>
          <t>Antigua Trades and Labour Union (ATLU)</t>
        </is>
      </c>
      <c r="E7" s="73" t="inlineStr">
        <is>
          <t>listado no disponible</t>
        </is>
      </c>
      <c r="F7" s="26" t="inlineStr">
        <is>
          <t>Central histórica más numerosa (1939), sin sitio web oficial funcional (solo Facebook). También existe Antigua &amp; Barbuda Workers' Union</t>
        </is>
      </c>
      <c r="G7" s="98" t="n"/>
    </row>
    <row r="8" ht="30" customHeight="1" s="182">
      <c r="A8" s="42" t="inlineStr">
        <is>
          <t>Argentina</t>
        </is>
      </c>
      <c r="B8" s="73" t="inlineStr">
        <is>
          <t>Cono Sur</t>
        </is>
      </c>
      <c r="C8" s="73" t="inlineStr">
        <is>
          <t>Universidades públicas</t>
        </is>
      </c>
      <c r="D8" s="73" t="inlineStr">
        <is>
          <t>Secretaría de Educación / Mapa Educativo Nacional (Políticas Universitarias, SPU)</t>
        </is>
      </c>
      <c r="E8" s="73" t="inlineStr">
        <is>
          <t>https://mapa.educacion.gob.ar/maps/mapa-navegable-de-las-universidades</t>
        </is>
      </c>
      <c r="F8" s="26" t="inlineStr">
        <is>
          <t>Verificado: mapa navegable con filtros por gestión estatal/privada, tipo y provincia</t>
        </is>
      </c>
      <c r="G8" s="98" t="n"/>
    </row>
    <row r="9" ht="30" customHeight="1" s="182">
      <c r="A9" s="42" t="inlineStr">
        <is>
          <t>Argentina</t>
        </is>
      </c>
      <c r="B9" s="73" t="inlineStr">
        <is>
          <t>Cono Sur</t>
        </is>
      </c>
      <c r="C9" s="73" t="inlineStr">
        <is>
          <t>Formación técnica pública</t>
        </is>
      </c>
      <c r="D9" s="73" t="inlineStr">
        <is>
          <t>INET – Registro Federal de Instituciones de ETP (RFIETP)</t>
        </is>
      </c>
      <c r="E9" s="73" t="inlineStr">
        <is>
          <t>https://www.inet.edu.ar/index.php/estudios-investigaciones/registro-federal-de-instituciones/</t>
        </is>
      </c>
      <c r="F9" s="26" t="inlineStr">
        <is>
          <t>Enlaza nóminas PDF por nivel; catálogo público complementario en catalogo-inet.educacion.gob.ar</t>
        </is>
      </c>
      <c r="G9" s="98" t="n"/>
    </row>
    <row r="10" ht="30" customHeight="1" s="182">
      <c r="A10" s="42" t="inlineStr">
        <is>
          <t>Argentina</t>
        </is>
      </c>
      <c r="B10" s="73" t="inlineStr">
        <is>
          <t>Cono Sur</t>
        </is>
      </c>
      <c r="C10" s="73" t="inlineStr">
        <is>
          <t>Organizaciones juveniles</t>
        </is>
      </c>
      <c r="D10" s="73" t="inlineStr">
        <is>
          <t>Instituto Nacional de Juventudes (INJUVE) — Registro Nacional de Organizaciones Juveniles (RENOJ)</t>
        </is>
      </c>
      <c r="E10" s="73" t="inlineStr">
        <is>
          <t>listado no disponible</t>
        </is>
      </c>
      <c r="F10" s="26" t="inlineStr">
        <is>
          <t>Sitio dinámico (JS) no renderizó contenido navegable; no se localizó URL directa de listado público</t>
        </is>
      </c>
      <c r="G10" s="98" t="n"/>
    </row>
    <row r="11" ht="30" customHeight="1" s="182">
      <c r="A11" s="42" t="inlineStr">
        <is>
          <t>Argentina</t>
        </is>
      </c>
      <c r="B11" s="73" t="inlineStr">
        <is>
          <t>Cono Sur</t>
        </is>
      </c>
      <c r="C11" s="73" t="inlineStr">
        <is>
          <t>Asociaciones de seguridad social</t>
        </is>
      </c>
      <c r="D11" s="73" t="inlineStr">
        <is>
          <t>Administración Nacional de la Seguridad Social (ANSES)</t>
        </is>
      </c>
      <c r="E11" s="73" t="inlineStr">
        <is>
          <t>https://www.anses.gob.ar/institucional</t>
        </is>
      </c>
      <c r="F11" s="26" t="inlineStr">
        <is>
          <t>Sitio oficial activo; Argentina es miembro fundador de CISS</t>
        </is>
      </c>
      <c r="G11" s="98" t="n"/>
    </row>
    <row r="12" ht="30" customHeight="1" s="182">
      <c r="A12" s="42" t="inlineStr">
        <is>
          <t>Argentina</t>
        </is>
      </c>
      <c r="B12" s="73" t="inlineStr">
        <is>
          <t>Cono Sur</t>
        </is>
      </c>
      <c r="C12" s="73" t="inlineStr">
        <is>
          <t>Escuelas de gobierno y administración pública</t>
        </is>
      </c>
      <c r="D12" s="73" t="inlineStr">
        <is>
          <t>Instituto Nacional de la Administración Pública (INAP)</t>
        </is>
      </c>
      <c r="E12" s="73" t="inlineStr">
        <is>
          <t>https://capacitacion.inap.gob.ar/</t>
        </is>
      </c>
      <c r="F12" s="26" t="inlineStr">
        <is>
          <t>Confirmado: organismo rector de capacitación estatal, portal con catálogo de cursos vigente</t>
        </is>
      </c>
      <c r="G12" s="98" t="n"/>
    </row>
    <row r="13" ht="30" customHeight="1" s="182">
      <c r="A13" s="42" t="inlineStr">
        <is>
          <t>Argentina</t>
        </is>
      </c>
      <c r="B13" s="73" t="inlineStr">
        <is>
          <t>Cono Sur</t>
        </is>
      </c>
      <c r="C13" s="73" t="inlineStr">
        <is>
          <t>Sindicatos y confederaciones de trabajadores</t>
        </is>
      </c>
      <c r="D13" s="73" t="inlineStr">
        <is>
          <t>CGT (Confederación General del Trabajo)</t>
        </is>
      </c>
      <c r="E13" s="73" t="inlineStr">
        <is>
          <t>https://cgtoficial.org/sobre-nosotros/regionales/</t>
        </is>
      </c>
      <c r="F13" s="26" t="inlineStr">
        <is>
          <t>CANDIDATA: sitio oficial activo con menú 'Regionales' y 'Autoridades', sin listado completo de gremios afiliados</t>
        </is>
      </c>
      <c r="G13" s="98" t="n"/>
    </row>
    <row r="14" ht="30" customHeight="1" s="182">
      <c r="A14" s="42" t="inlineStr">
        <is>
          <t>Bahamas</t>
        </is>
      </c>
      <c r="B14" s="73" t="inlineStr">
        <is>
          <t>Caribe anglófono</t>
        </is>
      </c>
      <c r="C14" s="73" t="inlineStr">
        <is>
          <t>Universidades públicas</t>
        </is>
      </c>
      <c r="D14" s="73" t="inlineStr">
        <is>
          <t>NAECOB</t>
        </is>
      </c>
      <c r="E14" s="73" t="inlineStr">
        <is>
          <t>https://naecob.org/wp-content/uploads/2026/01/NAECOB-Registered-Post-Secondary-Institutions-January-2026.pdf</t>
        </is>
      </c>
      <c r="F14" s="26" t="inlineStr">
        <is>
          <t>CONFIRMADA: PDF oficial (enero 2026) con listado completo, embebido en sitio con JS</t>
        </is>
      </c>
      <c r="G14" s="98" t="n"/>
    </row>
    <row r="15" ht="30" customHeight="1" s="182">
      <c r="A15" s="42" t="inlineStr">
        <is>
          <t>Bahamas</t>
        </is>
      </c>
      <c r="B15" s="73" t="inlineStr">
        <is>
          <t>Caribe anglófono</t>
        </is>
      </c>
      <c r="C15" s="73" t="inlineStr">
        <is>
          <t>Formación técnica pública</t>
        </is>
      </c>
      <c r="D15" s="73" t="inlineStr">
        <is>
          <t>National Accreditation and Equivalency Council of The Bahamas (NAECOB)</t>
        </is>
      </c>
      <c r="E15" s="73" t="inlineStr">
        <is>
          <t>https://naecob.org/training-institutions/</t>
        </is>
      </c>
      <c r="F15" s="26" t="inlineStr">
        <is>
          <t>Verificada: página 'Training Institutions' con visor de PDF oficial (lista abril 2026)</t>
        </is>
      </c>
      <c r="G15" s="98" t="n"/>
    </row>
    <row r="16" ht="30" customHeight="1" s="182">
      <c r="A16" s="42" t="inlineStr">
        <is>
          <t>Bahamas</t>
        </is>
      </c>
      <c r="B16" s="73" t="inlineStr">
        <is>
          <t>Caribe anglófono</t>
        </is>
      </c>
      <c r="C16" s="73" t="inlineStr">
        <is>
          <t>Organizaciones juveniles</t>
        </is>
      </c>
      <c r="D16" s="73" t="inlineStr">
        <is>
          <t>Ministry of Youth, Sports and Culture — Division of Youth</t>
        </is>
      </c>
      <c r="E16" s="73" t="inlineStr">
        <is>
          <t>https://www.mysc.gov.bs/service/youth-organisation-register-a</t>
        </is>
      </c>
      <c r="F16" s="26" t="inlineStr">
        <is>
          <t>CANDIDATA: página oficial de registro (+300 organizaciones registradas internamente) pero sin listado público descargable</t>
        </is>
      </c>
      <c r="G16" s="98" t="n"/>
    </row>
    <row r="17" ht="30" customHeight="1" s="182">
      <c r="A17" s="42" t="inlineStr">
        <is>
          <t>Bahamas</t>
        </is>
      </c>
      <c r="B17" s="73" t="inlineStr">
        <is>
          <t>Caribe anglófono</t>
        </is>
      </c>
      <c r="C17" s="73" t="inlineStr">
        <is>
          <t>Asociaciones de seguridad social</t>
        </is>
      </c>
      <c r="D17" s="73" t="inlineStr">
        <is>
          <t>National Insurance Board of The Bahamas (NIB)</t>
        </is>
      </c>
      <c r="E17" s="73" t="inlineStr">
        <is>
          <t>https://www.nib-bahamas.com/</t>
        </is>
      </c>
      <c r="F17" s="26" t="inlineStr">
        <is>
          <t>Sitio activo y funcional, con portal de servicios en línea</t>
        </is>
      </c>
      <c r="G17" s="98" t="n"/>
    </row>
    <row r="18" ht="30" customHeight="1" s="182">
      <c r="A18" s="42" t="inlineStr">
        <is>
          <t>Bahamas</t>
        </is>
      </c>
      <c r="B18" s="73" t="inlineStr">
        <is>
          <t>Caribe anglófono</t>
        </is>
      </c>
      <c r="C18" s="73" t="inlineStr">
        <is>
          <t>Escuelas de gobierno y administración pública</t>
        </is>
      </c>
      <c r="D18" s="73" t="inlineStr">
        <is>
          <t>No existe formalmente</t>
        </is>
      </c>
      <c r="E18" s="73" t="inlineStr">
        <is>
          <t>listado no disponible</t>
        </is>
      </c>
      <c r="F18" s="26" t="inlineStr">
        <is>
          <t>Capacitación del servicio público gestionada internamente en el Department of Public Service, sin escuela formal separada</t>
        </is>
      </c>
      <c r="G18" s="98" t="n"/>
    </row>
    <row r="19" ht="30" customHeight="1" s="182">
      <c r="A19" s="42" t="inlineStr">
        <is>
          <t>Bahamas</t>
        </is>
      </c>
      <c r="B19" s="73" t="inlineStr">
        <is>
          <t>Caribe anglófono</t>
        </is>
      </c>
      <c r="C19" s="73" t="inlineStr">
        <is>
          <t>Sindicatos y confederaciones de trabajadores</t>
        </is>
      </c>
      <c r="D19" s="73" t="inlineStr">
        <is>
          <t>National Congress of Trade Unions Bahamas (NCTUB)</t>
        </is>
      </c>
      <c r="E19" s="73" t="inlineStr">
        <is>
          <t>listado no disponible</t>
        </is>
      </c>
      <c r="F19" s="26" t="inlineStr">
        <is>
          <t>Sitio muy desactualizado (~2016). Movimiento dividido entre NCTUB y CBTUC</t>
        </is>
      </c>
      <c r="G19" s="98" t="n"/>
    </row>
    <row r="20" ht="30" customHeight="1" s="182">
      <c r="A20" s="42" t="inlineStr">
        <is>
          <t>Barbados</t>
        </is>
      </c>
      <c r="B20" s="73" t="inlineStr">
        <is>
          <t>Caribe anglófono</t>
        </is>
      </c>
      <c r="C20" s="73" t="inlineStr">
        <is>
          <t>Universidades públicas</t>
        </is>
      </c>
      <c r="D20" s="73" t="inlineStr">
        <is>
          <t>Barbados Accreditation Council (BAC)</t>
        </is>
      </c>
      <c r="E20" s="73" t="inlineStr">
        <is>
          <t>https://bac.gov.bb/registered-providers/</t>
        </is>
      </c>
      <c r="F20" s="26" t="inlineStr">
        <is>
          <t>Verificado: 'List of Tertiary Education and Training Providers' con instituciones concretas</t>
        </is>
      </c>
      <c r="G20" s="98" t="n"/>
    </row>
    <row r="21" ht="30" customHeight="1" s="182">
      <c r="A21" s="42" t="inlineStr">
        <is>
          <t>Barbados</t>
        </is>
      </c>
      <c r="B21" s="73" t="inlineStr">
        <is>
          <t>Caribe anglófono</t>
        </is>
      </c>
      <c r="C21" s="73" t="inlineStr">
        <is>
          <t>Formación técnica pública</t>
        </is>
      </c>
      <c r="D21" s="73" t="inlineStr">
        <is>
          <t>TVET Council Barbados</t>
        </is>
      </c>
      <c r="E21" s="73" t="inlineStr">
        <is>
          <t>https://tvetccbarbados.com.bb/registered_organizations_search.aspx</t>
        </is>
      </c>
      <c r="F21" s="26" t="inlineStr">
        <is>
          <t>Verificada: buscador 'TP Search' con listado de decenas de proveedores registrados, filtrable</t>
        </is>
      </c>
      <c r="G21" s="98" t="n"/>
    </row>
    <row r="22" ht="30" customHeight="1" s="182">
      <c r="A22" s="42" t="inlineStr">
        <is>
          <t>Barbados</t>
        </is>
      </c>
      <c r="B22" s="73" t="inlineStr">
        <is>
          <t>Caribe anglófono</t>
        </is>
      </c>
      <c r="C22" s="73" t="inlineStr">
        <is>
          <t>Organizaciones juveniles</t>
        </is>
      </c>
      <c r="D22" s="73" t="inlineStr">
        <is>
          <t>Division of Youth &amp; Culture, Prime Minister's Office</t>
        </is>
      </c>
      <c r="E22" s="73" t="inlineStr">
        <is>
          <t>listado no disponible</t>
        </is>
      </c>
      <c r="F22" s="26" t="inlineStr">
        <is>
          <t>Sitio menciona 'Directory of Youth &amp; Community Organisations' entre publicaciones, pero no se halló enlace navegable</t>
        </is>
      </c>
      <c r="G22" s="98" t="n"/>
    </row>
    <row r="23" ht="30" customHeight="1" s="182">
      <c r="A23" s="42" t="inlineStr">
        <is>
          <t>Barbados</t>
        </is>
      </c>
      <c r="B23" s="73" t="inlineStr">
        <is>
          <t>Caribe anglófono</t>
        </is>
      </c>
      <c r="C23" s="73" t="inlineStr">
        <is>
          <t>Asociaciones de seguridad social</t>
        </is>
      </c>
      <c r="D23" s="73" t="inlineStr">
        <is>
          <t>National Insurance and Social Security Service (NIS)</t>
        </is>
      </c>
      <c r="E23" s="73" t="inlineStr">
        <is>
          <t>https://www.nis.gov.bb/about-us/</t>
        </is>
      </c>
      <c r="F23" s="26" t="inlineStr">
        <is>
          <t>Sitio activo</t>
        </is>
      </c>
      <c r="G23" s="98" t="n"/>
    </row>
    <row r="24" ht="30" customHeight="1" s="182">
      <c r="A24" s="42" t="inlineStr">
        <is>
          <t>Barbados</t>
        </is>
      </c>
      <c r="B24" s="73" t="inlineStr">
        <is>
          <t>Caribe anglófono</t>
        </is>
      </c>
      <c r="C24" s="73" t="inlineStr">
        <is>
          <t>Escuelas de gobierno y administración pública</t>
        </is>
      </c>
      <c r="D24" s="73" t="inlineStr">
        <is>
          <t>BIMAP (Barbados Institute of Management and Productivity)</t>
        </is>
      </c>
      <c r="E24" s="73" t="inlineStr">
        <is>
          <t>https://www.bimapbb.com/index.php/programmes/courses</t>
        </is>
      </c>
      <c r="F24" s="26" t="inlineStr">
        <is>
          <t>CONFIRMADA: sitio activo con menú de programas (Certificate, Diploma, Bachelors, cursos)</t>
        </is>
      </c>
      <c r="G24" s="98" t="n"/>
    </row>
    <row r="25" ht="30" customHeight="1" s="182">
      <c r="A25" s="42" t="inlineStr">
        <is>
          <t>Barbados</t>
        </is>
      </c>
      <c r="B25" s="73" t="inlineStr">
        <is>
          <t>Caribe anglófono</t>
        </is>
      </c>
      <c r="C25" s="73" t="inlineStr">
        <is>
          <t>Sindicatos y confederaciones de trabajadores</t>
        </is>
      </c>
      <c r="D25" s="73" t="inlineStr">
        <is>
          <t>BWU (Barbados Workers' Union)</t>
        </is>
      </c>
      <c r="E25" s="73" t="inlineStr">
        <is>
          <t>https://www.barbadosworkersunion.org/aboutus</t>
        </is>
      </c>
      <c r="F25" s="26" t="inlineStr">
        <is>
          <t>CANDIDATA: sección 'AFFILIATES' existe dentro de About Us, contenido dinámico no confirmado por fetch</t>
        </is>
      </c>
      <c r="G25" s="98" t="n"/>
    </row>
    <row r="26" ht="30" customHeight="1" s="182">
      <c r="A26" s="42" t="inlineStr">
        <is>
          <t>Belice</t>
        </is>
      </c>
      <c r="B26" s="73" t="inlineStr">
        <is>
          <t>México / Centroamérica</t>
        </is>
      </c>
      <c r="C26" s="73" t="inlineStr">
        <is>
          <t>Universidades públicas</t>
        </is>
      </c>
      <c r="D26" s="73" t="inlineStr">
        <is>
          <t>Ministry of Education, Culture, Science and Technology</t>
        </is>
      </c>
      <c r="E26" s="73" t="inlineStr">
        <is>
          <t>listado no disponible</t>
        </is>
      </c>
      <c r="F26" s="26" t="inlineStr">
        <is>
          <t>Dominios responden pero contenido vacío al fetch; University of Belize es la institución pública principal</t>
        </is>
      </c>
      <c r="G26" s="98" t="n"/>
    </row>
    <row r="27" ht="30" customHeight="1" s="182">
      <c r="A27" s="42" t="inlineStr">
        <is>
          <t>Belice</t>
        </is>
      </c>
      <c r="B27" s="73" t="inlineStr">
        <is>
          <t>México / Centroamérica</t>
        </is>
      </c>
      <c r="C27" s="73" t="inlineStr">
        <is>
          <t>Formación técnica pública</t>
        </is>
      </c>
      <c r="D27" s="73" t="inlineStr">
        <is>
          <t>Ministry of Education, Culture, Science and Technology (ETES/ITVETs)</t>
        </is>
      </c>
      <c r="E27" s="73" t="inlineStr">
        <is>
          <t>listado no disponible</t>
        </is>
      </c>
      <c r="F27" s="26" t="inlineStr">
        <is>
          <t>Sección oficial de TVET visitada: 'Directory of TVETS' muestra 'Coming soon'</t>
        </is>
      </c>
      <c r="G27" s="98" t="n"/>
    </row>
    <row r="28" ht="30" customHeight="1" s="182">
      <c r="A28" s="42" t="inlineStr">
        <is>
          <t>Belice</t>
        </is>
      </c>
      <c r="B28" s="73" t="inlineStr">
        <is>
          <t>México / Centroamérica</t>
        </is>
      </c>
      <c r="C28" s="73" t="inlineStr">
        <is>
          <t>Organizaciones juveniles</t>
        </is>
      </c>
      <c r="D28" s="73" t="inlineStr">
        <is>
          <t>Department of Youth Services</t>
        </is>
      </c>
      <c r="E28" s="73" t="inlineStr">
        <is>
          <t>listado no disponible</t>
        </is>
      </c>
      <c r="F28" s="26" t="inlineStr">
        <is>
          <t>Sin institución con URL verificable; ningún sitio oficial respondió con contenido accesible</t>
        </is>
      </c>
      <c r="G28" s="98" t="n"/>
    </row>
    <row r="29" ht="30" customHeight="1" s="182">
      <c r="A29" s="42" t="inlineStr">
        <is>
          <t>Belice</t>
        </is>
      </c>
      <c r="B29" s="73" t="inlineStr">
        <is>
          <t>México / Centroamérica</t>
        </is>
      </c>
      <c r="C29" s="73" t="inlineStr">
        <is>
          <t>Asociaciones de seguridad social</t>
        </is>
      </c>
      <c r="D29" s="73" t="inlineStr">
        <is>
          <t>Social Security Board (SSB), Belize</t>
        </is>
      </c>
      <c r="E29" s="73" t="inlineStr">
        <is>
          <t>https://socialsecurity.org.bz/</t>
        </is>
      </c>
      <c r="F29" s="26" t="inlineStr">
        <is>
          <t>Sitio activo, con portal de autoservicio (My-SSB)</t>
        </is>
      </c>
      <c r="G29" s="98" t="n"/>
    </row>
    <row r="30" ht="30" customHeight="1" s="182">
      <c r="A30" s="42" t="inlineStr">
        <is>
          <t>Belice</t>
        </is>
      </c>
      <c r="B30" s="73" t="inlineStr">
        <is>
          <t>México / Centroamérica</t>
        </is>
      </c>
      <c r="C30" s="73" t="inlineStr">
        <is>
          <t>Escuelas de gobierno y administración pública</t>
        </is>
      </c>
      <c r="D30" s="73" t="inlineStr">
        <is>
          <t>No existe formalmente</t>
        </is>
      </c>
      <c r="E30" s="73" t="inlineStr">
        <is>
          <t>listado no disponible</t>
        </is>
      </c>
      <c r="F30" s="26" t="inlineStr">
        <is>
          <t>No se identificó instituto nacional dedicado a formación de funcionarios públicos</t>
        </is>
      </c>
      <c r="G30" s="98" t="n"/>
    </row>
    <row r="31" ht="30" customHeight="1" s="182">
      <c r="A31" s="42" t="inlineStr">
        <is>
          <t>Belice</t>
        </is>
      </c>
      <c r="B31" s="73" t="inlineStr">
        <is>
          <t>México / Centroamérica</t>
        </is>
      </c>
      <c r="C31" s="73" t="inlineStr">
        <is>
          <t>Sindicatos y confederaciones de trabajadores</t>
        </is>
      </c>
      <c r="D31" s="73" t="inlineStr">
        <is>
          <t>National Trade Union Congress of Belize (NTUCB)</t>
        </is>
      </c>
      <c r="E31" s="73" t="inlineStr">
        <is>
          <t>https://ntucb.org/affiliates/</t>
        </is>
      </c>
      <c r="F31" s="26" t="inlineStr">
        <is>
          <t>Página 'Affiliates' identificada: organismo paraguas de ~12 sindicatos</t>
        </is>
      </c>
      <c r="G31" s="98" t="n"/>
    </row>
    <row r="32" ht="30" customHeight="1" s="182">
      <c r="A32" s="37" t="inlineStr">
        <is>
          <t>Bolivia</t>
        </is>
      </c>
      <c r="B32" s="73" t="inlineStr">
        <is>
          <t>Región andina</t>
        </is>
      </c>
      <c r="C32" s="73" t="inlineStr">
        <is>
          <t>Universidades públicas</t>
        </is>
      </c>
      <c r="D32" s="73" t="inlineStr">
        <is>
          <t>CEUB (Comité Ejecutivo de la Universidad Boliviana)</t>
        </is>
      </c>
      <c r="E32" s="73" t="inlineStr">
        <is>
          <t>https://ceub.edu.bo/universidades-del-sistema/</t>
        </is>
      </c>
      <c r="F32" s="26" t="inlineStr">
        <is>
          <t>CANDIDATA: URL específica localizada, fetch no renderizó (requiere JS) — no confirmada visualmente</t>
        </is>
      </c>
      <c r="G32" s="98" t="inlineStr">
        <is>
          <t>check</t>
        </is>
      </c>
    </row>
    <row r="33" ht="30" customHeight="1" s="182">
      <c r="A33" s="37" t="inlineStr">
        <is>
          <t>Bolivia</t>
        </is>
      </c>
      <c r="B33" s="73" t="inlineStr">
        <is>
          <t>Región andina</t>
        </is>
      </c>
      <c r="C33" s="73" t="inlineStr">
        <is>
          <t>Formación técnica pública</t>
        </is>
      </c>
      <c r="D33" s="73" t="inlineStr">
        <is>
          <t>Ministerio de Educación – Viceministerio de Educación Superior de Formación Profesional</t>
        </is>
      </c>
      <c r="E33" s="73" t="inlineStr">
        <is>
          <t>https://www.minedu.gob.bo/files/documentos-normativos/VESFP/2024/reglamentos/GUIA-INSTITUTOS-2024-OCTUBRE.pdf</t>
        </is>
      </c>
      <c r="F33" s="26" t="inlineStr">
        <is>
          <t>PDF verificado con listado extenso por departamento/provincia/municipio</t>
        </is>
      </c>
      <c r="G33" s="98" t="inlineStr">
        <is>
          <t>36 de las 125</t>
        </is>
      </c>
    </row>
    <row r="34" ht="30" customHeight="1" s="182">
      <c r="A34" s="37" t="inlineStr">
        <is>
          <t>Bolivia</t>
        </is>
      </c>
      <c r="B34" s="73" t="inlineStr">
        <is>
          <t>Región andina</t>
        </is>
      </c>
      <c r="C34" s="73" t="inlineStr">
        <is>
          <t>Organizaciones juveniles</t>
        </is>
      </c>
      <c r="D34" s="73" t="inlineStr">
        <is>
          <t>Viceministerio de Igualdad de Oportunidades — Dirección Plurinacional de la Juventud (Sistema Plurinacional de Registro de Organizaciones y Agrupaciones Juveniles)</t>
        </is>
      </c>
      <c r="E34" s="73" t="inlineStr">
        <is>
          <t>listado no disponible</t>
        </is>
      </c>
      <c r="F34" s="26" t="inlineStr">
        <is>
          <t>Se confirmó la existencia del sistema de registro, pero no se encontró URL de directorio público navegable</t>
        </is>
      </c>
      <c r="G34" s="98" t="inlineStr">
        <is>
          <t>no disponible de lanera oficial</t>
        </is>
      </c>
    </row>
    <row r="35" ht="30" customHeight="1" s="182">
      <c r="A35" s="37" t="inlineStr">
        <is>
          <t>Bolivia</t>
        </is>
      </c>
      <c r="B35" s="73" t="inlineStr">
        <is>
          <t>Región andina</t>
        </is>
      </c>
      <c r="C35" s="73" t="inlineStr">
        <is>
          <t>Asociaciones de seguridad social</t>
        </is>
      </c>
      <c r="D35" s="73" t="inlineStr">
        <is>
          <t>Gestora Pública de la Seguridad Social de Largo Plazo</t>
        </is>
      </c>
      <c r="E35" s="73" t="inlineStr">
        <is>
          <t>https://www.gestora.bo/</t>
        </is>
      </c>
      <c r="F35" s="26" t="inlineStr">
        <is>
          <t>Entidad creada en 2023 (reemplazó a las AFP); sitio activo. Bolivia es miembro CISS</t>
        </is>
      </c>
      <c r="G35" s="98" t="inlineStr">
        <is>
          <t xml:space="preserve">1 unica </t>
        </is>
      </c>
    </row>
    <row r="36" ht="30" customHeight="1" s="182">
      <c r="A36" s="37" t="inlineStr">
        <is>
          <t>Bolivia</t>
        </is>
      </c>
      <c r="B36" s="73" t="inlineStr">
        <is>
          <t>Región andina</t>
        </is>
      </c>
      <c r="C36" s="73" t="inlineStr">
        <is>
          <t>Escuelas de gobierno y administración pública</t>
        </is>
      </c>
      <c r="D36" s="73" t="inlineStr">
        <is>
          <t>Escuela de Gestión Pública Plurinacional (EGPP)</t>
        </is>
      </c>
      <c r="E36" s="73" t="inlineStr">
        <is>
          <t>https://egpp.gob.bo/oferta-academica/</t>
        </is>
      </c>
      <c r="F36" s="26" t="inlineStr">
        <is>
          <t>Confirmado: entidad descentralizada, oferta de diplomados y cursos vigente para 2026</t>
        </is>
      </c>
      <c r="G36" s="98" t="inlineStr">
        <is>
          <t xml:space="preserve">1 verificada </t>
        </is>
      </c>
    </row>
    <row r="37" ht="30" customHeight="1" s="182">
      <c r="A37" s="37" t="inlineStr">
        <is>
          <t>Bolivia</t>
        </is>
      </c>
      <c r="B37" s="73" t="inlineStr">
        <is>
          <t>Región andina</t>
        </is>
      </c>
      <c r="C37" s="73" t="inlineStr">
        <is>
          <t>Sindicatos y confederaciones de trabajadores</t>
        </is>
      </c>
      <c r="D37" s="73" t="inlineStr">
        <is>
          <t>COB (Central Obrera Boliviana)</t>
        </is>
      </c>
      <c r="E37" s="73" t="inlineStr">
        <is>
          <t>https://cob.org.bo/centrales-obreras/</t>
        </is>
      </c>
      <c r="F37" s="26" t="inlineStr">
        <is>
          <t>CANDIDATA: página 'Centrales Obreras' (departamentales/regionales) confirmada por búsqueda, contenido dinámico no confirmado por fetch</t>
        </is>
      </c>
      <c r="G37" s="98" t="n"/>
    </row>
    <row r="38" ht="30" customHeight="1" s="182">
      <c r="A38" s="42" t="inlineStr">
        <is>
          <t>Brasil</t>
        </is>
      </c>
      <c r="B38" s="73" t="inlineStr">
        <is>
          <t>Cono Sur</t>
        </is>
      </c>
      <c r="C38" s="73" t="inlineStr">
        <is>
          <t>Universidades públicas</t>
        </is>
      </c>
      <c r="D38" s="73" t="inlineStr">
        <is>
          <t>e-MEC (Ministério da Educação) — Consulta Avançada + dataset abierto</t>
        </is>
      </c>
      <c r="E38" s="73" t="inlineStr">
        <is>
          <t>https://dados.gov.br/dados/conjuntos-dados/sistema-e-mec---instituicoes-de-educacao-superior-do-brasil</t>
        </is>
      </c>
      <c r="F38" s="26" t="inlineStr">
        <is>
          <t>CONFIRMADA: dataset descargable como alternativa a la interfaz JS del buscador</t>
        </is>
      </c>
      <c r="G38" s="98" t="n"/>
    </row>
    <row r="39" ht="30" customHeight="1" s="182">
      <c r="A39" s="42" t="inlineStr">
        <is>
          <t>Brasil</t>
        </is>
      </c>
      <c r="B39" s="73" t="inlineStr">
        <is>
          <t>Cono Sur</t>
        </is>
      </c>
      <c r="C39" s="73" t="inlineStr">
        <is>
          <t>Formación técnica pública</t>
        </is>
      </c>
      <c r="D39" s="73" t="inlineStr">
        <is>
          <t>SENAI (Sistema S / Portal da Indústria)</t>
        </is>
      </c>
      <c r="E39" s="73" t="inlineStr">
        <is>
          <t>https://www.portaldaindustria.com.br/senai/canais/transparencia/unidades-nos-estados/</t>
        </is>
      </c>
      <c r="F39" s="26" t="inlineStr">
        <is>
          <t>Buscador por estado/municipio existe pero listado carga por JavaScript; no se pudo confirmar contenido en fetch estático</t>
        </is>
      </c>
      <c r="G39" s="98" t="n"/>
    </row>
    <row r="40" ht="30" customHeight="1" s="182">
      <c r="A40" s="42" t="inlineStr">
        <is>
          <t>Brasil</t>
        </is>
      </c>
      <c r="B40" s="73" t="inlineStr">
        <is>
          <t>Cono Sur</t>
        </is>
      </c>
      <c r="C40" s="73" t="inlineStr">
        <is>
          <t>Organizaciones juveniles</t>
        </is>
      </c>
      <c r="D40" s="73" t="inlineStr">
        <is>
          <t>Secretaria Nacional de Juventude — Cadastro Nacional das Unidades de Juventude (Sinajuve)</t>
        </is>
      </c>
      <c r="E40" s="73" t="inlineStr">
        <is>
          <t>https://www.gov.br/secretariageral/pt-br/juventude/acoes-e-programas/cadastro-nacional-das-unidades-de-juventude</t>
        </is>
      </c>
      <c r="F40" s="26" t="inlineStr">
        <is>
          <t>Confirmada: enlaza a dashboard del registro nacional de entidades (Decreto 9.306/2018)</t>
        </is>
      </c>
      <c r="G40" s="98" t="n"/>
    </row>
    <row r="41" ht="30" customHeight="1" s="182">
      <c r="A41" s="42" t="inlineStr">
        <is>
          <t>Brasil</t>
        </is>
      </c>
      <c r="B41" s="73" t="inlineStr">
        <is>
          <t>Cono Sur</t>
        </is>
      </c>
      <c r="C41" s="73" t="inlineStr">
        <is>
          <t>Asociaciones de seguridad social</t>
        </is>
      </c>
      <c r="D41" s="73" t="inlineStr">
        <is>
          <t>Instituto Nacional do Seguro Social (INSS)</t>
        </is>
      </c>
      <c r="E41" s="73" t="inlineStr">
        <is>
          <t>https://www.gov.br/inss/pt-br</t>
        </is>
      </c>
      <c r="F41" s="26" t="inlineStr">
        <is>
          <t>Portal gov.br oficial y activo. Brasil es miembro CISS</t>
        </is>
      </c>
      <c r="G41" s="98" t="n"/>
    </row>
    <row r="42" ht="30" customHeight="1" s="182">
      <c r="A42" s="42" t="inlineStr">
        <is>
          <t>Brasil</t>
        </is>
      </c>
      <c r="B42" s="73" t="inlineStr">
        <is>
          <t>Cono Sur</t>
        </is>
      </c>
      <c r="C42" s="73" t="inlineStr">
        <is>
          <t>Escuelas de gobierno y administración pública</t>
        </is>
      </c>
      <c r="D42" s="73" t="inlineStr">
        <is>
          <t>Escola Nacional de Administração Pública (ENAP)</t>
        </is>
      </c>
      <c r="E42" s="73" t="inlineStr">
        <is>
          <t>https://www.enap.gov.br/index.php/pt/nossos-cursos</t>
        </is>
      </c>
      <c r="F42" s="26" t="inlineStr">
        <is>
          <t>Confirmado: escuela federal con oferta amplia de cursos y programas de carrera</t>
        </is>
      </c>
      <c r="G42" s="98" t="n"/>
    </row>
    <row r="43" ht="30" customHeight="1" s="182">
      <c r="A43" s="42" t="inlineStr">
        <is>
          <t>Brasil</t>
        </is>
      </c>
      <c r="B43" s="73" t="inlineStr">
        <is>
          <t>Cono Sur</t>
        </is>
      </c>
      <c r="C43" s="73" t="inlineStr">
        <is>
          <t>Sindicatos y confederaciones de trabajadores</t>
        </is>
      </c>
      <c r="D43" s="73" t="inlineStr">
        <is>
          <t>Central Única dos Trabalhadores (CUT)</t>
        </is>
      </c>
      <c r="E43" s="73" t="inlineStr">
        <is>
          <t>https://www.cut.org.br/entidades</t>
        </is>
      </c>
      <c r="F43" s="26" t="inlineStr">
        <is>
          <t>Página 'Entidades Nacionais' con listado de confederaciones/federaciones afiliadas. Movimiento fragmentado (CUT, Força Sindical, UGT, CTB)</t>
        </is>
      </c>
      <c r="G43" s="98" t="n"/>
    </row>
    <row r="44" ht="30" customHeight="1" s="182">
      <c r="A44" s="42" t="inlineStr">
        <is>
          <t>Chile</t>
        </is>
      </c>
      <c r="B44" s="73" t="inlineStr">
        <is>
          <t>Cono Sur</t>
        </is>
      </c>
      <c r="C44" s="73" t="inlineStr">
        <is>
          <t>Universidades públicas</t>
        </is>
      </c>
      <c r="D44" s="73" t="inlineStr">
        <is>
          <t>Ministerio de Educación — Subsecretaría de Educación Superior</t>
        </is>
      </c>
      <c r="E44" s="73" t="inlineStr">
        <is>
          <t>https://educacionsuperior.mineduc.cl/directorio-instituciones-ed-superior/</t>
        </is>
      </c>
      <c r="F44" s="26" t="inlineStr">
        <is>
          <t>Verificado: directorio descargable de universidades, CFT e IP con reconocimiento vigente</t>
        </is>
      </c>
      <c r="G44" s="98" t="n"/>
    </row>
    <row r="45" ht="30" customHeight="1" s="182">
      <c r="A45" s="42" t="inlineStr">
        <is>
          <t>Chile</t>
        </is>
      </c>
      <c r="B45" s="73" t="inlineStr">
        <is>
          <t>Cono Sur</t>
        </is>
      </c>
      <c r="C45" s="73" t="inlineStr">
        <is>
          <t>Formación técnica pública</t>
        </is>
      </c>
      <c r="D45" s="73" t="inlineStr">
        <is>
          <t>SENCE – Registro OTEC</t>
        </is>
      </c>
      <c r="E45" s="73" t="inlineStr">
        <is>
          <t>https://sence.gob.cl/organismos/otec</t>
        </is>
      </c>
      <c r="F45" s="26" t="inlineStr">
        <is>
          <t>Sin tabla HTML, pero ofrece Excel público y vigente con listado completo de OTEC activos</t>
        </is>
      </c>
      <c r="G45" s="98" t="n"/>
    </row>
    <row r="46" ht="30" customHeight="1" s="182">
      <c r="A46" s="42" t="inlineStr">
        <is>
          <t>Chile</t>
        </is>
      </c>
      <c r="B46" s="73" t="inlineStr">
        <is>
          <t>Cono Sur</t>
        </is>
      </c>
      <c r="C46" s="73" t="inlineStr">
        <is>
          <t>Organizaciones juveniles</t>
        </is>
      </c>
      <c r="D46" s="39" t="inlineStr">
        <is>
          <t>INJUV — Registro de Organización (extranet)</t>
        </is>
      </c>
      <c r="E46" s="40" t="inlineStr">
        <is>
          <t>no hay registro publico</t>
        </is>
      </c>
      <c r="F46" s="26" t="inlineStr">
        <is>
          <t>hubo que hacer una construccion con busquedas web</t>
        </is>
      </c>
      <c r="G46" s="98" t="n"/>
    </row>
    <row r="47" ht="30" customHeight="1" s="182">
      <c r="A47" s="42" t="inlineStr">
        <is>
          <t>Chile</t>
        </is>
      </c>
      <c r="B47" s="73" t="inlineStr">
        <is>
          <t>Cono Sur</t>
        </is>
      </c>
      <c r="C47" s="73" t="inlineStr">
        <is>
          <t>Asociaciones de seguridad social</t>
        </is>
      </c>
      <c r="D47" s="73" t="inlineStr">
        <is>
          <t>Instituto de Previsión Social (IPS)</t>
        </is>
      </c>
      <c r="E47" s="73" t="inlineStr">
        <is>
          <t>https://ips.gob.cl/servlet/internet/inicio/conozcanos/quienes-somos</t>
        </is>
      </c>
      <c r="F47" s="26" t="inlineStr">
        <is>
          <t>Sitio oficial activo, sección 'Quiénes somos' confirmada. Chile es miembro CISS</t>
        </is>
      </c>
      <c r="G47" s="98" t="n"/>
    </row>
    <row r="48" ht="30" customHeight="1" s="182">
      <c r="A48" s="42" t="inlineStr">
        <is>
          <t>Chile</t>
        </is>
      </c>
      <c r="B48" s="73" t="inlineStr">
        <is>
          <t>Cono Sur</t>
        </is>
      </c>
      <c r="C48" s="73" t="inlineStr">
        <is>
          <t>Escuelas de gobierno y administración pública</t>
        </is>
      </c>
      <c r="D48" s="73" t="inlineStr">
        <is>
          <t>Servicio Civil — Campus / plataforma 'Aprende SC'</t>
        </is>
      </c>
      <c r="E48" s="73" t="inlineStr">
        <is>
          <t>https://campus.serviciocivil.cl/course/index.php?categoryid=649</t>
        </is>
      </c>
      <c r="F48" s="26" t="inlineStr">
        <is>
          <t>CONFIRMADA: plataforma Moodle activa con categorías de cursos, incl. Modernización del Estado y Gestión Pública</t>
        </is>
      </c>
      <c r="G48" s="98" t="n"/>
    </row>
    <row r="49" ht="30" customHeight="1" s="182">
      <c r="A49" s="42" t="inlineStr">
        <is>
          <t>Chile</t>
        </is>
      </c>
      <c r="B49" s="73" t="inlineStr">
        <is>
          <t>Cono Sur</t>
        </is>
      </c>
      <c r="C49" s="73" t="inlineStr">
        <is>
          <t>Sindicatos y confederaciones de trabajadores</t>
        </is>
      </c>
      <c r="D49" s="73" t="inlineStr">
        <is>
          <t>CUT Chile</t>
        </is>
      </c>
      <c r="E49" s="73" t="inlineStr">
        <is>
          <t>https://cut.cl/web/category/afiliados/</t>
        </is>
      </c>
      <c r="F49" s="26" t="inlineStr">
        <is>
          <t>CANDIDATA: categoría 'Organizaciones Afiliados' activa (noticias de sus 533 organizaciones), no es directorio tabulado</t>
        </is>
      </c>
      <c r="G49" s="98" t="n"/>
    </row>
    <row r="50" ht="30" customHeight="1" s="182">
      <c r="A50" s="42" t="inlineStr">
        <is>
          <t>Colombia</t>
        </is>
      </c>
      <c r="B50" s="73" t="inlineStr">
        <is>
          <t>Región andina</t>
        </is>
      </c>
      <c r="C50" s="73" t="inlineStr">
        <is>
          <t>Universidades públicas</t>
        </is>
      </c>
      <c r="D50" s="73" t="inlineStr">
        <is>
          <t>Ministerio de Educación Nacional — SNIES</t>
        </is>
      </c>
      <c r="E50" s="73" t="inlineStr">
        <is>
          <t>https://snies.mineducacion.gov.co/portal/Informes-e-indicadores/Perfiles-de-las-Instituciones-de-Educacion-Superior/</t>
        </is>
      </c>
      <c r="F50" s="26" t="inlineStr">
        <is>
          <t>Verificado: tabla navegable con filtros por sector oficial/privado</t>
        </is>
      </c>
      <c r="G50" s="98" t="n"/>
    </row>
    <row r="51" ht="30" customHeight="1" s="182">
      <c r="A51" s="42" t="inlineStr">
        <is>
          <t>Colombia</t>
        </is>
      </c>
      <c r="B51" s="73" t="inlineStr">
        <is>
          <t>Región andina</t>
        </is>
      </c>
      <c r="C51" s="73" t="inlineStr">
        <is>
          <t>Formación técnica pública</t>
        </is>
      </c>
      <c r="D51" s="73" t="inlineStr">
        <is>
          <t>SENA</t>
        </is>
      </c>
      <c r="E51" s="73" t="inlineStr">
        <is>
          <t>https://caprendizaje.sena.edu.co/sgva/sgva_diseno/pag/ListaCentros.aspx</t>
        </is>
      </c>
      <c r="F51" s="26" t="inlineStr">
        <is>
          <t>Confirmada: tabla completa navegable con ~118 Centros de Formación por Regional</t>
        </is>
      </c>
      <c r="G51" s="98" t="n"/>
    </row>
    <row r="52" ht="30" customHeight="1" s="182">
      <c r="A52" s="42" t="inlineStr">
        <is>
          <t>Colombia</t>
        </is>
      </c>
      <c r="B52" s="73" t="inlineStr">
        <is>
          <t>Región andina</t>
        </is>
      </c>
      <c r="C52" s="73" t="inlineStr">
        <is>
          <t>Organizaciones juveniles</t>
        </is>
      </c>
      <c r="D52" s="73" t="inlineStr">
        <is>
          <t>Personería de Bogotá — Registro Público de Plataforma de Juventudes</t>
        </is>
      </c>
      <c r="E52" s="73" t="inlineStr">
        <is>
          <t>https://datosabiertos.bogota.gov.co/dataset/registro-publico-de-plataforma-de-juventudes</t>
        </is>
      </c>
      <c r="F52" s="26" t="inlineStr">
        <is>
          <t>CANDIDATA: dataset público descargable, pero es de alcance municipal (Bogotá), no un registro nacional de Colombia Joven</t>
        </is>
      </c>
      <c r="G52" s="98" t="n"/>
    </row>
    <row r="53" ht="30" customHeight="1" s="182">
      <c r="A53" s="42" t="inlineStr">
        <is>
          <t>Colombia</t>
        </is>
      </c>
      <c r="B53" s="73" t="inlineStr">
        <is>
          <t>Región andina</t>
        </is>
      </c>
      <c r="C53" s="73" t="inlineStr">
        <is>
          <t>Asociaciones de seguridad social</t>
        </is>
      </c>
      <c r="D53" s="73" t="inlineStr">
        <is>
          <t>Administradora Colombiana de Pensiones (Colpensiones)</t>
        </is>
      </c>
      <c r="E53" s="73" t="inlineStr">
        <is>
          <t>https://www.colpensiones.gov.co/</t>
        </is>
      </c>
      <c r="F53" s="26" t="inlineStr">
        <is>
          <t>Sitio oficial activo, con sede electrónica de trámites. Colombia es miembro CISS</t>
        </is>
      </c>
      <c r="G53" s="98" t="n"/>
    </row>
    <row r="54" ht="30" customHeight="1" s="182">
      <c r="A54" s="42" t="inlineStr">
        <is>
          <t>Colombia</t>
        </is>
      </c>
      <c r="B54" s="73" t="inlineStr">
        <is>
          <t>Región andina</t>
        </is>
      </c>
      <c r="C54" s="73" t="inlineStr">
        <is>
          <t>Escuelas de gobierno y administración pública</t>
        </is>
      </c>
      <c r="D54" s="73" t="inlineStr">
        <is>
          <t>Escuela Superior de Administración Pública (ESAP)</t>
        </is>
      </c>
      <c r="E54" s="73" t="inlineStr">
        <is>
          <t>https://sirecec3.esap.edu.co/Cliente/CursosEsap?tipo=AG</t>
        </is>
      </c>
      <c r="F54" s="26" t="inlineStr">
        <is>
          <t>Confirmado: institución universitaria pública nacional con sedes territoriales; sección 'Escuela de Alto Gobierno' verificada</t>
        </is>
      </c>
      <c r="G54" s="98" t="n"/>
    </row>
    <row r="55" ht="30" customHeight="1" s="182">
      <c r="A55" s="42" t="inlineStr">
        <is>
          <t>Colombia</t>
        </is>
      </c>
      <c r="B55" s="73" t="inlineStr">
        <is>
          <t>Región andina</t>
        </is>
      </c>
      <c r="C55" s="73" t="inlineStr">
        <is>
          <t>Sindicatos y confederaciones de trabajadores</t>
        </is>
      </c>
      <c r="D55" s="73" t="inlineStr">
        <is>
          <t>CUT Colombia (Central Unitaria de Trabajadores)</t>
        </is>
      </c>
      <c r="E55" s="73" t="inlineStr">
        <is>
          <t>https://cut.org.co/category/sindicatos/</t>
        </is>
      </c>
      <c r="F55" s="26" t="inlineStr">
        <is>
          <t>Categoría 'Sindicatos' con reportes de organizaciones afiliadas. Existen también CTC y CGT, pero CUT es dominante</t>
        </is>
      </c>
      <c r="G55" s="98" t="n"/>
    </row>
    <row r="56" ht="30" customHeight="1" s="182">
      <c r="A56" s="42" t="inlineStr">
        <is>
          <t>Costa Rica</t>
        </is>
      </c>
      <c r="B56" s="73" t="inlineStr">
        <is>
          <t>México / Centroamérica</t>
        </is>
      </c>
      <c r="C56" s="73" t="inlineStr">
        <is>
          <t>Universidades públicas</t>
        </is>
      </c>
      <c r="D56" s="73" t="inlineStr">
        <is>
          <t>CONARE (Consejo Nacional de Rectores)</t>
        </is>
      </c>
      <c r="E56" s="73" t="inlineStr">
        <is>
          <t>listado no disponible</t>
        </is>
      </c>
      <c r="F56" s="26" t="inlineStr">
        <is>
          <t>conare.ac.cr no respondió en los intentos de fetch (timeout); 5 universidades públicas fijas por ley</t>
        </is>
      </c>
      <c r="G56" s="98" t="inlineStr">
        <is>
          <t>Check</t>
        </is>
      </c>
    </row>
    <row r="57" ht="30" customHeight="1" s="182">
      <c r="A57" s="42" t="inlineStr">
        <is>
          <t>Costa Rica</t>
        </is>
      </c>
      <c r="B57" s="73" t="inlineStr">
        <is>
          <t>México / Centroamérica</t>
        </is>
      </c>
      <c r="C57" s="73" t="inlineStr">
        <is>
          <t>Formación técnica pública</t>
        </is>
      </c>
      <c r="D57" s="73" t="inlineStr">
        <is>
          <t>INA (Instituto Nacional de Aprendizaje)</t>
        </is>
      </c>
      <c r="E57" s="73" t="inlineStr">
        <is>
          <t>https://www.ina.ac.cr/SiteAssets/docs/PDF/Regionales_Centros_Formacion_INA.pdf</t>
        </is>
      </c>
      <c r="F57" s="26" t="inlineStr">
        <is>
          <t>CONFIRMADA: PDF oficial 'Unidades Regionales y Centros de Formación' (63 centros en 9 regionales)</t>
        </is>
      </c>
      <c r="G57" s="98" t="inlineStr">
        <is>
          <t>Check</t>
        </is>
      </c>
    </row>
    <row r="58" ht="30" customHeight="1" s="182">
      <c r="A58" s="42" t="inlineStr">
        <is>
          <t>Costa Rica</t>
        </is>
      </c>
      <c r="B58" s="73" t="inlineStr">
        <is>
          <t>México / Centroamérica</t>
        </is>
      </c>
      <c r="C58" s="73" t="inlineStr">
        <is>
          <t>Organizaciones juveniles</t>
        </is>
      </c>
      <c r="D58" s="73" t="inlineStr">
        <is>
          <t>Consejo de la Persona Joven (CPJ) — Red Nacional Consultiva de la Persona Joven</t>
        </is>
      </c>
      <c r="E58" s="73" t="inlineStr">
        <is>
          <t>https://cpj.go.cr/padrones/</t>
        </is>
      </c>
      <c r="F58" s="26" t="inlineStr">
        <is>
          <t>Confirmada: padrones de conformación de la Asamblea Nacional por periodo, con documentos descargables</t>
        </is>
      </c>
      <c r="G58" s="98" t="inlineStr">
        <is>
          <t>Check</t>
        </is>
      </c>
    </row>
    <row r="59" ht="30" customHeight="1" s="182">
      <c r="A59" s="42" t="inlineStr">
        <is>
          <t>Costa Rica</t>
        </is>
      </c>
      <c r="B59" s="73" t="inlineStr">
        <is>
          <t>México / Centroamérica</t>
        </is>
      </c>
      <c r="C59" s="73" t="inlineStr">
        <is>
          <t>Asociaciones de seguridad social</t>
        </is>
      </c>
      <c r="D59" s="73" t="inlineStr">
        <is>
          <t>Caja Costarricense de Seguro Social (CCSS)</t>
        </is>
      </c>
      <c r="E59" s="73" t="inlineStr">
        <is>
          <t>https://www.ccss.sa.cr/</t>
        </is>
      </c>
      <c r="F59" s="26" t="inlineStr">
        <is>
          <t>Sitio oficial activo con Oficina Virtual. Costa Rica es miembro CISS</t>
        </is>
      </c>
      <c r="G59" s="98" t="inlineStr">
        <is>
          <t>Check</t>
        </is>
      </c>
    </row>
    <row r="60" ht="30" customHeight="1" s="182">
      <c r="A60" s="42" t="inlineStr">
        <is>
          <t>Costa Rica</t>
        </is>
      </c>
      <c r="B60" s="73" t="inlineStr">
        <is>
          <t>México / Centroamérica</t>
        </is>
      </c>
      <c r="C60" s="39" t="inlineStr">
        <is>
          <t>Escuelas de gobierno y administración pública</t>
        </is>
      </c>
      <c r="D60" s="39" t="inlineStr">
        <is>
          <t>No existe formalmente a nivel estatal nacional (cuasi-equivalente: CICAP-UCR)</t>
        </is>
      </c>
      <c r="E60" s="39" t="inlineStr">
        <is>
          <t>listado no disponible</t>
        </is>
      </c>
      <c r="F60" s="26" t="inlineStr">
        <is>
          <t>No hay INAP gubernamental; CICAP es unidad de la Universidad de Costa Rica, no organismo estatal</t>
        </is>
      </c>
      <c r="G60" s="98" t="inlineStr">
        <is>
          <t>No existen</t>
        </is>
      </c>
    </row>
    <row r="61" ht="30" customHeight="1" s="182">
      <c r="A61" s="42" t="inlineStr">
        <is>
          <t>Costa Rica</t>
        </is>
      </c>
      <c r="B61" s="73" t="inlineStr">
        <is>
          <t>México / Centroamérica</t>
        </is>
      </c>
      <c r="C61" s="73" t="inlineStr">
        <is>
          <t>Sindicatos y confederaciones de trabajadores</t>
        </is>
      </c>
      <c r="D61" s="73" t="inlineStr">
        <is>
          <t>MTSS — Registro de Sindicatos (alternativa al no haber central única)</t>
        </is>
      </c>
      <c r="E61" s="73" t="inlineStr">
        <is>
          <t>https://www.mtss.go.cr/tramites-servicios/catalogo-tramites/sindicatos.html</t>
        </is>
      </c>
      <c r="F61" s="26" t="inlineStr">
        <is>
          <t>CANDIDATA: registro oficial gubernamental de sindicatos como alternativa, dado que no hay central dominante única</t>
        </is>
      </c>
      <c r="G61" s="98" t="inlineStr">
        <is>
          <t>Check</t>
        </is>
      </c>
    </row>
    <row r="62" ht="30" customHeight="1" s="182">
      <c r="A62" s="42" t="inlineStr">
        <is>
          <t>Cuba</t>
        </is>
      </c>
      <c r="B62" s="73" t="inlineStr">
        <is>
          <t>Caribe latino</t>
        </is>
      </c>
      <c r="C62" s="73" t="inlineStr">
        <is>
          <t>Universidades públicas</t>
        </is>
      </c>
      <c r="D62" s="73" t="inlineStr">
        <is>
          <t>MES – Ministerio de Educación Superior</t>
        </is>
      </c>
      <c r="E62" s="73" t="inlineStr">
        <is>
          <t>https://www.mes.gob.cu/instituciones-de-educacion-superior/</t>
        </is>
      </c>
      <c r="F62" s="26" t="inlineStr">
        <is>
          <t>Verificado: listado navegable de ~35 universidades y centros de ciencias médicas</t>
        </is>
      </c>
      <c r="G62" s="98" t="n"/>
    </row>
    <row r="63" ht="30" customHeight="1" s="182">
      <c r="A63" s="42" t="inlineStr">
        <is>
          <t>Cuba</t>
        </is>
      </c>
      <c r="B63" s="73" t="inlineStr">
        <is>
          <t>Caribe latino</t>
        </is>
      </c>
      <c r="C63" s="73" t="inlineStr">
        <is>
          <t>Formación técnica pública</t>
        </is>
      </c>
      <c r="D63" s="73" t="inlineStr">
        <is>
          <t>MINED – Educación Técnica y Profesional</t>
        </is>
      </c>
      <c r="E63" s="73" t="inlineStr">
        <is>
          <t>listado no disponible</t>
        </is>
      </c>
      <c r="F63" s="26" t="inlineStr">
        <is>
          <t>Página institucional visitada, sin directorio navegable de institutos politécnicos</t>
        </is>
      </c>
      <c r="G63" s="98" t="n"/>
    </row>
    <row r="64" ht="30" customHeight="1" s="182">
      <c r="A64" s="42" t="inlineStr">
        <is>
          <t>Cuba</t>
        </is>
      </c>
      <c r="B64" s="73" t="inlineStr">
        <is>
          <t>Caribe latino</t>
        </is>
      </c>
      <c r="C64" s="73" t="inlineStr">
        <is>
          <t>Organizaciones juveniles</t>
        </is>
      </c>
      <c r="D64" s="73" t="inlineStr">
        <is>
          <t>Unión de Jóvenes Comunistas (UJC)</t>
        </is>
      </c>
      <c r="E64" s="73" t="inlineStr">
        <is>
          <t>listado no disponible</t>
        </is>
      </c>
      <c r="F64" s="26" t="inlineStr">
        <is>
          <t>Organización política juvenil única; no existe registro/directorio público de organizaciones juveniles independientes</t>
        </is>
      </c>
      <c r="G64" s="98" t="n"/>
    </row>
    <row r="65" ht="30" customHeight="1" s="182">
      <c r="A65" s="42" t="inlineStr">
        <is>
          <t>Cuba</t>
        </is>
      </c>
      <c r="B65" s="73" t="inlineStr">
        <is>
          <t>Caribe latino</t>
        </is>
      </c>
      <c r="C65" s="73" t="inlineStr">
        <is>
          <t>Asociaciones de seguridad social</t>
        </is>
      </c>
      <c r="D65" s="73" t="inlineStr">
        <is>
          <t>Instituto Nacional de Seguridad Social (INASS), bajo Ministerio de Trabajo y Seguridad Social</t>
        </is>
      </c>
      <c r="E65" s="73" t="inlineStr">
        <is>
          <t>listado no disponible</t>
        </is>
      </c>
      <c r="F65" s="26" t="inlineStr">
        <is>
          <t>No se localizó sitio propio funcional del INASS; solo página del Ministerio (mtss.gob.cu). Cuba es miembro CISS</t>
        </is>
      </c>
      <c r="G65" s="98" t="n"/>
    </row>
    <row r="66" ht="30" customHeight="1" s="182">
      <c r="A66" s="42" t="inlineStr">
        <is>
          <t>Cuba</t>
        </is>
      </c>
      <c r="B66" s="73" t="inlineStr">
        <is>
          <t>Caribe latino</t>
        </is>
      </c>
      <c r="C66" s="73" t="inlineStr">
        <is>
          <t>Escuelas de gobierno y administración pública</t>
        </is>
      </c>
      <c r="D66" s="73" t="inlineStr">
        <is>
          <t>No existe equivalente civil (Escuela Superior del PCC 'Ñico López')</t>
        </is>
      </c>
      <c r="E66" s="73" t="inlineStr">
        <is>
          <t>listado no disponible</t>
        </is>
      </c>
      <c r="F66" s="26" t="inlineStr">
        <is>
          <t>Formación de cuadros vía estructura del Partido Comunista, no un instituto de función pública civil</t>
        </is>
      </c>
      <c r="G66" s="98" t="n"/>
    </row>
    <row r="67" ht="30" customHeight="1" s="182">
      <c r="A67" s="42" t="inlineStr">
        <is>
          <t>Cuba</t>
        </is>
      </c>
      <c r="B67" s="73" t="inlineStr">
        <is>
          <t>Caribe latino</t>
        </is>
      </c>
      <c r="C67" s="73" t="inlineStr">
        <is>
          <t>Sindicatos y confederaciones de trabajadores</t>
        </is>
      </c>
      <c r="D67" s="73" t="inlineStr">
        <is>
          <t>Central de Trabajadores de Cuba (CTC)</t>
        </is>
      </c>
      <c r="E67" s="73" t="inlineStr">
        <is>
          <t>listado no disponible</t>
        </is>
      </c>
      <c r="F67" s="26" t="inlineStr">
        <is>
          <t>Única central reconocida oficialmente; sitio histórico caído desde 2017, trabajadores.cu desactualizado</t>
        </is>
      </c>
      <c r="G67" s="98" t="n"/>
    </row>
    <row r="68" ht="30" customHeight="1" s="182">
      <c r="A68" s="42" t="inlineStr">
        <is>
          <t>Dominica</t>
        </is>
      </c>
      <c r="B68" s="73" t="inlineStr">
        <is>
          <t>Caribe anglófono</t>
        </is>
      </c>
      <c r="C68" s="73" t="inlineStr">
        <is>
          <t>Universidades públicas</t>
        </is>
      </c>
      <c r="D68" s="73" t="inlineStr">
        <is>
          <t>National Accreditation Board (NAB)</t>
        </is>
      </c>
      <c r="E68" s="73" t="inlineStr">
        <is>
          <t>https://nab.gov.dm/services/accreditation/accredited-institutions</t>
        </is>
      </c>
      <c r="F68" s="26" t="inlineStr">
        <is>
          <t>CONFIRMADA por fetch directo: tabla de instituciones acreditadas (Dominica no tiene universidad pública propia)</t>
        </is>
      </c>
      <c r="G68" s="98" t="n"/>
    </row>
    <row r="69" ht="30" customHeight="1" s="182">
      <c r="A69" s="42" t="inlineStr">
        <is>
          <t>Dominica</t>
        </is>
      </c>
      <c r="B69" s="73" t="inlineStr">
        <is>
          <t>Caribe anglófono</t>
        </is>
      </c>
      <c r="C69" s="73" t="inlineStr">
        <is>
          <t>Formación técnica pública</t>
        </is>
      </c>
      <c r="D69" s="73" t="inlineStr">
        <is>
          <t>Ministry of Education / Dominica TVET Council</t>
        </is>
      </c>
      <c r="E69" s="73" t="inlineStr">
        <is>
          <t>listado no disponible</t>
        </is>
      </c>
      <c r="F69" s="26" t="inlineStr">
        <is>
          <t>Página TVET del Ministerio con solo texto descriptivo, sin listado de instituciones</t>
        </is>
      </c>
      <c r="G69" s="98" t="n"/>
    </row>
    <row r="70" ht="30" customHeight="1" s="182">
      <c r="A70" s="42" t="inlineStr">
        <is>
          <t>Dominica</t>
        </is>
      </c>
      <c r="B70" s="73" t="inlineStr">
        <is>
          <t>Caribe anglófono</t>
        </is>
      </c>
      <c r="C70" s="73" t="inlineStr">
        <is>
          <t>Organizaciones juveniles</t>
        </is>
      </c>
      <c r="D70" s="73" t="inlineStr">
        <is>
          <t>National Youth Council of Dominica (Youth Development Division)</t>
        </is>
      </c>
      <c r="E70" s="73" t="inlineStr">
        <is>
          <t>listado no disponible</t>
        </is>
      </c>
      <c r="F70" s="26" t="inlineStr">
        <is>
          <t>Selector por distrito existe pero listado carga vía JS/AJAX; fetch solo mostró 'Loading data...'</t>
        </is>
      </c>
      <c r="G70" s="98" t="n"/>
    </row>
    <row r="71" ht="30" customHeight="1" s="182">
      <c r="A71" s="42" t="inlineStr">
        <is>
          <t>Dominica</t>
        </is>
      </c>
      <c r="B71" s="73" t="inlineStr">
        <is>
          <t>Caribe anglófono</t>
        </is>
      </c>
      <c r="C71" s="73" t="inlineStr">
        <is>
          <t>Asociaciones de seguridad social</t>
        </is>
      </c>
      <c r="D71" s="73" t="inlineStr">
        <is>
          <t>Dominica Social Security (DSS)</t>
        </is>
      </c>
      <c r="E71" s="73" t="inlineStr">
        <is>
          <t>https://dss.dm/</t>
        </is>
      </c>
      <c r="F71" s="26" t="inlineStr">
        <is>
          <t>Sitio activo, verificado por búsqueda</t>
        </is>
      </c>
      <c r="G71" s="98" t="n"/>
    </row>
    <row r="72" ht="30" customHeight="1" s="182">
      <c r="A72" s="42" t="inlineStr">
        <is>
          <t>Dominica</t>
        </is>
      </c>
      <c r="B72" s="73" t="inlineStr">
        <is>
          <t>Caribe anglófono</t>
        </is>
      </c>
      <c r="C72" s="73" t="inlineStr">
        <is>
          <t>Escuelas de gobierno y administración pública</t>
        </is>
      </c>
      <c r="D72" s="73" t="inlineStr">
        <is>
          <t>No existe formalmente</t>
        </is>
      </c>
      <c r="E72" s="73" t="inlineStr">
        <is>
          <t>listado no disponible</t>
        </is>
      </c>
      <c r="F72" s="26" t="inlineStr">
        <is>
          <t>Sin evidencia de instituto nacional; Estado OECS, formación vía organismos regionales</t>
        </is>
      </c>
      <c r="G72" s="98" t="n"/>
    </row>
    <row r="73" ht="30" customHeight="1" s="182">
      <c r="A73" s="42" t="inlineStr">
        <is>
          <t>Dominica</t>
        </is>
      </c>
      <c r="B73" s="73" t="inlineStr">
        <is>
          <t>Caribe anglófono</t>
        </is>
      </c>
      <c r="C73" s="73" t="inlineStr">
        <is>
          <t>Sindicatos y confederaciones de trabajadores</t>
        </is>
      </c>
      <c r="D73" s="73" t="inlineStr">
        <is>
          <t>Dominica Trade Union (DTU)</t>
        </is>
      </c>
      <c r="E73" s="73" t="inlineStr">
        <is>
          <t>listado no disponible</t>
        </is>
      </c>
      <c r="F73" s="26" t="inlineStr">
        <is>
          <t>Movimiento muy débil y fragmentado; DTU (1945, afiliada ITUC) redujo drásticamente su membresía, sin sitio funcional</t>
        </is>
      </c>
      <c r="G73" s="98" t="n"/>
    </row>
    <row r="74" ht="30" customHeight="1" s="182">
      <c r="A74" s="42" t="inlineStr">
        <is>
          <t>Ecuador</t>
        </is>
      </c>
      <c r="B74" s="73" t="inlineStr">
        <is>
          <t>Región andina</t>
        </is>
      </c>
      <c r="C74" s="73" t="inlineStr">
        <is>
          <t>Universidades públicas</t>
        </is>
      </c>
      <c r="D74" s="73" t="inlineStr">
        <is>
          <t>CES (Consejo de Educación Superior)</t>
        </is>
      </c>
      <c r="E74" s="73" t="inlineStr">
        <is>
          <t>https://www.ces.gob.ec/?page_id=328</t>
        </is>
      </c>
      <c r="F74" s="26" t="inlineStr">
        <is>
          <t>Verificado: tabla de 34 universidades/escuelas politécnicas públicas con código, provincia y cantón</t>
        </is>
      </c>
      <c r="G74" s="98" t="inlineStr">
        <is>
          <t>Check</t>
        </is>
      </c>
    </row>
    <row r="75" ht="30" customHeight="1" s="182">
      <c r="A75" s="42" t="inlineStr">
        <is>
          <t>Ecuador</t>
        </is>
      </c>
      <c r="B75" s="73" t="inlineStr">
        <is>
          <t>Región andina</t>
        </is>
      </c>
      <c r="C75" s="73" t="inlineStr">
        <is>
          <t>Formación técnica pública</t>
        </is>
      </c>
      <c r="D75" s="73" t="inlineStr">
        <is>
          <t>SECAP</t>
        </is>
      </c>
      <c r="E75" s="73" t="inlineStr">
        <is>
          <t>https://www.secap.gob.ec/nuestros-centros/</t>
        </is>
      </c>
      <c r="F75" s="26" t="inlineStr">
        <is>
          <t>CANDIDATA: página 'Nuestros Centros' confirmada por búsqueda, fetch directo vacío (posible JS)</t>
        </is>
      </c>
      <c r="G75" s="98" t="inlineStr">
        <is>
          <t>Check</t>
        </is>
      </c>
    </row>
    <row r="76" ht="30" customHeight="1" s="182">
      <c r="A76" s="42" t="inlineStr">
        <is>
          <t>Ecuador</t>
        </is>
      </c>
      <c r="B76" s="73" t="inlineStr">
        <is>
          <t>Región andina</t>
        </is>
      </c>
      <c r="C76" s="73" t="inlineStr">
        <is>
          <t>Organizaciones juveniles</t>
        </is>
      </c>
      <c r="D76" s="73" t="inlineStr">
        <is>
          <t>Consejo Nacional para la Igualdad Intergeneracional (CNII)</t>
        </is>
      </c>
      <c r="E76" s="73" t="inlineStr">
        <is>
          <t>https://www.igualdad.gob.ec/directorio-servicios-sociales/</t>
        </is>
      </c>
      <c r="F76" s="26" t="inlineStr">
        <is>
          <t>CANDIDATA: 'Directorio de Servicios Sociales' del CNII, es de servicios sociales en general, no específico de organizaciones juveniles</t>
        </is>
      </c>
      <c r="G76" s="98" t="inlineStr">
        <is>
          <t>Check</t>
        </is>
      </c>
    </row>
    <row r="77" ht="30" customHeight="1" s="182">
      <c r="A77" s="42" t="inlineStr">
        <is>
          <t>Ecuador</t>
        </is>
      </c>
      <c r="B77" s="73" t="inlineStr">
        <is>
          <t>Región andina</t>
        </is>
      </c>
      <c r="C77" s="73" t="inlineStr">
        <is>
          <t>Asociaciones de seguridad social</t>
        </is>
      </c>
      <c r="D77" s="73" t="inlineStr">
        <is>
          <t>Instituto Ecuatoriano de Seguridad Social (IESS)</t>
        </is>
      </c>
      <c r="E77" s="73" t="inlineStr">
        <is>
          <t>https://www.iess.gob.ec/</t>
        </is>
      </c>
      <c r="F77" s="26" t="inlineStr">
        <is>
          <t>Sitio oficial activo. Ecuador es miembro CISS</t>
        </is>
      </c>
      <c r="G77" s="98" t="inlineStr">
        <is>
          <t xml:space="preserve">Check </t>
        </is>
      </c>
    </row>
    <row r="78" ht="30" customHeight="1" s="182">
      <c r="A78" s="42" t="inlineStr">
        <is>
          <t>Ecuador</t>
        </is>
      </c>
      <c r="B78" s="73" t="inlineStr">
        <is>
          <t>Región andina</t>
        </is>
      </c>
      <c r="C78" s="73" t="inlineStr">
        <is>
          <t>Escuelas de gobierno y administración pública</t>
        </is>
      </c>
      <c r="D78" s="73" t="inlineStr">
        <is>
          <t>Instituto de Altos Estudios Nacionales (IAEN)</t>
        </is>
      </c>
      <c r="E78" s="73" t="inlineStr">
        <is>
          <t>https://www.iaen.edu.ec/</t>
        </is>
      </c>
      <c r="F78" s="26" t="inlineStr">
        <is>
          <t>Confirmado: universidad de posgrado del Estado orientada a formación de servidores públicos, 31+ programas</t>
        </is>
      </c>
      <c r="G78" s="98" t="inlineStr">
        <is>
          <t xml:space="preserve">Check </t>
        </is>
      </c>
    </row>
    <row r="79" ht="30" customHeight="1" s="182">
      <c r="A79" s="42" t="inlineStr">
        <is>
          <t>Ecuador</t>
        </is>
      </c>
      <c r="B79" s="73" t="inlineStr">
        <is>
          <t>Región andina</t>
        </is>
      </c>
      <c r="C79" s="73" t="inlineStr">
        <is>
          <t>Sindicatos y confederaciones de trabajadores</t>
        </is>
      </c>
      <c r="D79" s="73" t="inlineStr">
        <is>
          <t>Fragmentado: CEOSL, CTE y CEDOCUT</t>
        </is>
      </c>
      <c r="E79" s="73" t="inlineStr">
        <is>
          <t>https://cedocut.org.ec/seccion/filiales/</t>
        </is>
      </c>
      <c r="F79" s="26" t="inlineStr">
        <is>
          <t>CEDOCUT tiene sección 'Filiales' activa y actualizada. CEOSL sin sitio accesible. Sin central única dominante</t>
        </is>
      </c>
      <c r="G79" s="98" t="inlineStr">
        <is>
          <t xml:space="preserve">Check </t>
        </is>
      </c>
    </row>
    <row r="80" ht="30" customHeight="1" s="182">
      <c r="A80" s="42" t="inlineStr">
        <is>
          <t>El Salvador</t>
        </is>
      </c>
      <c r="B80" s="73" t="inlineStr">
        <is>
          <t>México / Centroamérica</t>
        </is>
      </c>
      <c r="C80" s="73" t="inlineStr">
        <is>
          <t>Universidades públicas</t>
        </is>
      </c>
      <c r="D80" s="73" t="inlineStr">
        <is>
          <t>MINEDUCYT</t>
        </is>
      </c>
      <c r="E80" s="73" t="inlineStr">
        <is>
          <t>https://www.mined.gob.sv/descarga/instituciones2021.pdf</t>
        </is>
      </c>
      <c r="F80" s="26" t="inlineStr">
        <is>
          <t>CANDIDATA: PDF descargable con listado, pero data de 2021, no hay versión más reciente localizada</t>
        </is>
      </c>
      <c r="G80" s="98" t="n"/>
    </row>
    <row r="81" ht="30" customHeight="1" s="182">
      <c r="A81" s="42" t="inlineStr">
        <is>
          <t>El Salvador</t>
        </is>
      </c>
      <c r="B81" s="73" t="inlineStr">
        <is>
          <t>México / Centroamérica</t>
        </is>
      </c>
      <c r="C81" s="73" t="inlineStr">
        <is>
          <t>Formación técnica pública</t>
        </is>
      </c>
      <c r="D81" s="73" t="inlineStr">
        <is>
          <t>INSAFORP</t>
        </is>
      </c>
      <c r="E81" s="73" t="inlineStr">
        <is>
          <t>https://www.insaforp.org.sv/index.php/112-informacion-y-estudio/218-ver-listado-completo?showall=1</t>
        </is>
      </c>
      <c r="F81" s="26" t="inlineStr">
        <is>
          <t>CANDIDATA: página 'Ver listado completo' localizada, fetch y Wayback no confirmaron contenido</t>
        </is>
      </c>
      <c r="G81" s="98" t="n"/>
    </row>
    <row r="82" ht="30" customHeight="1" s="182">
      <c r="A82" s="42" t="inlineStr">
        <is>
          <t>El Salvador</t>
        </is>
      </c>
      <c r="B82" s="73" t="inlineStr">
        <is>
          <t>México / Centroamérica</t>
        </is>
      </c>
      <c r="C82" s="73" t="inlineStr">
        <is>
          <t>Organizaciones juveniles</t>
        </is>
      </c>
      <c r="D82" s="73" t="inlineStr">
        <is>
          <t>INJUVE / Observatorio Juventudes Rurales SICA</t>
        </is>
      </c>
      <c r="E82" s="73" t="inlineStr">
        <is>
          <t>https://www.juventudesrurales.org/biblioteca/directorio-de-organizaciones-y-redes-juveniles-de-el-salvador/</t>
        </is>
      </c>
      <c r="F82" s="26" t="inlineStr">
        <is>
          <t>CANDIDATA: 'Directorio de Organizaciones y Redes Juveniles de El Salvador' (2021, SICA/FUNDE), fuente de tercero vinculada a INJUVE</t>
        </is>
      </c>
      <c r="G82" s="98" t="n"/>
    </row>
    <row r="83" ht="30" customHeight="1" s="182">
      <c r="A83" s="42" t="inlineStr">
        <is>
          <t>El Salvador</t>
        </is>
      </c>
      <c r="B83" s="73" t="inlineStr">
        <is>
          <t>México / Centroamérica</t>
        </is>
      </c>
      <c r="C83" s="73" t="inlineStr">
        <is>
          <t>Asociaciones de seguridad social</t>
        </is>
      </c>
      <c r="D83" s="73" t="inlineStr">
        <is>
          <t>Instituto Salvadoreño del Seguro Social (ISSS)</t>
        </is>
      </c>
      <c r="E83" s="73" t="inlineStr">
        <is>
          <t>https://www.isss.gob.sv/</t>
        </is>
      </c>
      <c r="F83" s="26" t="inlineStr">
        <is>
          <t>Sitio oficial activo, con oficina virtual. El Salvador es miembro CISS</t>
        </is>
      </c>
      <c r="G83" s="98" t="n"/>
    </row>
    <row r="84" ht="30" customHeight="1" s="182">
      <c r="A84" s="42" t="inlineStr">
        <is>
          <t>El Salvador</t>
        </is>
      </c>
      <c r="B84" s="73" t="inlineStr">
        <is>
          <t>México / Centroamérica</t>
        </is>
      </c>
      <c r="C84" s="73" t="inlineStr">
        <is>
          <t>Escuelas de gobierno y administración pública</t>
        </is>
      </c>
      <c r="D84" s="73" t="inlineStr">
        <is>
          <t>Escuela Superior de Innovación en la Administración Pública (ESIAP)</t>
        </is>
      </c>
      <c r="E84" s="73" t="inlineStr">
        <is>
          <t>https://esiap.gob.sv/</t>
        </is>
      </c>
      <c r="F84" s="26" t="inlineStr">
        <is>
          <t>Confirmado: entidad de la Presidencia creada en 2021, con programas activos 2025-2026</t>
        </is>
      </c>
      <c r="G84" s="98" t="n"/>
    </row>
    <row r="85" ht="30" customHeight="1" s="182">
      <c r="A85" s="42" t="inlineStr">
        <is>
          <t>El Salvador</t>
        </is>
      </c>
      <c r="B85" s="73" t="inlineStr">
        <is>
          <t>México / Centroamérica</t>
        </is>
      </c>
      <c r="C85" s="73" t="inlineStr">
        <is>
          <t>Sindicatos y confederaciones de trabajadores</t>
        </is>
      </c>
      <c r="D85" s="73" t="inlineStr">
        <is>
          <t>Central Autónoma de Trabajadores Salvadoreños (CATS)</t>
        </is>
      </c>
      <c r="E85" s="73" t="inlineStr">
        <is>
          <t>listado no disponible</t>
        </is>
      </c>
      <c r="F85" s="26" t="inlineStr">
        <is>
          <t>Movimiento fragmentado (CATS, CGTSAL, CTS, CTD); CATS es la más citada internacionalmente, sin sitio web funcional localizado</t>
        </is>
      </c>
      <c r="G85" s="98" t="n"/>
    </row>
    <row r="86" ht="30" customHeight="1" s="182">
      <c r="A86" s="42" t="inlineStr">
        <is>
          <t>Granada</t>
        </is>
      </c>
      <c r="B86" s="73" t="inlineStr">
        <is>
          <t>Caribe anglófono</t>
        </is>
      </c>
      <c r="C86" s="73" t="inlineStr">
        <is>
          <t>Universidades públicas</t>
        </is>
      </c>
      <c r="D86" s="73" t="inlineStr">
        <is>
          <t>Grenada National Accreditation Board (GNAB)</t>
        </is>
      </c>
      <c r="E86" s="73" t="inlineStr">
        <is>
          <t>https://accreditation.gd/registry-of-recognized-institutions/</t>
        </is>
      </c>
      <c r="F86" s="26" t="inlineStr">
        <is>
          <t>CONFIRMADA: registro público según Accreditation Act 2011, con contenido real</t>
        </is>
      </c>
      <c r="G86" s="98" t="n"/>
    </row>
    <row r="87" ht="30" customHeight="1" s="182">
      <c r="A87" s="42" t="inlineStr">
        <is>
          <t>Granada</t>
        </is>
      </c>
      <c r="B87" s="73" t="inlineStr">
        <is>
          <t>Caribe anglófono</t>
        </is>
      </c>
      <c r="C87" s="73" t="inlineStr">
        <is>
          <t>Formación técnica pública</t>
        </is>
      </c>
      <c r="D87" s="73" t="inlineStr">
        <is>
          <t>Grenada National Training Agency / GCTVET</t>
        </is>
      </c>
      <c r="E87" s="73" t="inlineStr">
        <is>
          <t>listado no disponible</t>
        </is>
      </c>
      <c r="F87" s="26" t="inlineStr">
        <is>
          <t>GCTVET solo tiene información institucional; grenadanta.gd devolvió respuesta vacía</t>
        </is>
      </c>
      <c r="G87" s="98" t="n"/>
    </row>
    <row r="88" ht="30" customHeight="1" s="182">
      <c r="A88" s="42" t="inlineStr">
        <is>
          <t>Granada</t>
        </is>
      </c>
      <c r="B88" s="73" t="inlineStr">
        <is>
          <t>Caribe anglófono</t>
        </is>
      </c>
      <c r="C88" s="73" t="inlineStr">
        <is>
          <t>Organizaciones juveniles</t>
        </is>
      </c>
      <c r="D88" s="73" t="inlineStr">
        <is>
          <t>Ministry of Sports and Youth Affairs; National Youth Organisation (NYO, no gubernamental)</t>
        </is>
      </c>
      <c r="E88" s="73" t="inlineStr">
        <is>
          <t>listado no disponible</t>
        </is>
      </c>
      <c r="F88" s="26" t="inlineStr">
        <is>
          <t>Sitio ministerial solo institucional, sin subpágina de red/directorio tras revisar menú</t>
        </is>
      </c>
      <c r="G88" s="98" t="n"/>
    </row>
    <row r="89" ht="30" customHeight="1" s="182">
      <c r="A89" s="42" t="inlineStr">
        <is>
          <t>Granada</t>
        </is>
      </c>
      <c r="B89" s="73" t="inlineStr">
        <is>
          <t>Caribe anglófono</t>
        </is>
      </c>
      <c r="C89" s="73" t="inlineStr">
        <is>
          <t>Asociaciones de seguridad social</t>
        </is>
      </c>
      <c r="D89" s="73" t="inlineStr">
        <is>
          <t>Grenada National Insurance Scheme (NIS)</t>
        </is>
      </c>
      <c r="E89" s="73" t="inlineStr">
        <is>
          <t>https://nisgrenada.org/</t>
        </is>
      </c>
      <c r="F89" s="26" t="inlineStr">
        <is>
          <t>Sitio activo, verificado por búsqueda</t>
        </is>
      </c>
      <c r="G89" s="98" t="n"/>
    </row>
    <row r="90" ht="30" customHeight="1" s="182">
      <c r="A90" s="42" t="inlineStr">
        <is>
          <t>Granada</t>
        </is>
      </c>
      <c r="B90" s="73" t="inlineStr">
        <is>
          <t>Caribe anglófono</t>
        </is>
      </c>
      <c r="C90" s="73" t="inlineStr">
        <is>
          <t>Escuelas de gobierno y administración pública</t>
        </is>
      </c>
      <c r="D90" s="73" t="inlineStr">
        <is>
          <t>No existe formalmente</t>
        </is>
      </c>
      <c r="E90" s="73" t="inlineStr">
        <is>
          <t>listado no disponible</t>
        </is>
      </c>
      <c r="F90" s="26" t="inlineStr">
        <is>
          <t>Sin evidencia de instituto nacional; Estado OECS pequeño</t>
        </is>
      </c>
      <c r="G90" s="98" t="n"/>
    </row>
    <row r="91" ht="30" customHeight="1" s="182">
      <c r="A91" s="42" t="inlineStr">
        <is>
          <t>Granada</t>
        </is>
      </c>
      <c r="B91" s="73" t="inlineStr">
        <is>
          <t>Caribe anglófono</t>
        </is>
      </c>
      <c r="C91" s="73" t="inlineStr">
        <is>
          <t>Sindicatos y confederaciones de trabajadores</t>
        </is>
      </c>
      <c r="D91" s="73" t="inlineStr">
        <is>
          <t>Grenada Trades Union Council (GTUC)</t>
        </is>
      </c>
      <c r="E91" s="73" t="inlineStr">
        <is>
          <t>listado no disponible</t>
        </is>
      </c>
      <c r="F91" s="26" t="inlineStr">
        <is>
          <t>Central única representativa (1955, afiliada ITUC); sitio no accesible</t>
        </is>
      </c>
      <c r="G91" s="98" t="n"/>
    </row>
    <row r="92" ht="30" customHeight="1" s="182">
      <c r="A92" s="42" t="inlineStr">
        <is>
          <t>Guatemala</t>
        </is>
      </c>
      <c r="B92" s="73" t="inlineStr">
        <is>
          <t>México / Centroamérica</t>
        </is>
      </c>
      <c r="C92" s="73" t="inlineStr">
        <is>
          <t>Universidades públicas</t>
        </is>
      </c>
      <c r="D92" s="73" t="inlineStr">
        <is>
          <t>USAC (Universidad de San Carlos de Guatemala)</t>
        </is>
      </c>
      <c r="E92" s="73" t="inlineStr">
        <is>
          <t>https://portal.usac.edu.gt/</t>
        </is>
      </c>
      <c r="F92" s="26" t="inlineStr">
        <is>
          <t>Única universidad pública (autónoma); portal lista de forma navegable sus 18 Centros Universitarios regionales</t>
        </is>
      </c>
      <c r="G92" s="98" t="inlineStr">
        <is>
          <t>Check</t>
        </is>
      </c>
    </row>
    <row r="93" ht="30" customHeight="1" s="182">
      <c r="A93" s="42" t="inlineStr">
        <is>
          <t>Guatemala</t>
        </is>
      </c>
      <c r="B93" s="73" t="inlineStr">
        <is>
          <t>México / Centroamérica</t>
        </is>
      </c>
      <c r="C93" s="73" t="inlineStr">
        <is>
          <t>Formación técnica pública</t>
        </is>
      </c>
      <c r="D93" s="73" t="inlineStr">
        <is>
          <t>INTECAP</t>
        </is>
      </c>
      <c r="E93" s="73" t="inlineStr">
        <is>
          <t>https://www.intecap.edu.gt/centros/</t>
        </is>
      </c>
      <c r="F93" s="26" t="inlineStr">
        <is>
          <t>Confirmada: 'Centros y Delegaciones' con listado navegable por 5 regiones</t>
        </is>
      </c>
      <c r="G93" s="98" t="inlineStr">
        <is>
          <t>Check</t>
        </is>
      </c>
    </row>
    <row r="94" ht="30" customHeight="1" s="182">
      <c r="A94" s="42" t="inlineStr">
        <is>
          <t>Guatemala</t>
        </is>
      </c>
      <c r="B94" s="73" t="inlineStr">
        <is>
          <t>México / Centroamérica</t>
        </is>
      </c>
      <c r="C94" s="73" t="inlineStr">
        <is>
          <t>Organizaciones juveniles</t>
        </is>
      </c>
      <c r="D94" s="73" t="inlineStr">
        <is>
          <t>CONJUVE — Registro de Organizaciones Juveniles Nacionales</t>
        </is>
      </c>
      <c r="E94" s="73" t="inlineStr">
        <is>
          <t>https://conjuve.gob.gt/registro-de-organizaciones-juveniles-nacionales/</t>
        </is>
      </c>
      <c r="F94" s="26" t="inlineStr">
        <is>
          <t>CONFIRMADA por fetch directo: página oficial exacta del registro mencionado</t>
        </is>
      </c>
      <c r="G94" s="98" t="inlineStr">
        <is>
          <t>Check</t>
        </is>
      </c>
    </row>
    <row r="95" ht="30" customHeight="1" s="182">
      <c r="A95" s="42" t="inlineStr">
        <is>
          <t>Guatemala</t>
        </is>
      </c>
      <c r="B95" s="73" t="inlineStr">
        <is>
          <t>México / Centroamérica</t>
        </is>
      </c>
      <c r="C95" s="73" t="inlineStr">
        <is>
          <t>Asociaciones de seguridad social</t>
        </is>
      </c>
      <c r="D95" s="73" t="inlineStr">
        <is>
          <t>Instituto Guatemalteco de Seguridad Social (IGSS)</t>
        </is>
      </c>
      <c r="E95" s="73" t="inlineStr">
        <is>
          <t>https://www.igssgt.org/</t>
        </is>
      </c>
      <c r="F95" s="26" t="inlineStr">
        <is>
          <t>Sitio oficial activo. Guatemala es miembro CISS</t>
        </is>
      </c>
      <c r="G95" s="98" t="inlineStr">
        <is>
          <t>check</t>
        </is>
      </c>
    </row>
    <row r="96" ht="30" customHeight="1" s="182">
      <c r="A96" s="42" t="inlineStr">
        <is>
          <t>Guatemala</t>
        </is>
      </c>
      <c r="B96" s="73" t="inlineStr">
        <is>
          <t>México / Centroamérica</t>
        </is>
      </c>
      <c r="C96" s="73" t="inlineStr">
        <is>
          <t>Escuelas de gobierno y administración pública</t>
        </is>
      </c>
      <c r="D96" s="73" t="inlineStr">
        <is>
          <t>Instituto Nacional de Administración Pública (INAP)</t>
        </is>
      </c>
      <c r="E96" s="73" t="inlineStr">
        <is>
          <t>https://virtual.inap.gob.gt/</t>
        </is>
      </c>
      <c r="F96" s="26" t="inlineStr">
        <is>
          <t>Confirmado: sitio operativo con plataforma virtual de formación</t>
        </is>
      </c>
      <c r="G96" s="98" t="inlineStr">
        <is>
          <t>check</t>
        </is>
      </c>
    </row>
    <row r="97" ht="30" customHeight="1" s="182">
      <c r="A97" s="42" t="inlineStr">
        <is>
          <t>Guatemala</t>
        </is>
      </c>
      <c r="B97" s="73" t="inlineStr">
        <is>
          <t>México / Centroamérica</t>
        </is>
      </c>
      <c r="C97" s="73" t="inlineStr">
        <is>
          <t>Sindicatos y confederaciones de trabajadores</t>
        </is>
      </c>
      <c r="D97" s="73" t="inlineStr">
        <is>
          <t>CUSG (Confederación de Unidad Sindical de Guatemala)</t>
        </is>
      </c>
      <c r="E97" s="73" t="inlineStr">
        <is>
          <t>http://cusg.com.gt/</t>
        </is>
      </c>
      <c r="F97" s="26" t="inlineStr">
        <is>
          <t>CANDIDATA: dominio propio confirmado, fetch cargó vacío (posible sitio caído o solo JS)</t>
        </is>
      </c>
      <c r="G97" s="98" t="inlineStr">
        <is>
          <t>check</t>
        </is>
      </c>
    </row>
    <row r="98" ht="30" customHeight="1" s="182">
      <c r="A98" s="42" t="inlineStr">
        <is>
          <t>Guyana</t>
        </is>
      </c>
      <c r="B98" s="73" t="inlineStr">
        <is>
          <t>Caribe anglófono</t>
        </is>
      </c>
      <c r="C98" s="73" t="inlineStr">
        <is>
          <t>Universidades públicas</t>
        </is>
      </c>
      <c r="D98" s="73" t="inlineStr">
        <is>
          <t>Ministry of Education / consejo de acreditación (NAB/NAC)</t>
        </is>
      </c>
      <c r="E98" s="73" t="inlineStr">
        <is>
          <t>listado no disponible</t>
        </is>
      </c>
      <c r="F98" s="26" t="inlineStr">
        <is>
          <t>Sitio del ministerio activo pero sin listado; dominios del consejo de acreditación no cargaron contenido</t>
        </is>
      </c>
      <c r="G98" s="98" t="n"/>
    </row>
    <row r="99" ht="30" customHeight="1" s="182">
      <c r="A99" s="42" t="inlineStr">
        <is>
          <t>Guyana</t>
        </is>
      </c>
      <c r="B99" s="73" t="inlineStr">
        <is>
          <t>Caribe anglófono</t>
        </is>
      </c>
      <c r="C99" s="73" t="inlineStr">
        <is>
          <t>Formación técnica pública</t>
        </is>
      </c>
      <c r="D99" s="73" t="inlineStr">
        <is>
          <t>Board of Industrial Training (vía Ministry of Education)</t>
        </is>
      </c>
      <c r="E99" s="73" t="inlineStr">
        <is>
          <t>https://education.gov.gy/en/index.php/moe-contacts/36-tertiary-institutions</t>
        </is>
      </c>
      <c r="F99" s="26" t="inlineStr">
        <is>
          <t>CONFIRMADA por fetch directo: 9 institutos técnicos/industriales con teléfonos</t>
        </is>
      </c>
      <c r="G99" s="98" t="n"/>
    </row>
    <row r="100" ht="30" customHeight="1" s="182">
      <c r="A100" s="42" t="inlineStr">
        <is>
          <t>Guyana</t>
        </is>
      </c>
      <c r="B100" s="73" t="inlineStr">
        <is>
          <t>Caribe anglófono</t>
        </is>
      </c>
      <c r="C100" s="73" t="inlineStr">
        <is>
          <t>Organizaciones juveniles</t>
        </is>
      </c>
      <c r="D100" s="73" t="inlineStr">
        <is>
          <t>Guyana National Youth Council (GNYC, red no gubernamental)</t>
        </is>
      </c>
      <c r="E100" s="73" t="inlineStr">
        <is>
          <t>listado no disponible</t>
        </is>
      </c>
      <c r="F100" s="26" t="inlineStr">
        <is>
          <t>Ficha descriptiva del GNYC, sin directorio navegable de sus organizaciones socias</t>
        </is>
      </c>
      <c r="G100" s="98" t="n"/>
    </row>
    <row r="101" ht="30" customHeight="1" s="182">
      <c r="A101" s="42" t="inlineStr">
        <is>
          <t>Guyana</t>
        </is>
      </c>
      <c r="B101" s="73" t="inlineStr">
        <is>
          <t>Caribe anglófono</t>
        </is>
      </c>
      <c r="C101" s="73" t="inlineStr">
        <is>
          <t>Asociaciones de seguridad social</t>
        </is>
      </c>
      <c r="D101" s="73" t="inlineStr">
        <is>
          <t>National Insurance Scheme (NIS) Guyana</t>
        </is>
      </c>
      <c r="E101" s="73" t="inlineStr">
        <is>
          <t>https://www.nis.org.gy/</t>
        </is>
      </c>
      <c r="F101" s="26" t="inlineStr">
        <is>
          <t>Sitio activo con sistema de consulta de aportes en línea</t>
        </is>
      </c>
      <c r="G101" s="98" t="n"/>
    </row>
    <row r="102" ht="30" customHeight="1" s="182">
      <c r="A102" s="42" t="inlineStr">
        <is>
          <t>Guyana</t>
        </is>
      </c>
      <c r="B102" s="73" t="inlineStr">
        <is>
          <t>Caribe anglófono</t>
        </is>
      </c>
      <c r="C102" s="73" t="inlineStr">
        <is>
          <t>Escuelas de gobierno y administración pública</t>
        </is>
      </c>
      <c r="D102" s="73" t="inlineStr">
        <is>
          <t>Ministerio de Servicio Público (Ministry of Public Service) — División de Capacitación</t>
        </is>
      </c>
      <c r="E102" s="73" t="inlineStr">
        <is>
          <t>https://mps.gov.gy/public-service-training/</t>
        </is>
      </c>
      <c r="F102" s="26" t="inlineStr">
        <is>
          <t>No es una 'escuela' separada, pero tiene página específica de oferta de programas confirmada</t>
        </is>
      </c>
      <c r="G102" s="98" t="n"/>
    </row>
    <row r="103" ht="30" customHeight="1" s="182">
      <c r="A103" s="42" t="inlineStr">
        <is>
          <t>Guyana</t>
        </is>
      </c>
      <c r="B103" s="73" t="inlineStr">
        <is>
          <t>Caribe anglófono</t>
        </is>
      </c>
      <c r="C103" s="73" t="inlineStr">
        <is>
          <t>Sindicatos y confederaciones de trabajadores</t>
        </is>
      </c>
      <c r="D103" s="73" t="inlineStr">
        <is>
          <t>Guyana Trades Union Congress (GTUC/TUC)</t>
        </is>
      </c>
      <c r="E103" s="73" t="inlineStr">
        <is>
          <t>listado no disponible</t>
        </is>
      </c>
      <c r="F103" s="26" t="inlineStr">
        <is>
          <t>Central nacional única desde 1941, afiliada ITUC; sitio no accesible</t>
        </is>
      </c>
      <c r="G103" s="98" t="n"/>
    </row>
    <row r="104" ht="30" customHeight="1" s="182">
      <c r="A104" s="42" t="inlineStr">
        <is>
          <t>Haití</t>
        </is>
      </c>
      <c r="B104" s="73" t="inlineStr">
        <is>
          <t>Caribe (francófono/criollo)</t>
        </is>
      </c>
      <c r="C104" s="73" t="inlineStr">
        <is>
          <t>Universidades públicas</t>
        </is>
      </c>
      <c r="D104" s="73" t="inlineStr">
        <is>
          <t>MENFP/MESRS (DESRS)</t>
        </is>
      </c>
      <c r="E104" s="73" t="inlineStr">
        <is>
          <t>https://www.lenouvelliste.com</t>
        </is>
      </c>
      <c r="F104" s="26" t="inlineStr">
        <is>
          <t>CANDIDATA: sin página web estable del MENFP; listado de las 10 Universités Publiques Régionales + UEH publicado vía prensa/documentos (juno7.ht, lenouvelliste.com), no es fuente primaria gubernamental</t>
        </is>
      </c>
      <c r="G104" s="98" t="n"/>
    </row>
    <row r="105" ht="30" customHeight="1" s="182">
      <c r="A105" s="42" t="inlineStr">
        <is>
          <t>Haití</t>
        </is>
      </c>
      <c r="B105" s="73" t="inlineStr">
        <is>
          <t>Caribe (francófono/criollo)</t>
        </is>
      </c>
      <c r="C105" s="73" t="inlineStr">
        <is>
          <t>Formación técnica pública</t>
        </is>
      </c>
      <c r="D105" s="73" t="inlineStr">
        <is>
          <t>Institut National de Formation Professionnelle (INFP)</t>
        </is>
      </c>
      <c r="E105" s="73" t="inlineStr">
        <is>
          <t>http://www.infp.gouv.ht/public/centres</t>
        </is>
      </c>
      <c r="F105" s="26" t="inlineStr">
        <is>
          <t>Confirmada: 'Centres de formation' con 48 instituciones, filtrable por departamento/sector</t>
        </is>
      </c>
      <c r="G105" s="98" t="n"/>
    </row>
    <row r="106" ht="30" customHeight="1" s="182">
      <c r="A106" s="42" t="inlineStr">
        <is>
          <t>Haití</t>
        </is>
      </c>
      <c r="B106" s="73" t="inlineStr">
        <is>
          <t>Caribe (francófono/criollo)</t>
        </is>
      </c>
      <c r="C106" s="73" t="inlineStr">
        <is>
          <t>Organizaciones juveniles</t>
        </is>
      </c>
      <c r="D106" s="73" t="inlineStr">
        <is>
          <t>Ministère de la Jeunesse, des Sports et de l'Action Civique (MJSAC)</t>
        </is>
      </c>
      <c r="E106" s="73" t="inlineStr">
        <is>
          <t>listado no disponible</t>
        </is>
      </c>
      <c r="F106" s="26" t="inlineStr">
        <is>
          <t>Portal de comunicados institucionales, sin répertoire de organizaciones</t>
        </is>
      </c>
      <c r="G106" s="98" t="n"/>
    </row>
    <row r="107" ht="30" customHeight="1" s="182">
      <c r="A107" s="42" t="inlineStr">
        <is>
          <t>Haití</t>
        </is>
      </c>
      <c r="B107" s="73" t="inlineStr">
        <is>
          <t>Caribe (francófono/criollo)</t>
        </is>
      </c>
      <c r="C107" s="73" t="inlineStr">
        <is>
          <t>Asociaciones de seguridad social</t>
        </is>
      </c>
      <c r="D107" s="73" t="inlineStr">
        <is>
          <t>Office National d'Assurance-Vieillesse (ONA)</t>
        </is>
      </c>
      <c r="E107" s="73" t="inlineStr">
        <is>
          <t>https://ona.ht/</t>
        </is>
      </c>
      <c r="F107" s="26" t="inlineStr">
        <is>
          <t>Verificado por fetch directo: activo y con contenido actualizado. Haití no es miembro de CISS</t>
        </is>
      </c>
      <c r="G107" s="98" t="n"/>
    </row>
    <row r="108" ht="30" customHeight="1" s="182">
      <c r="A108" s="42" t="inlineStr">
        <is>
          <t>Haití</t>
        </is>
      </c>
      <c r="B108" s="73" t="inlineStr">
        <is>
          <t>Caribe (francófono/criollo)</t>
        </is>
      </c>
      <c r="C108" s="73" t="inlineStr">
        <is>
          <t>Escuelas de gobierno y administración pública</t>
        </is>
      </c>
      <c r="D108" s="73" t="inlineStr">
        <is>
          <t>No existe formalmente / no confirmado</t>
        </is>
      </c>
      <c r="E108" s="73" t="inlineStr">
        <is>
          <t>listado no disponible</t>
        </is>
      </c>
      <c r="F108" s="26" t="inlineStr">
        <is>
          <t>No se encontró evidencia confiable de un instituto nacional operativo, agravado por inestabilidad institucional</t>
        </is>
      </c>
      <c r="G108" s="98" t="n"/>
    </row>
    <row r="109" ht="30" customHeight="1" s="182">
      <c r="A109" s="42" t="inlineStr">
        <is>
          <t>Haití</t>
        </is>
      </c>
      <c r="B109" s="73" t="inlineStr">
        <is>
          <t>Caribe (francófono/criollo)</t>
        </is>
      </c>
      <c r="C109" s="73" t="inlineStr">
        <is>
          <t>Sindicatos y confederaciones de trabajadores</t>
        </is>
      </c>
      <c r="D109" s="73" t="inlineStr">
        <is>
          <t>Sin central dominante identificada de forma confiable (CATH, CTSP, CSH, entre otras)</t>
        </is>
      </c>
      <c r="E109" s="73" t="inlineStr">
        <is>
          <t>listado no disponible</t>
        </is>
      </c>
      <c r="F109" s="26" t="inlineStr">
        <is>
          <t>Sindicalismo muy fragmentado y débil; no fue posible confirmar representatividad ni localizar sitios funcionales</t>
        </is>
      </c>
      <c r="G109" s="98" t="n"/>
    </row>
    <row r="110" ht="30" customHeight="1" s="182">
      <c r="A110" s="42" t="inlineStr">
        <is>
          <t>Honduras</t>
        </is>
      </c>
      <c r="B110" s="73" t="inlineStr">
        <is>
          <t>México / Centroamérica</t>
        </is>
      </c>
      <c r="C110" s="73" t="inlineStr">
        <is>
          <t>Universidades públicas</t>
        </is>
      </c>
      <c r="D110" s="73" t="inlineStr">
        <is>
          <t>DES-UNAH (Dirección de Educación Superior)</t>
        </is>
      </c>
      <c r="E110" s="73" t="inlineStr">
        <is>
          <t>https://des.unah.edu.hn/sistema-de-educacion-superior/instituciones/publicas/</t>
        </is>
      </c>
      <c r="F110" s="26" t="inlineStr">
        <is>
          <t>Verificado: mapa interactivo, indica 6 instituciones públicas de un total de 22</t>
        </is>
      </c>
      <c r="G110" s="98" t="inlineStr">
        <is>
          <t xml:space="preserve">check </t>
        </is>
      </c>
    </row>
    <row r="111" ht="30" customHeight="1" s="182">
      <c r="A111" s="42" t="inlineStr">
        <is>
          <t>Honduras</t>
        </is>
      </c>
      <c r="B111" s="73" t="inlineStr">
        <is>
          <t>México / Centroamérica</t>
        </is>
      </c>
      <c r="C111" s="73" t="inlineStr">
        <is>
          <t>Formación técnica pública</t>
        </is>
      </c>
      <c r="D111" s="73" t="inlineStr">
        <is>
          <t>INFOP</t>
        </is>
      </c>
      <c r="E111" s="73" t="inlineStr">
        <is>
          <t>listado no disponible</t>
        </is>
      </c>
      <c r="F111" s="26" t="inlineStr">
        <is>
          <t>Portal visitado; sección /centros/ no existe, solo navegación de cursos por departamento sin directorio de sedes</t>
        </is>
      </c>
      <c r="G111" s="98" t="inlineStr">
        <is>
          <t>no existe directorio oficial</t>
        </is>
      </c>
    </row>
    <row r="112" ht="30" customHeight="1" s="182">
      <c r="A112" s="42" t="inlineStr">
        <is>
          <t>Honduras</t>
        </is>
      </c>
      <c r="B112" s="73" t="inlineStr">
        <is>
          <t>México / Centroamérica</t>
        </is>
      </c>
      <c r="C112" s="73" t="inlineStr">
        <is>
          <t>Organizaciones juveniles</t>
        </is>
      </c>
      <c r="D112" s="73" t="inlineStr">
        <is>
          <t>INJUVE — vía CENISS (Registro de Oferta Institucional)</t>
        </is>
      </c>
      <c r="E112" s="73" t="inlineStr">
        <is>
          <t>https://www.ceniss.gob.hn/roi/inj.html</t>
        </is>
      </c>
      <c r="F112" s="26" t="inlineStr">
        <is>
          <t>CANDIDATA: registro de oferta institucional (8 programas de INJUVE), no un directorio de OSC juveniles propiamente</t>
        </is>
      </c>
      <c r="G112" s="98" t="inlineStr">
        <is>
          <t>injuve</t>
        </is>
      </c>
    </row>
    <row r="113" ht="30" customHeight="1" s="182">
      <c r="A113" s="42" t="inlineStr">
        <is>
          <t>Honduras</t>
        </is>
      </c>
      <c r="B113" s="73" t="inlineStr">
        <is>
          <t>México / Centroamérica</t>
        </is>
      </c>
      <c r="C113" s="73" t="inlineStr">
        <is>
          <t>Asociaciones de seguridad social</t>
        </is>
      </c>
      <c r="D113" s="73" t="inlineStr">
        <is>
          <t>Instituto Hondureño de Seguridad Social (IHSS)</t>
        </is>
      </c>
      <c r="E113" s="73" t="inlineStr">
        <is>
          <t>https://www.ihss.hn/</t>
        </is>
      </c>
      <c r="F113" s="26" t="inlineStr">
        <is>
          <t>Sitio oficial activo, con 'Perfil Institucional'. Honduras es miembro CISS</t>
        </is>
      </c>
      <c r="G113" s="98" t="inlineStr">
        <is>
          <t xml:space="preserve">check </t>
        </is>
      </c>
    </row>
    <row r="114" ht="30" customHeight="1" s="182">
      <c r="A114" s="42" t="inlineStr">
        <is>
          <t>Honduras</t>
        </is>
      </c>
      <c r="B114" s="73" t="inlineStr">
        <is>
          <t>México / Centroamérica</t>
        </is>
      </c>
      <c r="C114" s="73" t="inlineStr">
        <is>
          <t>Escuelas de gobierno y administración pública</t>
        </is>
      </c>
      <c r="D114" s="73" t="inlineStr">
        <is>
          <t>Escuela de Alta Gerencia Pública (EAGP)</t>
        </is>
      </c>
      <c r="E114" s="73" t="inlineStr">
        <is>
          <t>https://www.eagp.gob.hn/?p=1770</t>
        </is>
      </c>
      <c r="F114" s="26" t="inlineStr">
        <is>
          <t>CANDIDATA: dominio confirmado activo vía snippets de búsqueda, fetch directo no renderizó contenido</t>
        </is>
      </c>
      <c r="G114" s="98" t="inlineStr">
        <is>
          <t xml:space="preserve">check </t>
        </is>
      </c>
    </row>
    <row r="115" ht="30" customHeight="1" s="182">
      <c r="A115" s="42" t="inlineStr">
        <is>
          <t>Honduras</t>
        </is>
      </c>
      <c r="B115" s="73" t="inlineStr">
        <is>
          <t>México / Centroamérica</t>
        </is>
      </c>
      <c r="C115" s="73" t="inlineStr">
        <is>
          <t>Sindicatos y confederaciones de trabajadores</t>
        </is>
      </c>
      <c r="D115" s="73" t="inlineStr">
        <is>
          <t>Fragmentado: CTH, CGT y CUTH (tres centrales de peso comparable)</t>
        </is>
      </c>
      <c r="E115" s="73" t="inlineStr">
        <is>
          <t>listado no disponible</t>
        </is>
      </c>
      <c r="F115" s="26" t="inlineStr">
        <is>
          <t>Sin central claramente dominante; sitios no accesibles</t>
        </is>
      </c>
      <c r="G115" s="98" t="inlineStr">
        <is>
          <t>sin acceso</t>
        </is>
      </c>
    </row>
    <row r="116" ht="30" customHeight="1" s="182">
      <c r="A116" s="42" t="inlineStr">
        <is>
          <t>Jamaica</t>
        </is>
      </c>
      <c r="B116" s="73" t="inlineStr">
        <is>
          <t>Caribe anglófono</t>
        </is>
      </c>
      <c r="C116" s="73" t="inlineStr">
        <is>
          <t>Universidades públicas</t>
        </is>
      </c>
      <c r="D116" s="73" t="inlineStr">
        <is>
          <t>University Council of Jamaica (UCJ)</t>
        </is>
      </c>
      <c r="E116" s="73" t="inlineStr">
        <is>
          <t>https://www.ucj.org.jm/registered-institutions/</t>
        </is>
      </c>
      <c r="F116" s="26" t="inlineStr">
        <is>
          <t>Verificado: listado navegable y paginado de instituciones acreditadas</t>
        </is>
      </c>
      <c r="G116" s="98" t="n"/>
    </row>
    <row r="117" ht="30" customHeight="1" s="182">
      <c r="A117" s="42" t="inlineStr">
        <is>
          <t>Jamaica</t>
        </is>
      </c>
      <c r="B117" s="73" t="inlineStr">
        <is>
          <t>Caribe anglófono</t>
        </is>
      </c>
      <c r="C117" s="73" t="inlineStr">
        <is>
          <t>Formación técnica pública</t>
        </is>
      </c>
      <c r="D117" s="73" t="inlineStr">
        <is>
          <t>HEART/NSTA Trust</t>
        </is>
      </c>
      <c r="E117" s="73" t="inlineStr">
        <is>
          <t>https://www.heart-nta.org/locations/</t>
        </is>
      </c>
      <c r="F117" s="26" t="inlineStr">
        <is>
          <t>Verificada: listado navegable de decenas de centros/institutos con direcciones y teléfonos</t>
        </is>
      </c>
      <c r="G117" s="98" t="n"/>
    </row>
    <row r="118" ht="30" customHeight="1" s="182">
      <c r="A118" s="42" t="inlineStr">
        <is>
          <t>Jamaica</t>
        </is>
      </c>
      <c r="B118" s="73" t="inlineStr">
        <is>
          <t>Caribe anglófono</t>
        </is>
      </c>
      <c r="C118" s="73" t="inlineStr">
        <is>
          <t>Organizaciones juveniles</t>
        </is>
      </c>
      <c r="D118" s="73" t="inlineStr">
        <is>
          <t>National Youth Council of Jamaica (Ministry of Education, Skills, Youth and Information)</t>
        </is>
      </c>
      <c r="E118" s="73" t="inlineStr">
        <is>
          <t>listado no disponible</t>
        </is>
      </c>
      <c r="F118" s="26" t="inlineStr">
        <is>
          <t>Página con criterios de membresía, sin listado de clubes/organizaciones afiliadas</t>
        </is>
      </c>
      <c r="G118" s="98" t="n"/>
    </row>
    <row r="119" ht="30" customHeight="1" s="182">
      <c r="A119" s="42" t="inlineStr">
        <is>
          <t>Jamaica</t>
        </is>
      </c>
      <c r="B119" s="73" t="inlineStr">
        <is>
          <t>Caribe anglófono</t>
        </is>
      </c>
      <c r="C119" s="73" t="inlineStr">
        <is>
          <t>Asociaciones de seguridad social</t>
        </is>
      </c>
      <c r="D119" s="73" t="inlineStr">
        <is>
          <t>National Insurance Scheme (NIS), bajo el Ministry of Labour and Social Security (MLSS)</t>
        </is>
      </c>
      <c r="E119" s="73" t="inlineStr">
        <is>
          <t>https://mlss.gov.jm/departments/national-insurance-scheme/</t>
        </is>
      </c>
      <c r="F119" s="26" t="inlineStr">
        <is>
          <t>El NIS opera como departamento dentro del portal del MLSS, activo</t>
        </is>
      </c>
      <c r="G119" s="98" t="n"/>
    </row>
    <row r="120" ht="30" customHeight="1" s="182">
      <c r="A120" s="42" t="inlineStr">
        <is>
          <t>Jamaica</t>
        </is>
      </c>
      <c r="B120" s="73" t="inlineStr">
        <is>
          <t>Caribe anglófono</t>
        </is>
      </c>
      <c r="C120" s="73" t="inlineStr">
        <is>
          <t>Escuelas de gobierno y administración pública</t>
        </is>
      </c>
      <c r="D120" s="73" t="inlineStr">
        <is>
          <t>Management Institute for National Development (MIND)</t>
        </is>
      </c>
      <c r="E120" s="73" t="inlineStr">
        <is>
          <t>https://mind.edu.jm/mind-schedule-programme-courses/</t>
        </is>
      </c>
      <c r="F120" s="26" t="inlineStr">
        <is>
          <t>Confirmado: institución oficial del Gobierno de Jamaica, catálogo de programas 2026-2027 verificado</t>
        </is>
      </c>
      <c r="G120" s="98" t="n"/>
    </row>
    <row r="121" ht="30" customHeight="1" s="182">
      <c r="A121" s="42" t="inlineStr">
        <is>
          <t>Jamaica</t>
        </is>
      </c>
      <c r="B121" s="73" t="inlineStr">
        <is>
          <t>Caribe anglófono</t>
        </is>
      </c>
      <c r="C121" s="73" t="inlineStr">
        <is>
          <t>Sindicatos y confederaciones de trabajadores</t>
        </is>
      </c>
      <c r="D121" s="73" t="inlineStr">
        <is>
          <t>Jamaica Confederation of Trade Unions (JCTU)</t>
        </is>
      </c>
      <c r="E121" s="73" t="inlineStr">
        <is>
          <t>listado no disponible</t>
        </is>
      </c>
      <c r="F121" s="26" t="inlineStr">
        <is>
          <t>Central con 11 sindicatos miembros (incl. BITU y NWU), 1994, afiliada ITUC; sitio no accesible</t>
        </is>
      </c>
      <c r="G121" s="98" t="n"/>
    </row>
    <row r="122" ht="30" customHeight="1" s="182">
      <c r="A122" s="42" t="inlineStr">
        <is>
          <t>México</t>
        </is>
      </c>
      <c r="B122" s="73" t="inlineStr">
        <is>
          <t>México / Centroamérica</t>
        </is>
      </c>
      <c r="C122" s="73" t="inlineStr">
        <is>
          <t>Universidades públicas</t>
        </is>
      </c>
      <c r="D122" s="73" t="inlineStr">
        <is>
          <t>ANUIES (Asociación Nacional de Universidades e Instituciones de Educación Superior)</t>
        </is>
      </c>
      <c r="E122" s="73" t="inlineStr">
        <is>
          <t>https://www.anuies.mx/anuies/instituciones-de-educacion-superior</t>
        </is>
      </c>
      <c r="F122" s="26" t="inlineStr">
        <is>
          <t>Verificado: buscador funcional, 278 IES afiliadas (94 universidades públicas); SEP no mantiene listado único navegable</t>
        </is>
      </c>
      <c r="G122" s="98" t="inlineStr">
        <is>
          <t xml:space="preserve">32 hasta el momento </t>
        </is>
      </c>
    </row>
    <row r="123" ht="30" customHeight="1" s="182">
      <c r="A123" s="42" t="inlineStr">
        <is>
          <t>México</t>
        </is>
      </c>
      <c r="B123" s="73" t="inlineStr">
        <is>
          <t>México / Centroamérica</t>
        </is>
      </c>
      <c r="C123" s="73" t="inlineStr">
        <is>
          <t>Formación técnica pública</t>
        </is>
      </c>
      <c r="D123" s="73" t="inlineStr">
        <is>
          <t>CONALEP</t>
        </is>
      </c>
      <c r="E123" s="73" t="inlineStr">
        <is>
          <t>http://www.conalep.edu.mx/directorio-colegios-estatales</t>
        </is>
      </c>
      <c r="F123" s="26" t="inlineStr">
        <is>
          <t>Confirmada: tabla completa de los 32 colegios estatales con datos de contacto</t>
        </is>
      </c>
      <c r="G123" s="98" t="inlineStr">
        <is>
          <t>Check</t>
        </is>
      </c>
    </row>
    <row r="124" ht="30" customHeight="1" s="182">
      <c r="A124" s="42" t="inlineStr">
        <is>
          <t>México</t>
        </is>
      </c>
      <c r="B124" s="73" t="inlineStr">
        <is>
          <t>México / Centroamérica</t>
        </is>
      </c>
      <c r="C124" s="73" t="inlineStr">
        <is>
          <t>Organizaciones juveniles</t>
        </is>
      </c>
      <c r="D124" s="73" t="inlineStr">
        <is>
          <t>IMJUVE — Directorio Nacional de Organizaciones de la Sociedad Civil Juveniles</t>
        </is>
      </c>
      <c r="E124" s="73" t="inlineStr">
        <is>
          <t>https://www.gob.mx/imjuve/articulos/sumate-al-directorio-nacional-de-organizaciones-de-la-sociedad-civil-juveniles</t>
        </is>
      </c>
      <c r="F124" s="26" t="inlineStr">
        <is>
          <t>CONFIRMADA: artículo oficial que describe el directorio y cómo sumarse</t>
        </is>
      </c>
      <c r="G124" s="98" t="inlineStr">
        <is>
          <t xml:space="preserve">Nómina no encontrada </t>
        </is>
      </c>
    </row>
    <row r="125" ht="30" customHeight="1" s="182">
      <c r="A125" s="42" t="inlineStr">
        <is>
          <t>México</t>
        </is>
      </c>
      <c r="B125" s="73" t="inlineStr">
        <is>
          <t>México / Centroamérica</t>
        </is>
      </c>
      <c r="C125" s="73" t="inlineStr">
        <is>
          <t>Asociaciones de seguridad social</t>
        </is>
      </c>
      <c r="D125" s="73" t="inlineStr">
        <is>
          <t>Instituto Mexicano del Seguro Social (IMSS)</t>
        </is>
      </c>
      <c r="E125" s="73" t="inlineStr">
        <is>
          <t>https://www.gob.mx/imss</t>
        </is>
      </c>
      <c r="F125" s="26" t="inlineStr">
        <is>
          <t>Portal gob.mx oficial y activo. México es sede de la Secretaría General de CISS</t>
        </is>
      </c>
      <c r="G125" s="98" t="inlineStr">
        <is>
          <t>Check</t>
        </is>
      </c>
    </row>
    <row r="126" ht="30" customHeight="1" s="182">
      <c r="A126" s="42" t="inlineStr">
        <is>
          <t>México</t>
        </is>
      </c>
      <c r="B126" s="73" t="inlineStr">
        <is>
          <t>México / Centroamérica</t>
        </is>
      </c>
      <c r="C126" s="73" t="inlineStr">
        <is>
          <t>Escuelas de gobierno y administración pública</t>
        </is>
      </c>
      <c r="D126" s="73" t="inlineStr">
        <is>
          <t>Instituto Nacional de Administración Pública (INAP) / ENAPROG</t>
        </is>
      </c>
      <c r="E126" s="73" t="inlineStr">
        <is>
          <t>https://inap.mx/oferta-academica/</t>
        </is>
      </c>
      <c r="F126" s="26" t="inlineStr">
        <is>
          <t>Confirmado: A.C. con reconocimiento oficial (71+ años), oferta académica verificada</t>
        </is>
      </c>
      <c r="G126" s="98" t="inlineStr">
        <is>
          <t>check</t>
        </is>
      </c>
    </row>
    <row r="127" ht="30" customHeight="1" s="182">
      <c r="A127" s="42" t="inlineStr">
        <is>
          <t>México</t>
        </is>
      </c>
      <c r="B127" s="73" t="inlineStr">
        <is>
          <t>México / Centroamérica</t>
        </is>
      </c>
      <c r="C127" s="73" t="inlineStr">
        <is>
          <t>Sindicatos y confederaciones de trabajadores</t>
        </is>
      </c>
      <c r="D127" s="73" t="inlineStr">
        <is>
          <t>Confederación de Trabajadores de México (CTM)</t>
        </is>
      </c>
      <c r="E127" s="73" t="inlineStr">
        <is>
          <t>listado no disponible</t>
        </is>
      </c>
      <c r="F127" s="26" t="inlineStr">
        <is>
          <t>Central histórica más grande (1936); sitio no responde. Existen alternativas (CROC, CROM, UNT) sin superar su representatividad</t>
        </is>
      </c>
      <c r="G127" s="98" t="inlineStr">
        <is>
          <t>check</t>
        </is>
      </c>
    </row>
    <row r="128" ht="30" customHeight="1" s="182">
      <c r="A128" s="42" t="inlineStr">
        <is>
          <t>Nicaragua</t>
        </is>
      </c>
      <c r="B128" s="73" t="inlineStr">
        <is>
          <t>México / Centroamérica</t>
        </is>
      </c>
      <c r="C128" s="73" t="inlineStr">
        <is>
          <t>Universidades públicas</t>
        </is>
      </c>
      <c r="D128" s="73" t="inlineStr">
        <is>
          <t>CNU (Consejo Nacional de Universidades)</t>
        </is>
      </c>
      <c r="E128" s="73" t="inlineStr">
        <is>
          <t>https://cnu.edu.ni/cnu-instituciones/</t>
        </is>
      </c>
      <c r="F128" s="26" t="inlineStr">
        <is>
          <t>CONFIRMADA: página específica con datos de rectores y contacto de las 10 universidades miembro</t>
        </is>
      </c>
      <c r="G128" s="98" t="n"/>
    </row>
    <row r="129" ht="30" customHeight="1" s="182">
      <c r="A129" s="42" t="inlineStr">
        <is>
          <t>Nicaragua</t>
        </is>
      </c>
      <c r="B129" s="73" t="inlineStr">
        <is>
          <t>México / Centroamérica</t>
        </is>
      </c>
      <c r="C129" s="73" t="inlineStr">
        <is>
          <t>Formación técnica pública</t>
        </is>
      </c>
      <c r="D129" s="73" t="inlineStr">
        <is>
          <t>INATEC / Tecnológico Nacional</t>
        </is>
      </c>
      <c r="E129" s="73" t="inlineStr">
        <is>
          <t>https://www.tecnacional.edu.ni/centros-tecnologicos/</t>
        </is>
      </c>
      <c r="F129" s="26" t="inlineStr">
        <is>
          <t>Confirmada: más de 50 Centros Tecnológicos con buscador por departamento/municipio</t>
        </is>
      </c>
      <c r="G129" s="98" t="n"/>
    </row>
    <row r="130" ht="30" customHeight="1" s="182">
      <c r="A130" s="42" t="inlineStr">
        <is>
          <t>Nicaragua</t>
        </is>
      </c>
      <c r="B130" s="73" t="inlineStr">
        <is>
          <t>México / Centroamérica</t>
        </is>
      </c>
      <c r="C130" s="73" t="inlineStr">
        <is>
          <t>Organizaciones juveniles</t>
        </is>
      </c>
      <c r="D130" s="73" t="inlineStr">
        <is>
          <t>Ministerio de la Juventud (MINJUVE)</t>
        </is>
      </c>
      <c r="E130" s="73" t="inlineStr">
        <is>
          <t>listado no disponible</t>
        </is>
      </c>
      <c r="F130" s="26" t="inlineStr">
        <is>
          <t>Sitio muestra 'Movimientos de Juventud Sandinista' (estructura interna), no un registro de organizaciones independientes</t>
        </is>
      </c>
      <c r="G130" s="98" t="n"/>
    </row>
    <row r="131" ht="30" customHeight="1" s="182">
      <c r="A131" s="42" t="inlineStr">
        <is>
          <t>Nicaragua</t>
        </is>
      </c>
      <c r="B131" s="73" t="inlineStr">
        <is>
          <t>México / Centroamérica</t>
        </is>
      </c>
      <c r="C131" s="73" t="inlineStr">
        <is>
          <t>Asociaciones de seguridad social</t>
        </is>
      </c>
      <c r="D131" s="73" t="inlineStr">
        <is>
          <t>Instituto Nicaragüense de Seguridad Social (INSS)</t>
        </is>
      </c>
      <c r="E131" s="73" t="inlineStr">
        <is>
          <t>https://inss-princ.inss.gob.ni/</t>
        </is>
      </c>
      <c r="F131" s="26" t="inlineStr">
        <is>
          <t>Sitio oficial activo bajo dominio gob.ni. Nicaragua es miembro CISS</t>
        </is>
      </c>
      <c r="G131" s="98" t="n"/>
    </row>
    <row r="132" ht="30" customHeight="1" s="182">
      <c r="A132" s="42" t="inlineStr">
        <is>
          <t>Nicaragua</t>
        </is>
      </c>
      <c r="B132" s="73" t="inlineStr">
        <is>
          <t>México / Centroamérica</t>
        </is>
      </c>
      <c r="C132" s="73" t="inlineStr">
        <is>
          <t>Escuelas de gobierno y administración pública</t>
        </is>
      </c>
      <c r="D132" s="73" t="inlineStr">
        <is>
          <t>Instituto Nicaragüense de Administración Pública (INAP)</t>
        </is>
      </c>
      <c r="E132" s="73" t="inlineStr">
        <is>
          <t>listado no disponible</t>
        </is>
      </c>
      <c r="F132" s="26" t="inlineStr">
        <is>
          <t>Creado por ley en 1980; no se encontró sitio web activo ni evidencia de operación actual</t>
        </is>
      </c>
      <c r="G132" s="98" t="n"/>
    </row>
    <row r="133" ht="30" customHeight="1" s="182">
      <c r="A133" s="42" t="inlineStr">
        <is>
          <t>Nicaragua</t>
        </is>
      </c>
      <c r="B133" s="73" t="inlineStr">
        <is>
          <t>México / Centroamérica</t>
        </is>
      </c>
      <c r="C133" s="73" t="inlineStr">
        <is>
          <t>Sindicatos y confederaciones de trabajadores</t>
        </is>
      </c>
      <c r="D133" s="73" t="inlineStr">
        <is>
          <t>FNT (Frente Nacional de los Trabajadores)</t>
        </is>
      </c>
      <c r="E133" s="73" t="inlineStr">
        <is>
          <t>https://fnt.org.ni/que-es-el-fnt/</t>
        </is>
      </c>
      <c r="F133" s="26" t="inlineStr">
        <is>
          <t>CANDIDATA: sitio activo confirmado, menciona 9 organizaciones integrantes sin nombrarlas ni enlazar directorio</t>
        </is>
      </c>
      <c r="G133" s="98" t="n"/>
    </row>
    <row r="134" ht="30" customHeight="1" s="182">
      <c r="A134" s="42" t="inlineStr">
        <is>
          <t>Panamá</t>
        </is>
      </c>
      <c r="B134" s="73" t="inlineStr">
        <is>
          <t>México / Centroamérica</t>
        </is>
      </c>
      <c r="C134" s="73" t="inlineStr">
        <is>
          <t>Universidades públicas</t>
        </is>
      </c>
      <c r="D134" s="73" t="inlineStr">
        <is>
          <t>CONEAUPA (Consejo Nacional de Evaluación y Acreditación Universitaria de Panamá)</t>
        </is>
      </c>
      <c r="E134" s="73" t="inlineStr">
        <is>
          <t>https://coneaupa.edu.pa/universidades-oficiales/</t>
        </is>
      </c>
      <c r="F134" s="26" t="inlineStr">
        <is>
          <t>Verificado: listado de las 6 universidades oficiales con decreto/ley de creación enlazado</t>
        </is>
      </c>
      <c r="G134" s="98" t="inlineStr">
        <is>
          <t>check</t>
        </is>
      </c>
    </row>
    <row r="135" ht="30" customHeight="1" s="182">
      <c r="A135" s="42" t="inlineStr">
        <is>
          <t>Panamá</t>
        </is>
      </c>
      <c r="B135" s="73" t="inlineStr">
        <is>
          <t>México / Centroamérica</t>
        </is>
      </c>
      <c r="C135" s="73" t="inlineStr">
        <is>
          <t>Formación técnica pública</t>
        </is>
      </c>
      <c r="D135" s="73" t="inlineStr">
        <is>
          <t>INADEH</t>
        </is>
      </c>
      <c r="E135" s="73" t="inlineStr">
        <is>
          <t>https://www.inadeh.edu.pa/contactenos/</t>
        </is>
      </c>
      <c r="F135" s="26" t="inlineStr">
        <is>
          <t>Verificada: listado de centros por provincia con teléfonos</t>
        </is>
      </c>
      <c r="G135" s="98" t="inlineStr">
        <is>
          <t>chek</t>
        </is>
      </c>
    </row>
    <row r="136" ht="30" customHeight="1" s="182">
      <c r="A136" s="42" t="inlineStr">
        <is>
          <t>Panamá</t>
        </is>
      </c>
      <c r="B136" s="73" t="inlineStr">
        <is>
          <t>México / Centroamérica</t>
        </is>
      </c>
      <c r="C136" s="73" t="inlineStr">
        <is>
          <t>Organizaciones juveniles</t>
        </is>
      </c>
      <c r="D136" s="73" t="inlineStr">
        <is>
          <t>MIDES — Consejo Nacional de Juventud (CNJ), Estatuto 2023</t>
        </is>
      </c>
      <c r="E136" s="73" t="inlineStr">
        <is>
          <t>https://www.mides.gob.pa/wp-content/uploads/2023/12/ESTATUTO_CNJ_2023.pdf</t>
        </is>
      </c>
      <c r="F136" s="26" t="inlineStr">
        <is>
          <t>CANDIDATA: Estatuto del CNJ en PDF, marco normativo pero no un padrón de organizaciones</t>
        </is>
      </c>
      <c r="G136" s="98" t="inlineStr">
        <is>
          <t xml:space="preserve">Página caída </t>
        </is>
      </c>
    </row>
    <row r="137" ht="30" customHeight="1" s="182">
      <c r="A137" s="42" t="inlineStr">
        <is>
          <t>Panamá</t>
        </is>
      </c>
      <c r="B137" s="73" t="inlineStr">
        <is>
          <t>México / Centroamérica</t>
        </is>
      </c>
      <c r="C137" s="73" t="inlineStr">
        <is>
          <t>Asociaciones de seguridad social</t>
        </is>
      </c>
      <c r="D137" s="73" t="inlineStr">
        <is>
          <t>Caja de Seguro Social (CSS)</t>
        </is>
      </c>
      <c r="E137" s="73" t="inlineStr">
        <is>
          <t>https://www.css.gob.pa/acerca-de-la-css/</t>
        </is>
      </c>
      <c r="F137" s="26" t="inlineStr">
        <is>
          <t>Sitio oficial activo, con portal Mi Caja Digital. Panamá es miembro CISS</t>
        </is>
      </c>
      <c r="G137" s="98" t="inlineStr">
        <is>
          <t>Check</t>
        </is>
      </c>
    </row>
    <row r="138" ht="30" customHeight="1" s="182">
      <c r="A138" s="42" t="inlineStr">
        <is>
          <t>Panamá</t>
        </is>
      </c>
      <c r="B138" s="73" t="inlineStr">
        <is>
          <t>México / Centroamérica</t>
        </is>
      </c>
      <c r="C138" s="73" t="inlineStr">
        <is>
          <t>Escuelas de gobierno y administración pública</t>
        </is>
      </c>
      <c r="D138" s="73" t="inlineStr">
        <is>
          <t>Dirección General de Carrera Administrativa (DIGECA)</t>
        </is>
      </c>
      <c r="E138" s="73" t="inlineStr">
        <is>
          <t>https://www.digeca.gob.pa/Instituciones-Incorporadas-a-Carrera-Administrativa</t>
        </is>
      </c>
      <c r="F138" s="26" t="inlineStr">
        <is>
          <t>No es una 'escuela' en sentido estricto; mantiene listado de instituciones incorporadas a la Carrera Administrativa</t>
        </is>
      </c>
      <c r="G138" s="98" t="inlineStr">
        <is>
          <t xml:space="preserve">Página caida </t>
        </is>
      </c>
    </row>
    <row r="139" ht="30" customHeight="1" s="182">
      <c r="A139" s="42" t="inlineStr">
        <is>
          <t>Panamá</t>
        </is>
      </c>
      <c r="B139" s="73" t="inlineStr">
        <is>
          <t>México / Centroamérica</t>
        </is>
      </c>
      <c r="C139" s="73" t="inlineStr">
        <is>
          <t>Sindicatos y confederaciones de trabajadores</t>
        </is>
      </c>
      <c r="D139" s="73" t="inlineStr">
        <is>
          <t>CTRP (una de las centrales miembro de CONATO)</t>
        </is>
      </c>
      <c r="E139" s="33" t="inlineStr">
        <is>
          <t>https://ctrpanama.org/organizaciones-afiliadas-2/</t>
        </is>
      </c>
      <c r="F139" s="26" t="inlineStr">
        <is>
          <t>CANDIDATA: página 'Organizaciones Afiliadas' localizada, fetch no confirmó contenido; CONATO en sí no tiene sitio propio</t>
        </is>
      </c>
      <c r="G139" s="98" t="inlineStr">
        <is>
          <t xml:space="preserve">Página caida </t>
        </is>
      </c>
    </row>
    <row r="140" ht="30" customHeight="1" s="182">
      <c r="A140" s="42" t="inlineStr">
        <is>
          <t>Paraguay</t>
        </is>
      </c>
      <c r="B140" s="73" t="inlineStr">
        <is>
          <t>Cono Sur</t>
        </is>
      </c>
      <c r="C140" s="73" t="inlineStr">
        <is>
          <t>Universidades públicas</t>
        </is>
      </c>
      <c r="D140" s="73" t="inlineStr">
        <is>
          <t>CONES</t>
        </is>
      </c>
      <c r="E140" s="73" t="inlineStr">
        <is>
          <t>https://cones.gov.py/universidades/</t>
        </is>
      </c>
      <c r="F140" s="26" t="inlineStr">
        <is>
          <t>CANDIDATA: URL confirmada por buscador (59 universidades registradas), fetch directo no renderizó contenido (JS)</t>
        </is>
      </c>
      <c r="G140" s="98" t="n"/>
    </row>
    <row r="141" ht="30" customHeight="1" s="182">
      <c r="A141" s="42" t="inlineStr">
        <is>
          <t>Paraguay</t>
        </is>
      </c>
      <c r="B141" s="73" t="inlineStr">
        <is>
          <t>Cono Sur</t>
        </is>
      </c>
      <c r="C141" s="73" t="inlineStr">
        <is>
          <t>Formación técnica pública</t>
        </is>
      </c>
      <c r="D141" s="73" t="inlineStr">
        <is>
          <t>SNPP (Servicio Nacional de Promoción Profesional)</t>
        </is>
      </c>
      <c r="E141" s="73" t="inlineStr">
        <is>
          <t>listado no disponible</t>
        </is>
      </c>
      <c r="F141" s="26" t="inlineStr">
        <is>
          <t>'Sedes Regionales' solo enlaza a Facebook y Google Maps; URL candidata de listado devolvió vacío</t>
        </is>
      </c>
      <c r="G141" s="98" t="n"/>
    </row>
    <row r="142" ht="30" customHeight="1" s="182">
      <c r="A142" s="42" t="inlineStr">
        <is>
          <t>Paraguay</t>
        </is>
      </c>
      <c r="B142" s="73" t="inlineStr">
        <is>
          <t>Cono Sur</t>
        </is>
      </c>
      <c r="C142" s="73" t="inlineStr">
        <is>
          <t>Organizaciones juveniles</t>
        </is>
      </c>
      <c r="D142" s="73" t="inlineStr">
        <is>
          <t>SNJ — posible Registro Único de Beneficiarios/organizaciones</t>
        </is>
      </c>
      <c r="E142" s="73" t="inlineStr">
        <is>
          <t>http://rubb.snj.gov.py/</t>
        </is>
      </c>
      <c r="F142" s="26" t="inlineStr">
        <is>
          <t>CANDIDATA: subdominio localizado pero contenido no confirmado (requiere JS), relación con 'Red Nacional de Jóvenes' no verificada</t>
        </is>
      </c>
      <c r="G142" s="98" t="n"/>
    </row>
    <row r="143" ht="30" customHeight="1" s="182">
      <c r="A143" s="42" t="inlineStr">
        <is>
          <t>Paraguay</t>
        </is>
      </c>
      <c r="B143" s="73" t="inlineStr">
        <is>
          <t>Cono Sur</t>
        </is>
      </c>
      <c r="C143" s="73" t="inlineStr">
        <is>
          <t>Asociaciones de seguridad social</t>
        </is>
      </c>
      <c r="D143" s="73" t="inlineStr">
        <is>
          <t>Instituto de Previsión Social (IPS)</t>
        </is>
      </c>
      <c r="E143" s="73" t="inlineStr">
        <is>
          <t>https://www.ips.gov.py/</t>
        </is>
      </c>
      <c r="F143" s="26" t="inlineStr">
        <is>
          <t>Sitio oficial activo, con servicio 'Mi IPS' para afiliados. Paraguay es miembro CISS</t>
        </is>
      </c>
      <c r="G143" s="98" t="n"/>
    </row>
    <row r="144" ht="30" customHeight="1" s="182">
      <c r="A144" s="42" t="inlineStr">
        <is>
          <t>Paraguay</t>
        </is>
      </c>
      <c r="B144" s="73" t="inlineStr">
        <is>
          <t>Cono Sur</t>
        </is>
      </c>
      <c r="C144" s="73" t="inlineStr">
        <is>
          <t>Escuelas de gobierno y administración pública</t>
        </is>
      </c>
      <c r="D144" s="73" t="inlineStr">
        <is>
          <t>Instituto Nacional de la Administración Pública (INAPP)</t>
        </is>
      </c>
      <c r="E144" s="73" t="inlineStr">
        <is>
          <t>https://www.sfp.gov.py/inapp/</t>
        </is>
      </c>
      <c r="F144" s="26" t="inlineStr">
        <is>
          <t>Confirmado: órgano técnico-operativo bajo el Viceministerio de Capital Humano, con oferta de capacitación activa</t>
        </is>
      </c>
      <c r="G144" s="98" t="n"/>
    </row>
    <row r="145" ht="30" customHeight="1" s="182">
      <c r="A145" s="42" t="inlineStr">
        <is>
          <t>Paraguay</t>
        </is>
      </c>
      <c r="B145" s="73" t="inlineStr">
        <is>
          <t>Cono Sur</t>
        </is>
      </c>
      <c r="C145" s="73" t="inlineStr">
        <is>
          <t>Sindicatos y confederaciones de trabajadores</t>
        </is>
      </c>
      <c r="D145" s="73" t="inlineStr">
        <is>
          <t>CUT-A (Central Unitaria de Trabajadores – Auténtica)</t>
        </is>
      </c>
      <c r="E145" s="73" t="inlineStr">
        <is>
          <t>listado no disponible</t>
        </is>
      </c>
      <c r="F145" s="26" t="inlineStr">
        <is>
          <t>Movimiento fragmentado (CUT-A, CNT, CESITP, CUT); sitio activo pero sin página de sindicatos afiliados</t>
        </is>
      </c>
      <c r="G145" s="98" t="n"/>
    </row>
    <row r="146" ht="30" customHeight="1" s="182">
      <c r="A146" s="42" t="inlineStr">
        <is>
          <t>Perú</t>
        </is>
      </c>
      <c r="B146" s="73" t="inlineStr">
        <is>
          <t>Región andina</t>
        </is>
      </c>
      <c r="C146" s="73" t="inlineStr">
        <is>
          <t>Universidades públicas</t>
        </is>
      </c>
      <c r="D146" s="73" t="inlineStr">
        <is>
          <t>SUNEDU</t>
        </is>
      </c>
      <c r="E146" s="73" t="inlineStr">
        <is>
          <t>https://www.sunedu.gob.pe/universidades-licenciadas/</t>
        </is>
      </c>
      <c r="F146" s="26" t="inlineStr">
        <is>
          <t>CANDIDATA: ruta específica del registro de universidades licenciadas (105 al 2026) identificada, sin confirmación de renderizado</t>
        </is>
      </c>
      <c r="G146" s="98" t="inlineStr">
        <is>
          <t>check</t>
        </is>
      </c>
    </row>
    <row r="147" ht="30" customHeight="1" s="182">
      <c r="A147" s="42" t="inlineStr">
        <is>
          <t>Perú</t>
        </is>
      </c>
      <c r="B147" s="73" t="inlineStr">
        <is>
          <t>Región andina</t>
        </is>
      </c>
      <c r="C147" s="73" t="inlineStr">
        <is>
          <t>Formación técnica pública</t>
        </is>
      </c>
      <c r="D147" s="73" t="inlineStr">
        <is>
          <t>SENATI</t>
        </is>
      </c>
      <c r="E147" s="73" t="inlineStr">
        <is>
          <t>https://www.senati.edu.pe/sedes</t>
        </is>
      </c>
      <c r="F147" s="26" t="inlineStr">
        <is>
          <t>Confirmada: desplegable con ~65 sedes por región/departamento</t>
        </is>
      </c>
      <c r="G147" s="98" t="inlineStr">
        <is>
          <t>1 check</t>
        </is>
      </c>
    </row>
    <row r="148" ht="30" customHeight="1" s="182">
      <c r="A148" s="42" t="inlineStr">
        <is>
          <t>Perú</t>
        </is>
      </c>
      <c r="B148" s="73" t="inlineStr">
        <is>
          <t>Región andina</t>
        </is>
      </c>
      <c r="C148" s="73" t="inlineStr">
        <is>
          <t>Organizaciones juveniles</t>
        </is>
      </c>
      <c r="D148" s="73" t="inlineStr">
        <is>
          <t>Secretaría Nacional de la Juventud (SENAJU) — Registro Nacional de Organizaciones Juveniles (RENOJ)</t>
        </is>
      </c>
      <c r="E148" s="73" t="inlineStr">
        <is>
          <t>https://juventud.gob.pe/wp-content/uploads/2022/04/BASE-DE-DATOS-ORGANIZACIONES-JUVENILES-E-INSTITUCIONES-PRIVADAS.xlsx</t>
        </is>
      </c>
      <c r="F148" s="26" t="inlineStr">
        <is>
          <t>Confirmada: archivo xlsx real descargado con base de datos de organizaciones</t>
        </is>
      </c>
      <c r="G148" s="98" t="inlineStr">
        <is>
          <t>265 de 765</t>
        </is>
      </c>
    </row>
    <row r="149" ht="30" customHeight="1" s="182">
      <c r="A149" s="42" t="inlineStr">
        <is>
          <t>Perú</t>
        </is>
      </c>
      <c r="B149" s="73" t="inlineStr">
        <is>
          <t>Región andina</t>
        </is>
      </c>
      <c r="C149" s="73" t="inlineStr">
        <is>
          <t>Asociaciones de seguridad social</t>
        </is>
      </c>
      <c r="D149" s="73" t="inlineStr">
        <is>
          <t>Oficina de Normalización Previsional (ONP) / EsSalud</t>
        </is>
      </c>
      <c r="E149" s="73" t="inlineStr">
        <is>
          <t>https://www.onp.gob.pe/</t>
        </is>
      </c>
      <c r="F149" s="26" t="inlineStr">
        <is>
          <t>ONP administra el Sistema Nacional de Pensiones; EsSalud administra la salud por separado. Perú es miembro CISS</t>
        </is>
      </c>
      <c r="G149" s="98" t="inlineStr">
        <is>
          <t>check</t>
        </is>
      </c>
    </row>
    <row r="150" ht="30" customHeight="1" s="182">
      <c r="A150" s="42" t="inlineStr">
        <is>
          <t>Perú</t>
        </is>
      </c>
      <c r="B150" s="73" t="inlineStr">
        <is>
          <t>Región andina</t>
        </is>
      </c>
      <c r="C150" s="73" t="inlineStr">
        <is>
          <t>Escuelas de gobierno y administración pública</t>
        </is>
      </c>
      <c r="D150" s="73" t="inlineStr">
        <is>
          <t>Escuela Nacional de Administración Pública (ENAP) – SERVIR</t>
        </is>
      </c>
      <c r="E150" s="73" t="inlineStr">
        <is>
          <t>https://www.enap.edu.pe/programas/</t>
        </is>
      </c>
      <c r="F150" s="26" t="inlineStr">
        <is>
          <t>Confirmado: agencia académica de SERVIR, oferta de cursos MOOC 2026 verificada</t>
        </is>
      </c>
      <c r="G150" s="98" t="inlineStr">
        <is>
          <t>check</t>
        </is>
      </c>
    </row>
    <row r="151" ht="30" customHeight="1" s="182">
      <c r="A151" s="42" t="inlineStr">
        <is>
          <t>Perú</t>
        </is>
      </c>
      <c r="B151" s="73" t="inlineStr">
        <is>
          <t>Región andina</t>
        </is>
      </c>
      <c r="C151" s="73" t="inlineStr">
        <is>
          <t>Sindicatos y confederaciones de trabajadores</t>
        </is>
      </c>
      <c r="D151" s="73" t="inlineStr">
        <is>
          <t>Confederación General de Trabajadores del Perú (CGTP)</t>
        </is>
      </c>
      <c r="E151" s="73" t="inlineStr">
        <is>
          <t>https://www.cgtp.org.pe/sectoriales/</t>
        </is>
      </c>
      <c r="F151" s="26" t="inlineStr">
        <is>
          <t>Central histórica dominante; página 'Sectoriales' lista federaciones afiliadas por rama de actividad</t>
        </is>
      </c>
      <c r="G151" s="98" t="inlineStr">
        <is>
          <t>check</t>
        </is>
      </c>
    </row>
    <row r="152" ht="30" customHeight="1" s="182">
      <c r="A152" s="42" t="inlineStr">
        <is>
          <t>República Dominicana</t>
        </is>
      </c>
      <c r="B152" s="73" t="inlineStr">
        <is>
          <t>Caribe latino</t>
        </is>
      </c>
      <c r="C152" s="73" t="inlineStr">
        <is>
          <t>Universidades públicas</t>
        </is>
      </c>
      <c r="D152" s="73" t="inlineStr">
        <is>
          <t>MESCYT — portal de consulta</t>
        </is>
      </c>
      <c r="E152" s="73" t="inlineStr">
        <is>
          <t>https://consulta.mescyt.gob.do/</t>
        </is>
      </c>
      <c r="F152" s="26" t="inlineStr">
        <is>
          <t>CANDIDATA: portal de consulta específico localizado, distinto del sitio institucional general; sin confirmación de renderizado</t>
        </is>
      </c>
      <c r="G152" s="98" t="n"/>
    </row>
    <row r="153" ht="30" customHeight="1" s="182">
      <c r="A153" s="42" t="inlineStr">
        <is>
          <t>República Dominicana</t>
        </is>
      </c>
      <c r="B153" s="73" t="inlineStr">
        <is>
          <t>Caribe latino</t>
        </is>
      </c>
      <c r="C153" s="73" t="inlineStr">
        <is>
          <t>Formación técnica pública</t>
        </is>
      </c>
      <c r="D153" s="73" t="inlineStr">
        <is>
          <t>INFOTEP</t>
        </is>
      </c>
      <c r="E153" s="73" t="inlineStr">
        <is>
          <t>https://www.infotep.gob.do/index.php/oficinas-y-centros/centros-operativosdelsistema</t>
        </is>
      </c>
      <c r="F153" s="26" t="inlineStr">
        <is>
          <t>Verificada: 'Centros Operativos del Sistema' con listados por Dirección Regional, navegable</t>
        </is>
      </c>
      <c r="G153" s="98" t="n"/>
    </row>
    <row r="154" ht="30" customHeight="1" s="182">
      <c r="A154" s="42" t="inlineStr">
        <is>
          <t>República Dominicana</t>
        </is>
      </c>
      <c r="B154" s="73" t="inlineStr">
        <is>
          <t>Caribe latino</t>
        </is>
      </c>
      <c r="C154" s="73" t="inlineStr">
        <is>
          <t>Organizaciones juveniles</t>
        </is>
      </c>
      <c r="D154" s="73" t="inlineStr">
        <is>
          <t>Ministerio de la Juventud</t>
        </is>
      </c>
      <c r="E154" s="73" t="inlineStr">
        <is>
          <t>listado no disponible</t>
        </is>
      </c>
      <c r="F154" s="26" t="inlineStr">
        <is>
          <t>Sitio revisado completo, sin sección de red/directorio; 'Habilitación Sectorial ASFL' es un trámite, no un listado</t>
        </is>
      </c>
      <c r="G154" s="98" t="n"/>
    </row>
    <row r="155" ht="30" customHeight="1" s="182">
      <c r="A155" s="42" t="inlineStr">
        <is>
          <t>República Dominicana</t>
        </is>
      </c>
      <c r="B155" s="73" t="inlineStr">
        <is>
          <t>Caribe latino</t>
        </is>
      </c>
      <c r="C155" s="73" t="inlineStr">
        <is>
          <t>Asociaciones de seguridad social</t>
        </is>
      </c>
      <c r="D155" s="73" t="inlineStr">
        <is>
          <t>Tesorería de la Seguridad Social (TSS)</t>
        </is>
      </c>
      <c r="E155" s="73" t="inlineStr">
        <is>
          <t>https://tss.gob.do/sobre-nosotros/quienes-somos/</t>
        </is>
      </c>
      <c r="F155" s="26" t="inlineStr">
        <is>
          <t>Sitio oficial activo, sección 'Quiénes somos' confirmada. República Dominicana es miembro CISS</t>
        </is>
      </c>
      <c r="G155" s="98" t="n"/>
    </row>
    <row r="156" ht="30" customHeight="1" s="182">
      <c r="A156" s="42" t="inlineStr">
        <is>
          <t>República Dominicana</t>
        </is>
      </c>
      <c r="B156" s="73" t="inlineStr">
        <is>
          <t>Caribe latino</t>
        </is>
      </c>
      <c r="C156" s="73" t="inlineStr">
        <is>
          <t>Escuelas de gobierno y administración pública</t>
        </is>
      </c>
      <c r="D156" s="73" t="inlineStr">
        <is>
          <t>Instituto Nacional de Administración Pública (INAP)</t>
        </is>
      </c>
      <c r="E156" s="73" t="inlineStr">
        <is>
          <t>https://inap.gob.do/oferta-formativa/</t>
        </is>
      </c>
      <c r="F156" s="26" t="inlineStr">
        <is>
          <t>Confirmado: sitio visitado directamente, sección 'Oferta Formativa' activa</t>
        </is>
      </c>
      <c r="G156" s="98" t="n"/>
    </row>
    <row r="157" ht="30" customHeight="1" s="182">
      <c r="A157" s="42" t="inlineStr">
        <is>
          <t>República Dominicana</t>
        </is>
      </c>
      <c r="B157" s="73" t="inlineStr">
        <is>
          <t>Caribe latino</t>
        </is>
      </c>
      <c r="C157" s="73" t="inlineStr">
        <is>
          <t>Sindicatos y confederaciones de trabajadores</t>
        </is>
      </c>
      <c r="D157" s="73" t="inlineStr">
        <is>
          <t>Fragmentado: CASC, CNTD y CNUS</t>
        </is>
      </c>
      <c r="E157" s="73" t="inlineStr">
        <is>
          <t>https://casc.org.do/afiliacion/</t>
        </is>
      </c>
      <c r="F157" s="26" t="inlineStr">
        <is>
          <t>CASC tiene el sitio más funcional, con página 'Afiliación' (contenido dinámico no cargó texto). Sin dominancia clara entre las tres</t>
        </is>
      </c>
      <c r="G157" s="98" t="n"/>
    </row>
    <row r="158" ht="30" customHeight="1" s="182">
      <c r="A158" s="42" t="inlineStr">
        <is>
          <t>San Cristóbal y Nieves</t>
        </is>
      </c>
      <c r="B158" s="73" t="inlineStr">
        <is>
          <t>Caribe anglófono</t>
        </is>
      </c>
      <c r="C158" s="73" t="inlineStr">
        <is>
          <t>Universidades públicas</t>
        </is>
      </c>
      <c r="D158" s="73" t="inlineStr">
        <is>
          <t>St. Christopher and Nevis Accreditation Board (SKNAB)</t>
        </is>
      </c>
      <c r="E158" s="73" t="inlineStr">
        <is>
          <t>https://www.education.gov.kn/accreditation-board/</t>
        </is>
      </c>
      <c r="F158" s="26" t="inlineStr">
        <is>
          <t>CONFIRMADA por fetch directo (el país no tiene universidad pública nacional propia)</t>
        </is>
      </c>
      <c r="G158" s="98" t="n"/>
    </row>
    <row r="159" ht="30" customHeight="1" s="182">
      <c r="A159" s="42" t="inlineStr">
        <is>
          <t>San Cristóbal y Nieves</t>
        </is>
      </c>
      <c r="B159" s="73" t="inlineStr">
        <is>
          <t>Caribe anglófono</t>
        </is>
      </c>
      <c r="C159" s="73" t="inlineStr">
        <is>
          <t>Formación técnica pública</t>
        </is>
      </c>
      <c r="D159" s="73" t="inlineStr">
        <is>
          <t>Ministry of Education (TVET) / Christopher-Wilkin Institute of Technology</t>
        </is>
      </c>
      <c r="E159" s="73" t="inlineStr">
        <is>
          <t>listado no disponible</t>
        </is>
      </c>
      <c r="F159" s="26" t="inlineStr">
        <is>
          <t>Páginas TVET requieren JavaScript o devolvieron vacío; sin directorio navegable</t>
        </is>
      </c>
      <c r="G159" s="98" t="n"/>
    </row>
    <row r="160" ht="30" customHeight="1" s="182">
      <c r="A160" s="42" t="inlineStr">
        <is>
          <t>San Cristóbal y Nieves</t>
        </is>
      </c>
      <c r="B160" s="73" t="inlineStr">
        <is>
          <t>Caribe anglófono</t>
        </is>
      </c>
      <c r="C160" s="73" t="inlineStr">
        <is>
          <t>Organizaciones juveniles</t>
        </is>
      </c>
      <c r="D160" s="73" t="inlineStr">
        <is>
          <t>Department of Youth Empowerment</t>
        </is>
      </c>
      <c r="E160" s="73" t="inlineStr">
        <is>
          <t>listado no disponible</t>
        </is>
      </c>
      <c r="F160" s="26" t="inlineStr">
        <is>
          <t>Sin sitio web gubernamental funcional; solo presencia en Facebook</t>
        </is>
      </c>
      <c r="G160" s="98" t="n"/>
    </row>
    <row r="161" ht="30" customHeight="1" s="182">
      <c r="A161" s="42" t="inlineStr">
        <is>
          <t>San Cristóbal y Nieves</t>
        </is>
      </c>
      <c r="B161" s="73" t="inlineStr">
        <is>
          <t>Caribe anglófono</t>
        </is>
      </c>
      <c r="C161" s="73" t="inlineStr">
        <is>
          <t>Asociaciones de seguridad social</t>
        </is>
      </c>
      <c r="D161" s="73" t="inlineStr">
        <is>
          <t>Saint Christopher and Nevis Social Security Board</t>
        </is>
      </c>
      <c r="E161" s="73" t="inlineStr">
        <is>
          <t>https://socialsecurity.kn/about-us/</t>
        </is>
      </c>
      <c r="F161" s="26" t="inlineStr">
        <is>
          <t>Sitio oficial activo, sección 'About Us' confirmada</t>
        </is>
      </c>
      <c r="G161" s="98" t="n"/>
    </row>
    <row r="162" ht="30" customHeight="1" s="182">
      <c r="A162" s="42" t="inlineStr">
        <is>
          <t>San Cristóbal y Nieves</t>
        </is>
      </c>
      <c r="B162" s="73" t="inlineStr">
        <is>
          <t>Caribe anglófono</t>
        </is>
      </c>
      <c r="C162" s="73" t="inlineStr">
        <is>
          <t>Escuelas de gobierno y administración pública</t>
        </is>
      </c>
      <c r="D162" s="73" t="inlineStr">
        <is>
          <t>No existe formalmente</t>
        </is>
      </c>
      <c r="E162" s="73" t="inlineStr">
        <is>
          <t>listado no disponible</t>
        </is>
      </c>
      <c r="F162" s="26" t="inlineStr">
        <is>
          <t>Sin evidencia de instituto nacional; microestado OECS</t>
        </is>
      </c>
      <c r="G162" s="98" t="n"/>
    </row>
    <row r="163" ht="30" customHeight="1" s="182">
      <c r="A163" s="42" t="inlineStr">
        <is>
          <t>San Cristóbal y Nieves</t>
        </is>
      </c>
      <c r="B163" s="73" t="inlineStr">
        <is>
          <t>Caribe anglófono</t>
        </is>
      </c>
      <c r="C163" s="73" t="inlineStr">
        <is>
          <t>Sindicatos y confederaciones de trabajadores</t>
        </is>
      </c>
      <c r="D163" s="73" t="inlineStr">
        <is>
          <t>St. Kitts-Nevis Trades and Labour Union (SKNTLU)</t>
        </is>
      </c>
      <c r="E163" s="73" t="inlineStr">
        <is>
          <t>listado no disponible</t>
        </is>
      </c>
      <c r="F163" s="26" t="inlineStr">
        <is>
          <t>Organización histórica más representativa (años 1930), sin sitio web oficial funcional localizado</t>
        </is>
      </c>
      <c r="G163" s="98" t="n"/>
    </row>
    <row r="164" ht="30" customHeight="1" s="182">
      <c r="A164" s="42" t="inlineStr">
        <is>
          <t>San Vicente y las Granadinas</t>
        </is>
      </c>
      <c r="B164" s="73" t="inlineStr">
        <is>
          <t>Caribe anglófono</t>
        </is>
      </c>
      <c r="C164" s="73" t="inlineStr">
        <is>
          <t>Universidades públicas</t>
        </is>
      </c>
      <c r="D164" s="73" t="inlineStr">
        <is>
          <t>National Accreditation Board of SVG (NAB SVG)</t>
        </is>
      </c>
      <c r="E164" s="73" t="inlineStr">
        <is>
          <t>https://nabsvg.gov.vc/nabsvg/index.php/registered-institutions</t>
        </is>
      </c>
      <c r="F164" s="26" t="inlineStr">
        <is>
          <t>Verificado: 'List of Registered Institutions' activa, incluye SVG Community College (pública)</t>
        </is>
      </c>
      <c r="G164" s="98" t="n"/>
    </row>
    <row r="165" ht="30" customHeight="1" s="182">
      <c r="A165" s="42" t="inlineStr">
        <is>
          <t>San Vicente y las Granadinas</t>
        </is>
      </c>
      <c r="B165" s="73" t="inlineStr">
        <is>
          <t>Caribe anglófono</t>
        </is>
      </c>
      <c r="C165" s="73" t="inlineStr">
        <is>
          <t>Formación técnica pública</t>
        </is>
      </c>
      <c r="D165" s="73" t="inlineStr">
        <is>
          <t>National Accreditation Board SVG (incluye TVET)</t>
        </is>
      </c>
      <c r="E165" s="73" t="inlineStr">
        <is>
          <t>https://nabsvg.gov.vc/nabsvg/index.php/registered-institutions</t>
        </is>
      </c>
      <c r="F165" s="26" t="inlineStr">
        <is>
          <t>CONFIRMADA por fetch directo: incluye SVG National Centre for Technological Innovation y SVGCC</t>
        </is>
      </c>
      <c r="G165" s="98" t="n"/>
    </row>
    <row r="166" ht="30" customHeight="1" s="182">
      <c r="A166" s="42" t="inlineStr">
        <is>
          <t>San Vicente y las Granadinas</t>
        </is>
      </c>
      <c r="B166" s="73" t="inlineStr">
        <is>
          <t>Caribe anglófono</t>
        </is>
      </c>
      <c r="C166" s="73" t="inlineStr">
        <is>
          <t>Organizaciones juveniles</t>
        </is>
      </c>
      <c r="D166" s="73" t="inlineStr">
        <is>
          <t>National Youth Council of SVG</t>
        </is>
      </c>
      <c r="E166" s="73" t="inlineStr">
        <is>
          <t>listado no disponible</t>
        </is>
      </c>
      <c r="F166" s="26" t="inlineStr">
        <is>
          <t>Consejo inactivo/'dormant' según múltiples fuentes; no existe organismo activo con listado</t>
        </is>
      </c>
      <c r="G166" s="98" t="n"/>
    </row>
    <row r="167" ht="30" customHeight="1" s="182">
      <c r="A167" s="42" t="inlineStr">
        <is>
          <t>San Vicente y las Granadinas</t>
        </is>
      </c>
      <c r="B167" s="73" t="inlineStr">
        <is>
          <t>Caribe anglófono</t>
        </is>
      </c>
      <c r="C167" s="73" t="inlineStr">
        <is>
          <t>Asociaciones de seguridad social</t>
        </is>
      </c>
      <c r="D167" s="73" t="inlineStr">
        <is>
          <t>National Insurance Services (NIS)</t>
        </is>
      </c>
      <c r="E167" s="73" t="inlineStr">
        <is>
          <t>https://www.nissvg.org/</t>
        </is>
      </c>
      <c r="F167" s="26" t="inlineStr">
        <is>
          <t>Sitio oficial activo</t>
        </is>
      </c>
      <c r="G167" s="98" t="n"/>
    </row>
    <row r="168" ht="30" customHeight="1" s="182">
      <c r="A168" s="42" t="inlineStr">
        <is>
          <t>San Vicente y las Granadinas</t>
        </is>
      </c>
      <c r="B168" s="73" t="inlineStr">
        <is>
          <t>Caribe anglófono</t>
        </is>
      </c>
      <c r="C168" s="73" t="inlineStr">
        <is>
          <t>Escuelas de gobierno y administración pública</t>
        </is>
      </c>
      <c r="D168" s="73" t="inlineStr">
        <is>
          <t>No existe formalmente</t>
        </is>
      </c>
      <c r="E168" s="73" t="inlineStr">
        <is>
          <t>listado no disponible</t>
        </is>
      </c>
      <c r="F168" s="26" t="inlineStr">
        <is>
          <t>Sin evidencia de instituto nacional; microestado OECS</t>
        </is>
      </c>
      <c r="G168" s="98" t="n"/>
    </row>
    <row r="169" ht="30" customHeight="1" s="182">
      <c r="A169" s="42" t="inlineStr">
        <is>
          <t>San Vicente y las Granadinas</t>
        </is>
      </c>
      <c r="B169" s="73" t="inlineStr">
        <is>
          <t>Caribe anglófono</t>
        </is>
      </c>
      <c r="C169" s="73" t="inlineStr">
        <is>
          <t>Sindicatos y confederaciones de trabajadores</t>
        </is>
      </c>
      <c r="D169" s="73" t="inlineStr">
        <is>
          <t>National Labour Congress (NLC) — central real, NWM es una de sus organizaciones miembro</t>
        </is>
      </c>
      <c r="E169" s="73" t="inlineStr">
        <is>
          <t>listado no disponible</t>
        </is>
      </c>
      <c r="F169" s="26" t="inlineStr">
        <is>
          <t>GAP: se identificó que NWM es miembro (no cúpula) del NLC, central real con afiliados (CTAWU, Teachers' Union, Public Service Union, etc.); sin sitio web propio confirmado del NLC</t>
        </is>
      </c>
      <c r="G169" s="98" t="n"/>
    </row>
    <row r="170" ht="30" customHeight="1" s="182">
      <c r="A170" s="42" t="inlineStr">
        <is>
          <t>Santa Lucía</t>
        </is>
      </c>
      <c r="B170" s="73" t="inlineStr">
        <is>
          <t>Caribe anglófono</t>
        </is>
      </c>
      <c r="C170" s="73" t="inlineStr">
        <is>
          <t>Universidades públicas</t>
        </is>
      </c>
      <c r="D170" s="73" t="inlineStr">
        <is>
          <t>Department of Education, Innovation and Gender Relations</t>
        </is>
      </c>
      <c r="E170" s="73" t="inlineStr">
        <is>
          <t>listado no disponible</t>
        </is>
      </c>
      <c r="F170" s="26" t="inlineStr">
        <is>
          <t>Portada verificada, describe funciones de acreditación pero sin sección de listado navegable</t>
        </is>
      </c>
      <c r="G170" s="98" t="n"/>
    </row>
    <row r="171" ht="30" customHeight="1" s="182">
      <c r="A171" s="42" t="inlineStr">
        <is>
          <t>Santa Lucía</t>
        </is>
      </c>
      <c r="B171" s="73" t="inlineStr">
        <is>
          <t>Caribe anglófono</t>
        </is>
      </c>
      <c r="C171" s="73" t="inlineStr">
        <is>
          <t>Formación técnica pública</t>
        </is>
      </c>
      <c r="D171" s="73" t="inlineStr">
        <is>
          <t>Workforce Development Centre (WDC) / SLCTVET</t>
        </is>
      </c>
      <c r="E171" s="73" t="inlineStr">
        <is>
          <t>https://wdc.education.gov.lc/training-providers</t>
        </is>
      </c>
      <c r="F171" s="26" t="inlineStr">
        <is>
          <t>Confirmada: listado navegable de proveedores aprobados con enlaces a cada institución</t>
        </is>
      </c>
      <c r="G171" s="98" t="n"/>
    </row>
    <row r="172" ht="30" customHeight="1" s="182">
      <c r="A172" s="42" t="inlineStr">
        <is>
          <t>Santa Lucía</t>
        </is>
      </c>
      <c r="B172" s="73" t="inlineStr">
        <is>
          <t>Caribe anglófono</t>
        </is>
      </c>
      <c r="C172" s="73" t="inlineStr">
        <is>
          <t>Organizaciones juveniles</t>
        </is>
      </c>
      <c r="D172" s="73" t="inlineStr">
        <is>
          <t>Saint Lucia National Youth Council (SLNYC, no gubernamental)</t>
        </is>
      </c>
      <c r="E172" s="73" t="inlineStr">
        <is>
          <t>listado no disponible</t>
        </is>
      </c>
      <c r="F172" s="26" t="inlineStr">
        <is>
          <t>Ficha descriptiva, sin listado navegable de sus ~150 organizaciones miembro</t>
        </is>
      </c>
      <c r="G172" s="98" t="n"/>
    </row>
    <row r="173" ht="30" customHeight="1" s="182">
      <c r="A173" s="42" t="inlineStr">
        <is>
          <t>Santa Lucía</t>
        </is>
      </c>
      <c r="B173" s="73" t="inlineStr">
        <is>
          <t>Caribe anglófono</t>
        </is>
      </c>
      <c r="C173" s="73" t="inlineStr">
        <is>
          <t>Asociaciones de seguridad social</t>
        </is>
      </c>
      <c r="D173" s="73" t="inlineStr">
        <is>
          <t>National Insurance Corporation (NIC), Saint Lucia</t>
        </is>
      </c>
      <c r="E173" s="73" t="inlineStr">
        <is>
          <t>https://www.stlucianic.org/home/corporate-information/</t>
        </is>
      </c>
      <c r="F173" s="26" t="inlineStr">
        <is>
          <t>Sitio oficial activo, sección 'Corporate Information' confirmada</t>
        </is>
      </c>
      <c r="G173" s="98" t="n"/>
    </row>
    <row r="174" ht="30" customHeight="1" s="182">
      <c r="A174" s="42" t="inlineStr">
        <is>
          <t>Santa Lucía</t>
        </is>
      </c>
      <c r="B174" s="73" t="inlineStr">
        <is>
          <t>Caribe anglófono</t>
        </is>
      </c>
      <c r="C174" s="73" t="inlineStr">
        <is>
          <t>Escuelas de gobierno y administración pública</t>
        </is>
      </c>
      <c r="D174" s="73" t="inlineStr">
        <is>
          <t>No existe formalmente</t>
        </is>
      </c>
      <c r="E174" s="73" t="inlineStr">
        <is>
          <t>listado no disponible</t>
        </is>
      </c>
      <c r="F174" s="26" t="inlineStr">
        <is>
          <t>Sin evidencia de instituto nacional; microestado OECS</t>
        </is>
      </c>
      <c r="G174" s="98" t="n"/>
    </row>
    <row r="175" ht="30" customHeight="1" s="182">
      <c r="A175" s="42" t="inlineStr">
        <is>
          <t>Santa Lucía</t>
        </is>
      </c>
      <c r="B175" s="73" t="inlineStr">
        <is>
          <t>Caribe anglófono</t>
        </is>
      </c>
      <c r="C175" s="73" t="inlineStr">
        <is>
          <t>Sindicatos y confederaciones de trabajadores</t>
        </is>
      </c>
      <c r="D175" s="73" t="inlineStr">
        <is>
          <t>National Workers Union (NWU)</t>
        </is>
      </c>
      <c r="E175" s="73" t="inlineStr">
        <is>
          <t>listado no disponible</t>
        </is>
      </c>
      <c r="F175" s="26" t="inlineStr">
        <is>
          <t>Organización sindical de mayor peso histórico en el país; sin sitio web oficial funcional localizado</t>
        </is>
      </c>
      <c r="G175" s="98" t="n"/>
    </row>
    <row r="176" ht="30" customHeight="1" s="182">
      <c r="A176" s="42" t="inlineStr">
        <is>
          <t>Surinam</t>
        </is>
      </c>
      <c r="B176" s="73" t="inlineStr">
        <is>
          <t>Caribe neerlandófono</t>
        </is>
      </c>
      <c r="C176" s="73" t="inlineStr">
        <is>
          <t>Universidades públicas</t>
        </is>
      </c>
      <c r="D176" s="73" t="inlineStr">
        <is>
          <t>Ministerie van Onderwijs, Wetenschap en Cultuur (MinOWC)</t>
        </is>
      </c>
      <c r="E176" s="73" t="inlineStr">
        <is>
          <t>listado no disponible</t>
        </is>
      </c>
      <c r="F176" s="26" t="inlineStr">
        <is>
          <t>No existe registro/directorio navegable; única universidad pública (AdeKUS) regulada directamente</t>
        </is>
      </c>
      <c r="G176" s="98" t="n"/>
    </row>
    <row r="177" ht="30" customHeight="1" s="182">
      <c r="A177" s="42" t="inlineStr">
        <is>
          <t>Surinam</t>
        </is>
      </c>
      <c r="B177" s="73" t="inlineStr">
        <is>
          <t>Caribe neerlandófono</t>
        </is>
      </c>
      <c r="C177" s="73" t="inlineStr">
        <is>
          <t>Formación técnica pública</t>
        </is>
      </c>
      <c r="D177" s="73" t="inlineStr">
        <is>
          <t>Directoraat Beroepsonderwijs (Ministerie van Onderwijs)</t>
        </is>
      </c>
      <c r="E177" s="73" t="inlineStr">
        <is>
          <t>https://gov.sr/beroepsonderwijs/scholen/</t>
        </is>
      </c>
      <c r="F177" s="26" t="inlineStr">
        <is>
          <t>CONFIRMADA por fetch directo: directorio filtrable con ~60 escuelas LBO/MBO/PO, hallazgo más completo de la ronda</t>
        </is>
      </c>
      <c r="G177" s="98" t="n"/>
    </row>
    <row r="178" ht="30" customHeight="1" s="182">
      <c r="A178" s="42" t="inlineStr">
        <is>
          <t>Surinam</t>
        </is>
      </c>
      <c r="B178" s="73" t="inlineStr">
        <is>
          <t>Caribe neerlandófono</t>
        </is>
      </c>
      <c r="C178" s="73" t="inlineStr">
        <is>
          <t>Organizaciones juveniles</t>
        </is>
      </c>
      <c r="D178" s="73" t="inlineStr">
        <is>
          <t>Jeugdraad Suriname / Nationaal Jeugd Instituut (Ministerie van Arbeid, Werkgelegenheid en Jeugdzaken)</t>
        </is>
      </c>
      <c r="E178" s="73" t="inlineStr">
        <is>
          <t>listado no disponible</t>
        </is>
      </c>
      <c r="F178" s="26" t="inlineStr">
        <is>
          <t>El Jeugdraad está compuesto por miembros individuales electos por distrito, no una red de organizaciones registradas</t>
        </is>
      </c>
      <c r="G178" s="98" t="n"/>
    </row>
    <row r="179" ht="30" customHeight="1" s="182">
      <c r="A179" s="42" t="inlineStr">
        <is>
          <t>Surinam</t>
        </is>
      </c>
      <c r="B179" s="73" t="inlineStr">
        <is>
          <t>Caribe neerlandófono</t>
        </is>
      </c>
      <c r="C179" s="73" t="inlineStr">
        <is>
          <t>Asociaciones de seguridad social</t>
        </is>
      </c>
      <c r="D179" s="73" t="inlineStr">
        <is>
          <t>Stichting Staatsziekenfonds (SZF)</t>
        </is>
      </c>
      <c r="E179" s="73" t="inlineStr">
        <is>
          <t>https://www.szf.sr/</t>
        </is>
      </c>
      <c r="F179" s="26" t="inlineStr">
        <is>
          <t>No existe instituto unificado de seguridad social; SZF es la institución nacional de salud. Surinam no es miembro CISS</t>
        </is>
      </c>
      <c r="G179" s="98" t="n"/>
    </row>
    <row r="180" ht="30" customHeight="1" s="182">
      <c r="A180" s="42" t="inlineStr">
        <is>
          <t>Surinam</t>
        </is>
      </c>
      <c r="B180" s="73" t="inlineStr">
        <is>
          <t>Caribe neerlandófono</t>
        </is>
      </c>
      <c r="C180" s="73" t="inlineStr">
        <is>
          <t>Escuelas de gobierno y administración pública</t>
        </is>
      </c>
      <c r="D180" s="73" t="inlineStr">
        <is>
          <t>No existe formalmente / no confirmado</t>
        </is>
      </c>
      <c r="E180" s="73" t="inlineStr">
        <is>
          <t>listado no disponible</t>
        </is>
      </c>
      <c r="F180" s="26" t="inlineStr">
        <is>
          <t>No se encontró evidencia de instituto nacional de administración pública</t>
        </is>
      </c>
      <c r="G180" s="98" t="n"/>
    </row>
    <row r="181" ht="30" customHeight="1" s="182">
      <c r="A181" s="42" t="inlineStr">
        <is>
          <t>Surinam</t>
        </is>
      </c>
      <c r="B181" s="73" t="inlineStr">
        <is>
          <t>Caribe neerlandófono</t>
        </is>
      </c>
      <c r="C181" s="73" t="inlineStr">
        <is>
          <t>Sindicatos y confederaciones de trabajadores</t>
        </is>
      </c>
      <c r="D181" s="73" t="inlineStr">
        <is>
          <t>Fragmentado: OSAV, Moederbond/AVVS y C-47</t>
        </is>
      </c>
      <c r="E181" s="73" t="inlineStr">
        <is>
          <t>listado no disponible</t>
        </is>
      </c>
      <c r="F181" s="26" t="inlineStr">
        <is>
          <t>Sin central única dominante; ninguna tiene sitio web activo/confiable localizado. OSAV es la afiliada a ITUC</t>
        </is>
      </c>
      <c r="G181" s="98" t="n"/>
    </row>
    <row r="182" ht="30" customHeight="1" s="182">
      <c r="A182" s="42" t="inlineStr">
        <is>
          <t>Trinidad y Tobago</t>
        </is>
      </c>
      <c r="B182" s="73" t="inlineStr">
        <is>
          <t>Caribe anglófono</t>
        </is>
      </c>
      <c r="C182" s="73" t="inlineStr">
        <is>
          <t>Universidades públicas</t>
        </is>
      </c>
      <c r="D182" s="73" t="inlineStr">
        <is>
          <t>Accreditation Council of Trinidad and Tobago (ACTT)</t>
        </is>
      </c>
      <c r="E182" s="73" t="inlineStr">
        <is>
          <t>https://www.actt.org.tt/services/accreditation/list-of-accredited-institutions</t>
        </is>
      </c>
      <c r="F182" s="26" t="inlineStr">
        <is>
          <t>Verificado: 'List of Accredited Institutions' activa, incluye UWI y UTT (públicas)</t>
        </is>
      </c>
      <c r="G182" s="98" t="n"/>
    </row>
    <row r="183" ht="30" customHeight="1" s="182">
      <c r="A183" s="42" t="inlineStr">
        <is>
          <t>Trinidad y Tobago</t>
        </is>
      </c>
      <c r="B183" s="73" t="inlineStr">
        <is>
          <t>Caribe anglófono</t>
        </is>
      </c>
      <c r="C183" s="73" t="inlineStr">
        <is>
          <t>Formación técnica pública</t>
        </is>
      </c>
      <c r="D183" s="73" t="inlineStr">
        <is>
          <t>Accreditation Council of Trinidad and Tobago (ACTT)</t>
        </is>
      </c>
      <c r="E183" s="73" t="inlineStr">
        <is>
          <t>https://actt.org.tt/services/registration/registered-institutions</t>
        </is>
      </c>
      <c r="F183" s="26" t="inlineStr">
        <is>
          <t>Confirmada: listado navegable y actualizado de instituciones registradas, con fichas PDF individuales</t>
        </is>
      </c>
      <c r="G183" s="98" t="n"/>
    </row>
    <row r="184" ht="30" customHeight="1" s="182">
      <c r="A184" s="42" t="inlineStr">
        <is>
          <t>Trinidad y Tobago</t>
        </is>
      </c>
      <c r="B184" s="73" t="inlineStr">
        <is>
          <t>Caribe anglófono</t>
        </is>
      </c>
      <c r="C184" s="73" t="inlineStr">
        <is>
          <t>Organizaciones juveniles</t>
        </is>
      </c>
      <c r="D184" s="73" t="inlineStr">
        <is>
          <t>Youth Affairs Division (MYDNS) — Youth Group/Organization Database</t>
        </is>
      </c>
      <c r="E184" s="73" t="inlineStr">
        <is>
          <t>https://apps.mydns.gov.tt/youth/</t>
        </is>
      </c>
      <c r="F184" s="26" t="inlineStr">
        <is>
          <t>CANDIDATA: base de datos oficial del gobierno, fetch no renderizó texto (app JS) pero fuente confirmada como oficial</t>
        </is>
      </c>
      <c r="G184" s="98" t="n"/>
    </row>
    <row r="185" ht="30" customHeight="1" s="182">
      <c r="A185" s="42" t="inlineStr">
        <is>
          <t>Trinidad y Tobago</t>
        </is>
      </c>
      <c r="B185" s="73" t="inlineStr">
        <is>
          <t>Caribe anglófono</t>
        </is>
      </c>
      <c r="C185" s="73" t="inlineStr">
        <is>
          <t>Asociaciones de seguridad social</t>
        </is>
      </c>
      <c r="D185" s="73" t="inlineStr">
        <is>
          <t>National Insurance Board of Trinidad and Tobago (NIBTT)</t>
        </is>
      </c>
      <c r="E185" s="73" t="inlineStr">
        <is>
          <t>https://www.nibtt.net/</t>
        </is>
      </c>
      <c r="F185" s="26" t="inlineStr">
        <is>
          <t>Sitio oficial activo</t>
        </is>
      </c>
      <c r="G185" s="98" t="n"/>
    </row>
    <row r="186" ht="30" customHeight="1" s="182">
      <c r="A186" s="42" t="inlineStr">
        <is>
          <t>Trinidad y Tobago</t>
        </is>
      </c>
      <c r="B186" s="73" t="inlineStr">
        <is>
          <t>Caribe anglófono</t>
        </is>
      </c>
      <c r="C186" s="73" t="inlineStr">
        <is>
          <t>Escuelas de gobierno y administración pública</t>
        </is>
      </c>
      <c r="D186" s="73" t="inlineStr">
        <is>
          <t>Public Service Academy (Ministry of Public Administration and AI)</t>
        </is>
      </c>
      <c r="E186" s="73" t="inlineStr">
        <is>
          <t>https://mpaai.gov.tt/divisions/public-service-academy</t>
        </is>
      </c>
      <c r="F186" s="26" t="inlineStr">
        <is>
          <t>CONFIRMADA: sitio activo, +120 cursos ofrecidos, calendario de actividades descargable</t>
        </is>
      </c>
      <c r="G186" s="98" t="n"/>
    </row>
    <row r="187" ht="30" customHeight="1" s="182">
      <c r="A187" s="42" t="inlineStr">
        <is>
          <t>Trinidad y Tobago</t>
        </is>
      </c>
      <c r="B187" s="73" t="inlineStr">
        <is>
          <t>Caribe anglófono</t>
        </is>
      </c>
      <c r="C187" s="73" t="inlineStr">
        <is>
          <t>Sindicatos y confederaciones de trabajadores</t>
        </is>
      </c>
      <c r="D187" s="73" t="inlineStr">
        <is>
          <t>National Trade Union Centre of Trinidad and Tobago (NATUC)</t>
        </is>
      </c>
      <c r="E187" s="73" t="inlineStr">
        <is>
          <t>listado no disponible</t>
        </is>
      </c>
      <c r="F187" s="26" t="inlineStr">
        <is>
          <t>Central más representativa (~100.000 miembros, afiliada ITUC/CCL); sitio no accesible</t>
        </is>
      </c>
      <c r="G187" s="98" t="n"/>
    </row>
    <row r="188" ht="30" customHeight="1" s="182">
      <c r="A188" s="42" t="inlineStr">
        <is>
          <t>Uruguay</t>
        </is>
      </c>
      <c r="B188" s="73" t="inlineStr">
        <is>
          <t>Cono Sur</t>
        </is>
      </c>
      <c r="C188" s="73" t="inlineStr">
        <is>
          <t>Universidades públicas</t>
        </is>
      </c>
      <c r="D188" s="73" t="inlineStr">
        <is>
          <t>Ministerio de Educación y Cultura (MEC)</t>
        </is>
      </c>
      <c r="E188" s="73" t="inlineStr">
        <is>
          <t>listado no disponible</t>
        </is>
      </c>
      <c r="F188" s="26" t="inlineStr">
        <is>
          <t>Página de universidades reconocidas del MEC se refiere solo a privadas; UdelaR y UTEC son públicas por ley, sin registro/habilitación del MEC</t>
        </is>
      </c>
      <c r="G188" s="98" t="n"/>
    </row>
    <row r="189" ht="30" customHeight="1" s="182">
      <c r="A189" s="42" t="inlineStr">
        <is>
          <t>Uruguay</t>
        </is>
      </c>
      <c r="B189" s="73" t="inlineStr">
        <is>
          <t>Cono Sur</t>
        </is>
      </c>
      <c r="C189" s="73" t="inlineStr">
        <is>
          <t>Formación técnica pública</t>
        </is>
      </c>
      <c r="D189" s="73" t="inlineStr">
        <is>
          <t>UTU / DGETP</t>
        </is>
      </c>
      <c r="E189" s="33" t="inlineStr">
        <is>
          <t>https://www.utu.edu.uy/centros-educativos/</t>
        </is>
      </c>
      <c r="F189" s="26" t="inlineStr">
        <is>
          <t>Página 'Centros Educativos' con buscador por regional; resultados cargan dinámicamente, no verificables por fetch estático</t>
        </is>
      </c>
      <c r="G189" s="98" t="n"/>
    </row>
    <row r="190" ht="30" customHeight="1" s="182">
      <c r="A190" s="42" t="inlineStr">
        <is>
          <t>Uruguay</t>
        </is>
      </c>
      <c r="B190" s="73" t="inlineStr">
        <is>
          <t>Cono Sur</t>
        </is>
      </c>
      <c r="C190" s="73" t="inlineStr">
        <is>
          <t>Organizaciones juveniles</t>
        </is>
      </c>
      <c r="D190" s="73" t="inlineStr">
        <is>
          <t>Instituto Nacional de la Juventud (INJU), MIDES</t>
        </is>
      </c>
      <c r="E190" s="73" t="inlineStr">
        <is>
          <t>listado no disponible</t>
        </is>
      </c>
      <c r="F190" s="26" t="inlineStr">
        <is>
          <t>Portal dinámico no renderizó contenido en fetch; 'Consejos Juveniles' identificados sin subpágina de listado verificable</t>
        </is>
      </c>
      <c r="G190" s="98" t="n"/>
    </row>
    <row r="191" ht="30" customHeight="1" s="182">
      <c r="A191" s="42" t="inlineStr">
        <is>
          <t>Uruguay</t>
        </is>
      </c>
      <c r="B191" s="73" t="inlineStr">
        <is>
          <t>Cono Sur</t>
        </is>
      </c>
      <c r="C191" s="73" t="inlineStr">
        <is>
          <t>Asociaciones de seguridad social</t>
        </is>
      </c>
      <c r="D191" s="73" t="inlineStr">
        <is>
          <t>Banco de Previsión Social (BPS)</t>
        </is>
      </c>
      <c r="E191" s="73" t="inlineStr">
        <is>
          <t>https://www.bps.gub.uy/</t>
        </is>
      </c>
      <c r="F191" s="26" t="inlineStr">
        <is>
          <t>Sitio oficial activo, con secciones para jubilados, trabajadores y empresas. Uruguay es miembro CISS</t>
        </is>
      </c>
      <c r="G191" s="98" t="n"/>
    </row>
    <row r="192" ht="30" customHeight="1" s="182">
      <c r="A192" s="42" t="inlineStr">
        <is>
          <t>Uruguay</t>
        </is>
      </c>
      <c r="B192" s="73" t="inlineStr">
        <is>
          <t>Cono Sur</t>
        </is>
      </c>
      <c r="C192" s="73" t="inlineStr">
        <is>
          <t>Escuelas de gobierno y administración pública</t>
        </is>
      </c>
      <c r="D192" s="73" t="inlineStr">
        <is>
          <t>Escuela Nacional de Administración Pública (ENAP) – ONSC</t>
        </is>
      </c>
      <c r="E192" s="73" t="inlineStr">
        <is>
          <t>https://www.gub.uy/oficina-nacional-servicio-civil/formacion-capacitacion</t>
        </is>
      </c>
      <c r="F192" s="26" t="inlineStr">
        <is>
          <t>Confirmado: escuela oficial dependiente de ONSC, con plataforma Moodle y oferta de formación</t>
        </is>
      </c>
      <c r="G192" s="98" t="n"/>
    </row>
    <row r="193" ht="30" customHeight="1" s="182">
      <c r="A193" s="42" t="inlineStr">
        <is>
          <t>Uruguay</t>
        </is>
      </c>
      <c r="B193" s="73" t="inlineStr">
        <is>
          <t>Cono Sur</t>
        </is>
      </c>
      <c r="C193" s="73" t="inlineStr">
        <is>
          <t>Sindicatos y confederaciones de trabajadores</t>
        </is>
      </c>
      <c r="D193" s="73" t="inlineStr">
        <is>
          <t>PIT-CNT</t>
        </is>
      </c>
      <c r="E193" s="73" t="inlineStr">
        <is>
          <t>https://www.pitcnt.uy/index.php/sindicatos-afiliados</t>
        </is>
      </c>
      <c r="F193" s="26" t="inlineStr">
        <is>
          <t>Central única y ampliamente representativa; página 'Sindicatos afiliados' confirmada con directorio completo</t>
        </is>
      </c>
      <c r="G193" s="98" t="n"/>
    </row>
    <row r="194" ht="30" customHeight="1" s="182">
      <c r="A194" s="42" t="inlineStr">
        <is>
          <t>Venezuela</t>
        </is>
      </c>
      <c r="B194" s="73" t="inlineStr">
        <is>
          <t>Región andina</t>
        </is>
      </c>
      <c r="C194" s="73" t="inlineStr">
        <is>
          <t>Universidades públicas</t>
        </is>
      </c>
      <c r="D194" s="73" t="inlineStr">
        <is>
          <t>OPSU/LOEU (Consejo Nacional de Universidades)</t>
        </is>
      </c>
      <c r="E194" s="73" t="inlineStr">
        <is>
          <t>https://loeu.opsu.gob.ve/ieu/</t>
        </is>
      </c>
      <c r="F194" s="26" t="inlineStr">
        <is>
          <t>CONFIRMADA: portal buscador funcional con filtro explícito por dependencia administrativa pública/privada</t>
        </is>
      </c>
      <c r="G194" s="98" t="n"/>
    </row>
    <row r="195" ht="30" customHeight="1" s="182">
      <c r="A195" s="42" t="inlineStr">
        <is>
          <t>Venezuela</t>
        </is>
      </c>
      <c r="B195" s="73" t="inlineStr">
        <is>
          <t>Región andina</t>
        </is>
      </c>
      <c r="C195" s="73" t="inlineStr">
        <is>
          <t>Formación técnica pública</t>
        </is>
      </c>
      <c r="D195" s="73" t="inlineStr">
        <is>
          <t>INCES</t>
        </is>
      </c>
      <c r="E195" s="73" t="inlineStr">
        <is>
          <t>https://inces.gob.ve/index.php/398-2/</t>
        </is>
      </c>
      <c r="F195" s="26" t="inlineStr">
        <is>
          <t>Confirmada: 'Centros de Formación' organizados por 6 REDI con enlaces por estado</t>
        </is>
      </c>
      <c r="G195" s="98" t="n"/>
    </row>
    <row r="196" ht="30" customHeight="1" s="182">
      <c r="A196" s="42" t="inlineStr">
        <is>
          <t>Venezuela</t>
        </is>
      </c>
      <c r="B196" s="73" t="inlineStr">
        <is>
          <t>Región andina</t>
        </is>
      </c>
      <c r="C196" s="73" t="inlineStr">
        <is>
          <t>Organizaciones juveniles</t>
        </is>
      </c>
      <c r="D196" s="73" t="inlineStr">
        <is>
          <t>Ministerio del Poder Popular para la Juventud (MinJuventud)</t>
        </is>
      </c>
      <c r="E196" s="73" t="inlineStr">
        <is>
          <t>listado no disponible</t>
        </is>
      </c>
      <c r="F196" s="26" t="inlineStr">
        <is>
          <t>Portal carga correctamente pero solo contiene noticias/proyectos, sin sección de registro/directorio</t>
        </is>
      </c>
      <c r="G196" s="98" t="n"/>
    </row>
    <row r="197" ht="30" customHeight="1" s="182">
      <c r="A197" s="42" t="inlineStr">
        <is>
          <t>Venezuela</t>
        </is>
      </c>
      <c r="B197" s="73" t="inlineStr">
        <is>
          <t>Región andina</t>
        </is>
      </c>
      <c r="C197" s="73" t="inlineStr">
        <is>
          <t>Asociaciones de seguridad social</t>
        </is>
      </c>
      <c r="D197" s="73" t="inlineStr">
        <is>
          <t>Instituto Venezolano de los Seguros Sociales (IVSS)</t>
        </is>
      </c>
      <c r="E197" s="73" t="inlineStr">
        <is>
          <t>http://www.ivss.gov.ve/</t>
        </is>
      </c>
      <c r="F197" s="26" t="inlineStr">
        <is>
          <t>Verificado por fetch directo: carga pero con contenido desactualizado (2021-2023), solo HTTP. Venezuela es miembro CISS</t>
        </is>
      </c>
      <c r="G197" s="98" t="n"/>
    </row>
    <row r="198" ht="30" customHeight="1" s="182">
      <c r="A198" s="42" t="inlineStr">
        <is>
          <t>Venezuela</t>
        </is>
      </c>
      <c r="B198" s="73" t="inlineStr">
        <is>
          <t>Región andina</t>
        </is>
      </c>
      <c r="C198" s="73" t="inlineStr">
        <is>
          <t>Escuelas de gobierno y administración pública</t>
        </is>
      </c>
      <c r="D198" s="73" t="inlineStr">
        <is>
          <t>Escuela Venezolana de Planificación (EVP) / Fundación EVP</t>
        </is>
      </c>
      <c r="E198" s="73" t="inlineStr">
        <is>
          <t>https://www.fevp.gob.ve/evp/proposito/</t>
        </is>
      </c>
      <c r="F198" s="26" t="inlineStr">
        <is>
          <t>Confirmado: entidad adscrita al Ministerio de Planificación, con expansión de sedes</t>
        </is>
      </c>
      <c r="G198" s="98" t="n"/>
    </row>
    <row r="199" ht="30" customHeight="1" s="182">
      <c r="A199" s="42" t="inlineStr">
        <is>
          <t>Venezuela</t>
        </is>
      </c>
      <c r="B199" s="73" t="inlineStr">
        <is>
          <t>Región andina</t>
        </is>
      </c>
      <c r="C199" s="73" t="inlineStr">
        <is>
          <t>Sindicatos y confederaciones de trabajadores</t>
        </is>
      </c>
      <c r="D199" s="73" t="inlineStr">
        <is>
          <t>Fragmentado y politizado: CTV (histórica), UNT y CBST (oficialista)</t>
        </is>
      </c>
      <c r="E199" s="73" t="inlineStr">
        <is>
          <t>listado no disponible</t>
        </is>
      </c>
      <c r="F199" s="26" t="inlineStr">
        <is>
          <t>No existe central única reconocida desde la ruptura de 2001-2003; sitio de CTV no accesible</t>
        </is>
      </c>
      <c r="G199" s="98" t="n"/>
    </row>
    <row r="200" ht="30" customHeight="1" s="182">
      <c r="A200" s="42" t="n"/>
      <c r="B200" s="73" t="n"/>
      <c r="C200" s="73" t="n"/>
      <c r="D200" s="73" t="n"/>
      <c r="E200" s="73" t="n"/>
      <c r="F200" s="26" t="n"/>
      <c r="G200" s="98" t="n"/>
    </row>
    <row r="201" ht="30" customHeight="1" s="182">
      <c r="A201" s="42" t="n"/>
      <c r="B201" s="73" t="n"/>
      <c r="C201" s="73" t="n"/>
      <c r="D201" s="73" t="n"/>
      <c r="E201" s="73" t="n"/>
      <c r="F201" s="26" t="n"/>
      <c r="G201" s="98" t="n"/>
    </row>
    <row r="202" ht="30" customHeight="1" s="182">
      <c r="A202" s="42" t="n"/>
      <c r="B202" s="73" t="n"/>
      <c r="C202" s="73" t="n"/>
      <c r="D202" s="73" t="n"/>
      <c r="E202" s="73" t="n"/>
      <c r="F202" s="26" t="n"/>
      <c r="G202" s="98" t="n"/>
    </row>
    <row r="203" ht="30" customHeight="1" s="182">
      <c r="A203" s="42" t="n"/>
      <c r="B203" s="73" t="n"/>
      <c r="C203" s="73" t="n"/>
      <c r="D203" s="73" t="n"/>
      <c r="E203" s="73" t="n"/>
      <c r="F203" s="26" t="n"/>
      <c r="G203" s="98" t="n"/>
    </row>
    <row r="204" ht="30" customHeight="1" s="182">
      <c r="A204" s="42" t="n"/>
      <c r="B204" s="73" t="n"/>
      <c r="C204" s="73" t="n"/>
      <c r="D204" s="73" t="n"/>
      <c r="E204" s="73" t="n"/>
      <c r="F204" s="26" t="n"/>
      <c r="G204" s="98" t="n"/>
    </row>
    <row r="205" ht="30" customHeight="1" s="182">
      <c r="A205" s="42" t="n"/>
      <c r="B205" s="73" t="n"/>
      <c r="C205" s="73" t="n"/>
      <c r="D205" s="73" t="n"/>
      <c r="E205" s="73" t="n"/>
      <c r="F205" s="26" t="n"/>
      <c r="G205" s="98" t="n"/>
    </row>
    <row r="206" ht="30" customHeight="1" s="182">
      <c r="A206" s="42" t="n"/>
      <c r="B206" s="73" t="n"/>
      <c r="C206" s="73" t="n"/>
      <c r="D206" s="73" t="n"/>
      <c r="E206" s="73" t="n"/>
      <c r="F206" s="26" t="n"/>
      <c r="G206" s="98" t="n"/>
    </row>
    <row r="207" ht="30" customHeight="1" s="182">
      <c r="A207" s="42" t="n"/>
      <c r="B207" s="73" t="n"/>
      <c r="C207" s="73" t="n"/>
      <c r="D207" s="73" t="n"/>
      <c r="E207" s="73" t="n"/>
      <c r="F207" s="26" t="n"/>
      <c r="G207" s="98" t="n"/>
    </row>
    <row r="208" ht="30" customHeight="1" s="182">
      <c r="A208" s="42" t="n"/>
      <c r="B208" s="73" t="n"/>
      <c r="C208" s="73" t="n"/>
      <c r="D208" s="73" t="n"/>
      <c r="E208" s="73" t="n"/>
      <c r="F208" s="26" t="n"/>
      <c r="G208" s="98" t="n"/>
    </row>
    <row r="209" ht="30" customHeight="1" s="182">
      <c r="A209" s="42" t="n"/>
      <c r="B209" s="73" t="n"/>
      <c r="C209" s="73" t="n"/>
      <c r="D209" s="73" t="n"/>
      <c r="E209" s="73" t="n"/>
      <c r="F209" s="26" t="n"/>
      <c r="G209" s="98" t="n"/>
    </row>
    <row r="210" ht="30" customHeight="1" s="182">
      <c r="A210" s="42" t="n"/>
      <c r="B210" s="73" t="n"/>
      <c r="C210" s="73" t="n"/>
      <c r="D210" s="73" t="n"/>
      <c r="E210" s="73" t="n"/>
      <c r="F210" s="26" t="n"/>
      <c r="G210" s="98" t="n"/>
    </row>
    <row r="211" ht="30" customHeight="1" s="182">
      <c r="A211" s="42" t="n"/>
      <c r="B211" s="73" t="n"/>
      <c r="C211" s="73" t="n"/>
      <c r="D211" s="73" t="n"/>
      <c r="E211" s="73" t="n"/>
      <c r="F211" s="26" t="n"/>
      <c r="G211" s="98" t="n"/>
    </row>
    <row r="212" ht="30" customHeight="1" s="182">
      <c r="A212" s="42" t="n"/>
      <c r="B212" s="73" t="n"/>
      <c r="C212" s="73" t="n"/>
      <c r="D212" s="73" t="n"/>
      <c r="E212" s="73" t="n"/>
      <c r="F212" s="26" t="n"/>
      <c r="G212" s="98" t="n"/>
    </row>
    <row r="213" ht="30" customHeight="1" s="182">
      <c r="A213" s="42" t="n"/>
      <c r="B213" s="73" t="n"/>
      <c r="C213" s="73" t="n"/>
      <c r="D213" s="73" t="n"/>
      <c r="E213" s="73" t="n"/>
      <c r="F213" s="26" t="n"/>
      <c r="G213" s="98" t="n"/>
    </row>
    <row r="214" ht="30" customHeight="1" s="182">
      <c r="A214" s="42" t="n"/>
      <c r="B214" s="73" t="n"/>
      <c r="C214" s="73" t="n"/>
      <c r="D214" s="73" t="n"/>
      <c r="E214" s="73" t="n"/>
      <c r="F214" s="26" t="n"/>
      <c r="G214" s="98" t="n"/>
    </row>
    <row r="215" ht="30" customHeight="1" s="182">
      <c r="A215" s="42" t="n"/>
      <c r="B215" s="73" t="n"/>
      <c r="C215" s="73" t="n"/>
      <c r="D215" s="73" t="n"/>
      <c r="E215" s="73" t="n"/>
      <c r="F215" s="26" t="n"/>
      <c r="G215" s="98" t="n"/>
    </row>
    <row r="216" ht="30" customHeight="1" s="182">
      <c r="A216" s="42" t="n"/>
      <c r="B216" s="73" t="n"/>
      <c r="C216" s="73" t="n"/>
      <c r="D216" s="73" t="n"/>
      <c r="E216" s="73" t="n"/>
      <c r="F216" s="26" t="n"/>
      <c r="G216" s="98" t="n"/>
    </row>
    <row r="217" ht="30" customHeight="1" s="182">
      <c r="A217" s="42" t="n"/>
      <c r="B217" s="73" t="n"/>
      <c r="C217" s="73" t="n"/>
      <c r="D217" s="73" t="n"/>
      <c r="E217" s="73" t="n"/>
      <c r="F217" s="26" t="n"/>
      <c r="G217" s="98" t="n"/>
    </row>
    <row r="218" ht="30" customHeight="1" s="182">
      <c r="A218" s="42" t="n"/>
      <c r="B218" s="73" t="n"/>
      <c r="C218" s="73" t="n"/>
      <c r="D218" s="73" t="n"/>
      <c r="E218" s="73" t="n"/>
      <c r="F218" s="26" t="n"/>
      <c r="G218" s="98" t="n"/>
    </row>
    <row r="219" ht="30" customHeight="1" s="182">
      <c r="A219" s="42" t="n"/>
      <c r="B219" s="73" t="n"/>
      <c r="C219" s="73" t="n"/>
      <c r="D219" s="73" t="n"/>
      <c r="E219" s="73" t="n"/>
      <c r="F219" s="26" t="n"/>
      <c r="G219" s="98" t="n"/>
    </row>
    <row r="220" ht="30" customHeight="1" s="182">
      <c r="A220" s="42" t="n"/>
      <c r="B220" s="73" t="n"/>
      <c r="C220" s="73" t="n"/>
      <c r="D220" s="73" t="n"/>
      <c r="E220" s="73" t="n"/>
      <c r="F220" s="26" t="n"/>
      <c r="G220" s="98" t="n"/>
    </row>
    <row r="221" ht="30" customHeight="1" s="182">
      <c r="A221" s="42" t="n"/>
      <c r="B221" s="73" t="n"/>
      <c r="C221" s="73" t="n"/>
      <c r="D221" s="73" t="n"/>
      <c r="E221" s="73" t="n"/>
      <c r="F221" s="26" t="n"/>
      <c r="G221" s="98" t="n"/>
    </row>
    <row r="222" ht="30" customHeight="1" s="182">
      <c r="A222" s="42" t="n"/>
      <c r="B222" s="73" t="n"/>
      <c r="C222" s="73" t="n"/>
      <c r="D222" s="73" t="n"/>
      <c r="E222" s="73" t="n"/>
      <c r="F222" s="26" t="n"/>
      <c r="G222" s="98" t="n"/>
    </row>
    <row r="223" ht="30" customHeight="1" s="182">
      <c r="A223" s="42" t="n"/>
      <c r="B223" s="73" t="n"/>
      <c r="C223" s="73" t="n"/>
      <c r="D223" s="73" t="n"/>
      <c r="E223" s="73" t="n"/>
      <c r="F223" s="26" t="n"/>
      <c r="G223" s="98" t="n"/>
    </row>
    <row r="224" ht="30" customHeight="1" s="182">
      <c r="A224" s="42" t="n"/>
      <c r="B224" s="73" t="n"/>
      <c r="C224" s="73" t="n"/>
      <c r="D224" s="73" t="n"/>
      <c r="E224" s="73" t="n"/>
      <c r="F224" s="26" t="n"/>
      <c r="G224" s="98" t="n"/>
    </row>
    <row r="225" ht="30" customHeight="1" s="182">
      <c r="A225" s="42" t="n"/>
      <c r="B225" s="73" t="n"/>
      <c r="C225" s="73" t="n"/>
      <c r="D225" s="73" t="n"/>
      <c r="E225" s="73" t="n"/>
      <c r="F225" s="26" t="n"/>
      <c r="G225" s="98" t="n"/>
    </row>
    <row r="226" ht="30" customHeight="1" s="182">
      <c r="A226" s="42" t="n"/>
      <c r="B226" s="73" t="n"/>
      <c r="C226" s="73" t="n"/>
      <c r="D226" s="73" t="n"/>
      <c r="E226" s="73" t="n"/>
      <c r="F226" s="26" t="n"/>
      <c r="G226" s="98" t="n"/>
    </row>
    <row r="227" ht="30" customHeight="1" s="182">
      <c r="A227" s="42" t="n"/>
      <c r="B227" s="73" t="n"/>
      <c r="C227" s="73" t="n"/>
      <c r="D227" s="73" t="n"/>
      <c r="E227" s="73" t="n"/>
      <c r="F227" s="26" t="n"/>
      <c r="G227" s="98" t="n"/>
    </row>
    <row r="228" ht="30" customHeight="1" s="182">
      <c r="A228" s="42" t="n"/>
      <c r="B228" s="73" t="n"/>
      <c r="C228" s="73" t="n"/>
      <c r="D228" s="73" t="n"/>
      <c r="E228" s="73" t="n"/>
      <c r="F228" s="26" t="n"/>
      <c r="G228" s="98" t="n"/>
    </row>
    <row r="229" ht="30" customHeight="1" s="182">
      <c r="A229" s="42" t="n"/>
      <c r="B229" s="73" t="n"/>
      <c r="C229" s="73" t="n"/>
      <c r="D229" s="73" t="n"/>
      <c r="E229" s="73" t="n"/>
      <c r="F229" s="26" t="n"/>
      <c r="G229" s="98" t="n"/>
    </row>
    <row r="230" ht="30" customHeight="1" s="182">
      <c r="A230" s="42" t="n"/>
      <c r="B230" s="73" t="n"/>
      <c r="C230" s="73" t="n"/>
      <c r="D230" s="73" t="n"/>
      <c r="E230" s="73" t="n"/>
      <c r="F230" s="26" t="n"/>
      <c r="G230" s="98" t="n"/>
    </row>
    <row r="231" ht="30" customHeight="1" s="182">
      <c r="A231" s="42" t="n"/>
      <c r="B231" s="73" t="n"/>
      <c r="C231" s="73" t="n"/>
      <c r="D231" s="73" t="n"/>
      <c r="E231" s="73" t="n"/>
      <c r="F231" s="26" t="n"/>
      <c r="G231" s="98" t="n"/>
    </row>
    <row r="232" ht="30" customHeight="1" s="182">
      <c r="A232" s="55" t="n"/>
      <c r="B232" s="80" t="n"/>
      <c r="C232" s="80" t="n"/>
      <c r="D232" s="80" t="n"/>
      <c r="E232" s="80" t="n"/>
      <c r="F232" s="65" t="n"/>
      <c r="G232" s="98" t="n"/>
    </row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  <row r="962" ht="15.75" customHeight="1" s="182"/>
    <row r="963" ht="15.75" customHeight="1" s="182"/>
    <row r="964" ht="15.75" customHeight="1" s="182"/>
    <row r="965" ht="15.75" customHeight="1" s="182"/>
    <row r="966" ht="15.75" customHeight="1" s="182"/>
    <row r="967" ht="15.75" customHeight="1" s="182"/>
    <row r="968" ht="15.75" customHeight="1" s="182"/>
    <row r="969" ht="15.75" customHeight="1" s="182"/>
    <row r="970" ht="15.75" customHeight="1" s="182"/>
    <row r="971" ht="15.75" customHeight="1" s="182"/>
    <row r="972" ht="15.75" customHeight="1" s="182"/>
    <row r="973" ht="15.75" customHeight="1" s="182"/>
    <row r="974" ht="15.75" customHeight="1" s="182"/>
    <row r="975" ht="15.75" customHeight="1" s="182"/>
    <row r="976" ht="15.75" customHeight="1" s="182"/>
    <row r="977" ht="15.75" customHeight="1" s="182"/>
    <row r="978" ht="15.75" customHeight="1" s="182"/>
    <row r="979" ht="15.75" customHeight="1" s="182"/>
    <row r="980" ht="15.75" customHeight="1" s="182"/>
    <row r="981" ht="15.75" customHeight="1" s="182"/>
    <row r="982" ht="15.75" customHeight="1" s="182"/>
    <row r="983" ht="15.75" customHeight="1" s="182"/>
    <row r="984" ht="15.75" customHeight="1" s="182"/>
    <row r="985" ht="15.75" customHeight="1" s="182"/>
    <row r="986" ht="15.75" customHeight="1" s="182"/>
    <row r="987" ht="15.75" customHeight="1" s="182"/>
    <row r="988" ht="15.75" customHeight="1" s="182"/>
    <row r="989" ht="15.75" customHeight="1" s="182"/>
    <row r="990" ht="15.75" customHeight="1" s="182"/>
    <row r="991" ht="15.75" customHeight="1" s="182"/>
    <row r="992" ht="15.75" customHeight="1" s="182"/>
    <row r="993" ht="15.75" customHeight="1" s="182"/>
    <row r="994" ht="15.75" customHeight="1" s="182"/>
    <row r="995" ht="15.75" customHeight="1" s="182"/>
    <row r="996" ht="15.75" customHeight="1" s="182"/>
    <row r="997" ht="15.75" customHeight="1" s="182"/>
    <row r="998" ht="15.75" customHeight="1" s="182"/>
    <row r="999" ht="15.75" customHeight="1" s="182"/>
    <row r="1000" ht="15.75" customHeight="1" s="182"/>
  </sheetData>
  <autoFilter ref="$A$1:$G$232">
    <filterColumn colId="0" hiddenButton="0" showButton="1">
      <filters>
        <filter val="Chile"/>
      </filters>
    </filterColumn>
  </autoFilter>
  <hyperlinks>
    <hyperlink xmlns:r="http://schemas.openxmlformats.org/officeDocument/2006/relationships" ref="E139" r:id="rId1"/>
    <hyperlink xmlns:r="http://schemas.openxmlformats.org/officeDocument/2006/relationships" ref="E189" r:id="rId2"/>
  </hyperlinks>
  <pageMargins left="0.75" right="0.75" top="1" bottom="1" header="0" footer="0"/>
  <pageSetup orientation="portrait" paperSize="9"/>
  <tableParts count="1"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País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>Notas de revisión (29-jul-2026)</t>
        </is>
      </c>
      <c r="N1" s="11" t="inlineStr">
        <is>
          <t>Notas de revisión (Ariela)</t>
        </is>
      </c>
    </row>
    <row r="2" ht="30" customHeight="1" s="182">
      <c r="A2" s="42" t="inlineStr">
        <is>
          <t>Chile</t>
        </is>
      </c>
      <c r="B2" s="15" t="inlineStr">
        <is>
          <t>Asociaciones de seguridad social</t>
        </is>
      </c>
      <c r="C2" s="73" t="inlineStr">
        <is>
          <t>Previsión/pensiones</t>
        </is>
      </c>
      <c r="D2" s="73" t="inlineStr">
        <is>
          <t>Instituto de Previsión Social (IPS)</t>
        </is>
      </c>
      <c r="E2" s="73" t="n"/>
      <c r="F2" s="73" t="inlineStr">
        <is>
          <t>Atención Ciudadana ChileAtiende</t>
        </is>
      </c>
      <c r="G2" s="73" t="inlineStr">
        <is>
          <t>https://www.ips.gob.cl</t>
        </is>
      </c>
      <c r="H2" s="28" t="inlineStr">
        <is>
          <t>no disponible públicamente</t>
        </is>
      </c>
      <c r="I2" s="73" t="inlineStr">
        <is>
          <t>600 440 00 40</t>
        </is>
      </c>
      <c r="J2" s="28" t="inlineStr">
        <is>
          <t>no disponible públicamente</t>
        </is>
      </c>
      <c r="K2" s="73" t="inlineStr">
        <is>
          <t>https://gobiernotransparente.ips.gob.cl/informacion_relevante.html</t>
        </is>
      </c>
      <c r="L2" s="51" t="inlineStr">
        <is>
          <t>CONFIRMADO</t>
        </is>
      </c>
      <c r="M2" s="30" t="inlineStr">
        <is>
          <t>Sin hallazgos.</t>
        </is>
      </c>
      <c r="N2" s="30" t="inlineStr">
        <is>
          <t>Página error en apartado de contacto (sin correo)</t>
        </is>
      </c>
    </row>
    <row r="3" ht="30" customHeight="1" s="182">
      <c r="A3" s="42" t="inlineStr">
        <is>
          <t>Chile</t>
        </is>
      </c>
      <c r="B3" s="15" t="inlineStr">
        <is>
          <t>Asociaciones de seguridad social</t>
        </is>
      </c>
      <c r="C3" s="73" t="inlineStr">
        <is>
          <t>Mutualidad de seguridad laboral (Asociación de Seguridad)</t>
        </is>
      </c>
      <c r="D3" s="73" t="inlineStr">
        <is>
          <t>Asociación Chilena de Seguridad (ACHS)</t>
        </is>
      </c>
      <c r="E3" s="73" t="n"/>
      <c r="F3" s="73" t="inlineStr">
        <is>
          <t>Call Center / Servicio al Cliente</t>
        </is>
      </c>
      <c r="G3" s="73" t="inlineStr">
        <is>
          <t>https://www.achs.cl</t>
        </is>
      </c>
      <c r="H3" s="28" t="inlineStr">
        <is>
          <t>no disponible públicamente</t>
        </is>
      </c>
      <c r="I3" s="73" t="inlineStr">
        <is>
          <t>600 600 2247</t>
        </is>
      </c>
      <c r="J3" s="73" t="inlineStr">
        <is>
          <t>achs@achs.cl</t>
        </is>
      </c>
      <c r="K3" s="73" t="inlineStr">
        <is>
          <t>https://www.achs.cl/portal/ACHS-Corporativo/Paginas/Contactanos.aspx</t>
        </is>
      </c>
      <c r="L3" s="51" t="inlineStr">
        <is>
          <t>CONFIRMADO</t>
        </is>
      </c>
      <c r="M3" s="30" t="inlineStr">
        <is>
          <t>Sin hallazgos.</t>
        </is>
      </c>
      <c r="N3" s="30" t="inlineStr">
        <is>
          <t>Revisado</t>
        </is>
      </c>
    </row>
    <row r="4" ht="30" customHeight="1" s="182">
      <c r="A4" s="42" t="inlineStr">
        <is>
          <t>Chile</t>
        </is>
      </c>
      <c r="B4" s="15" t="inlineStr">
        <is>
          <t>Asociaciones de seguridad social</t>
        </is>
      </c>
      <c r="C4" s="73" t="inlineStr">
        <is>
          <t>Mutualidad de seguridad laboral (Asociación de Seguridad)</t>
        </is>
      </c>
      <c r="D4" s="73" t="inlineStr">
        <is>
          <t>IST (ex Instituto de Seguridad del Trabajo)</t>
        </is>
      </c>
      <c r="E4" s="73" t="n"/>
      <c r="F4" s="73" t="inlineStr">
        <is>
          <t>Contáctanos / IST Educa</t>
        </is>
      </c>
      <c r="G4" s="73" t="inlineStr">
        <is>
          <t>https://www.ist.cl</t>
        </is>
      </c>
      <c r="H4" s="28" t="inlineStr">
        <is>
          <t>no disponible públicamente</t>
        </is>
      </c>
      <c r="I4" s="73" t="inlineStr">
        <is>
          <t>+56 32 226 2000 · Urgencias 800 204 000</t>
        </is>
      </c>
      <c r="J4" s="73" t="inlineStr">
        <is>
          <t>oficinaadherentes@ist.cl</t>
        </is>
      </c>
      <c r="K4" s="73" t="inlineStr">
        <is>
          <t>https://ist.cl/contacto/</t>
        </is>
      </c>
      <c r="L4" s="51" t="inlineStr">
        <is>
          <t>CONFIRMADO</t>
        </is>
      </c>
      <c r="M4" s="30" t="inlineStr">
        <is>
          <t>Sin hallazgos.</t>
        </is>
      </c>
      <c r="N4" s="30" t="inlineStr">
        <is>
          <t>Se añade correo encontrado en pagina oficial</t>
        </is>
      </c>
    </row>
    <row r="5" ht="30" customHeight="1" s="182">
      <c r="A5" s="42" t="inlineStr">
        <is>
          <t>Chile</t>
        </is>
      </c>
      <c r="B5" s="15" t="inlineStr">
        <is>
          <t>Asociaciones de seguridad social</t>
        </is>
      </c>
      <c r="C5" s="73" t="inlineStr">
        <is>
          <t>Mutualidad de seguridad laboral (Asociación de Seguridad)</t>
        </is>
      </c>
      <c r="D5" s="73" t="inlineStr">
        <is>
          <t>Mutual de Seguridad CChC</t>
        </is>
      </c>
      <c r="E5" s="73" t="n"/>
      <c r="F5" s="73" t="inlineStr">
        <is>
          <t>Call Center Corporativo</t>
        </is>
      </c>
      <c r="G5" s="73" t="inlineStr">
        <is>
          <t>https://www.mutual.cl</t>
        </is>
      </c>
      <c r="H5" s="28" t="inlineStr">
        <is>
          <t>no disponible públicamente</t>
        </is>
      </c>
      <c r="I5" s="73" t="inlineStr">
        <is>
          <t>600 2000 555</t>
        </is>
      </c>
      <c r="J5" s="28" t="inlineStr">
        <is>
          <t>no disponible públicamente</t>
        </is>
      </c>
      <c r="K5" s="73" t="inlineStr">
        <is>
          <t>https://www.suseso.gob.cl/609/w3-propertyvalue-10344.html</t>
        </is>
      </c>
      <c r="L5" s="51" t="inlineStr">
        <is>
          <t>CONFIRMADO</t>
        </is>
      </c>
      <c r="M5" s="30" t="inlineStr">
        <is>
          <t>Sin hallazgos.</t>
        </is>
      </c>
      <c r="N5" s="30" t="inlineStr">
        <is>
          <t>No existe correo oficial</t>
        </is>
      </c>
    </row>
    <row r="6" ht="30" customHeight="1" s="182">
      <c r="A6" s="42" t="inlineStr">
        <is>
          <t>Chile</t>
        </is>
      </c>
      <c r="B6" s="15" t="inlineStr">
        <is>
          <t>Asociaciones de seguridad social</t>
        </is>
      </c>
      <c r="C6" s="73" t="inlineStr">
        <is>
          <t>Organismo regulador</t>
        </is>
      </c>
      <c r="D6" s="73" t="inlineStr">
        <is>
          <t>Superintendencia de Seguridad Social (SUSESO)</t>
        </is>
      </c>
      <c r="E6" s="73" t="n"/>
      <c r="F6" s="73" t="inlineStr">
        <is>
          <t>Oficina de Partes / Atención de Usuarios</t>
        </is>
      </c>
      <c r="G6" s="73" t="inlineStr">
        <is>
          <t>https://www.suseso.cl</t>
        </is>
      </c>
      <c r="H6" s="28" t="inlineStr">
        <is>
          <t>no disponible públicamente</t>
        </is>
      </c>
      <c r="I6" s="73" t="inlineStr">
        <is>
          <t>22 620 4500 / 4400</t>
        </is>
      </c>
      <c r="J6" s="73" t="inlineStr">
        <is>
          <t>oficinadepartes@suseso.cl</t>
        </is>
      </c>
      <c r="K6" s="73" t="inlineStr">
        <is>
          <t>https://www.suseso.gob.cl/606/w3-article-19631.html</t>
        </is>
      </c>
      <c r="L6" s="51" t="inlineStr">
        <is>
          <t>CONFIRMADO</t>
        </is>
      </c>
      <c r="M6" s="30" t="inlineStr">
        <is>
          <t>Teléfono confirmado en otra página oficial de SUSESO, no en la URL exacta citada.</t>
        </is>
      </c>
      <c r="N6" s="30" t="inlineStr">
        <is>
          <t>Revisado</t>
        </is>
      </c>
    </row>
    <row r="7" ht="30" customHeight="1" s="182">
      <c r="A7" s="42" t="inlineStr">
        <is>
          <t>Chile</t>
        </is>
      </c>
      <c r="B7" s="15" t="inlineStr">
        <is>
          <t>Asociaciones de seguridad social</t>
        </is>
      </c>
      <c r="C7" s="73" t="inlineStr">
        <is>
          <t>Organismo regulador</t>
        </is>
      </c>
      <c r="D7" s="73" t="inlineStr">
        <is>
          <t>Superintendencia de Pensiones (SP)</t>
        </is>
      </c>
      <c r="E7" s="73" t="n"/>
      <c r="F7" s="73" t="inlineStr">
        <is>
          <t>Unidad de Comunicaciones y Educación Previsional</t>
        </is>
      </c>
      <c r="G7" s="73" t="inlineStr">
        <is>
          <t>https://www.spensiones.cl</t>
        </is>
      </c>
      <c r="H7" s="73" t="inlineStr">
        <is>
          <t>Pamela Alejandra Jimeno Ocares (Jefa de la Unidad de Comunicaciones y Educación Previsional)</t>
        </is>
      </c>
      <c r="I7" s="73" t="inlineStr">
        <is>
          <t>600 006 1013</t>
        </is>
      </c>
      <c r="J7" s="73" t="inlineStr">
        <is>
          <t>transparencia@spensiones.cl</t>
        </is>
      </c>
      <c r="K7" s="73" t="inlineStr">
        <is>
          <t>https://www.spensiones.cl/portal/institucional/594/w3-channel.html</t>
        </is>
      </c>
      <c r="L7" s="134" t="inlineStr">
        <is>
          <t>CORREGIDO</t>
        </is>
      </c>
      <c r="M7" s="30" t="inlineStr">
        <is>
          <t>CONFIRMADO por fuente oficial primaria: Resolución Exenta N°321 (24-feb-2026, spensiones.cl) y otras resoluciones 2022-2026 identifican expresamente a esta persona en este cargo. El dato antes marcado 'no verificado' (fuente Lusha) queda validado de forma independiente. Se ajustó también el nombre de la unidad a la nomenclatura oficial exacta.</t>
        </is>
      </c>
      <c r="N7" s="30" t="inlineStr">
        <is>
          <t xml:space="preserve">Revisado </t>
        </is>
      </c>
    </row>
    <row r="8" ht="30" customHeight="1" s="182">
      <c r="A8" s="42" t="inlineStr">
        <is>
          <t>Chile</t>
        </is>
      </c>
      <c r="B8" s="15" t="inlineStr">
        <is>
          <t>Asociaciones de seguridad social</t>
        </is>
      </c>
      <c r="C8" s="73" t="inlineStr">
        <is>
          <t>Seguro social Ley 16.744 (organismo administrador público)</t>
        </is>
      </c>
      <c r="D8" s="73" t="inlineStr">
        <is>
          <t>Instituto de Seguridad Laboral (ISL)</t>
        </is>
      </c>
      <c r="E8" s="73" t="n"/>
      <c r="F8" s="73" t="inlineStr">
        <is>
          <t>Call Center / Sucursal en línea</t>
        </is>
      </c>
      <c r="G8" s="73" t="inlineStr">
        <is>
          <t>https://www.isl.gob.cl</t>
        </is>
      </c>
      <c r="H8" s="28" t="inlineStr">
        <is>
          <t>no disponible públicamente</t>
        </is>
      </c>
      <c r="I8" s="73" t="inlineStr">
        <is>
          <t>600 586 9090</t>
        </is>
      </c>
      <c r="J8" s="28" t="inlineStr">
        <is>
          <t>no disponible públicamente</t>
        </is>
      </c>
      <c r="K8" s="73" t="inlineStr">
        <is>
          <t>https://www.isl.gob.cl/contacto/</t>
        </is>
      </c>
      <c r="L8" s="51" t="inlineStr">
        <is>
          <t>CONFIRMADO</t>
        </is>
      </c>
      <c r="M8" s="30" t="inlineStr">
        <is>
          <t>Sin hallazgos.</t>
        </is>
      </c>
      <c r="N8" s="30" t="inlineStr">
        <is>
          <t xml:space="preserve">Revisado </t>
        </is>
      </c>
    </row>
    <row r="9" ht="30" customHeight="1" s="182">
      <c r="A9" s="42" t="inlineStr">
        <is>
          <t>Chile</t>
        </is>
      </c>
      <c r="B9" s="15" t="inlineStr">
        <is>
          <t>Asociaciones de seguridad social</t>
        </is>
      </c>
      <c r="C9" s="73" t="inlineStr">
        <is>
          <t>Seguro de cesantía (administrador semi-público)</t>
        </is>
      </c>
      <c r="D9" s="73" t="inlineStr">
        <is>
          <t>AFC Chile (Sociedad Administradora de Fondos de Cesantía)</t>
        </is>
      </c>
      <c r="E9" s="73" t="n"/>
      <c r="F9" s="73" t="inlineStr">
        <is>
          <t>Contact Center</t>
        </is>
      </c>
      <c r="G9" s="73" t="inlineStr">
        <is>
          <t>https://www.afc.cl</t>
        </is>
      </c>
      <c r="H9" s="28" t="inlineStr">
        <is>
          <t>no disponible públicamente</t>
        </is>
      </c>
      <c r="I9" s="73" t="inlineStr">
        <is>
          <t>800 800 232 / 44 202 1100</t>
        </is>
      </c>
      <c r="J9" s="28" t="inlineStr">
        <is>
          <t>no disponible públicamente</t>
        </is>
      </c>
      <c r="K9" s="73" t="inlineStr">
        <is>
          <t>https://www.chileatiende.gob.cl/instituciones/afc</t>
        </is>
      </c>
      <c r="L9" s="51" t="inlineStr">
        <is>
          <t>CONFIRMADO</t>
        </is>
      </c>
      <c r="M9" s="30" t="inlineStr">
        <is>
          <t>Fuente citada (ChileAtiende) no muestra teléfonos; confirmados directamente en afc.cl.</t>
        </is>
      </c>
      <c r="N9" s="30" t="inlineStr">
        <is>
          <t xml:space="preserve">Revisado </t>
        </is>
      </c>
    </row>
    <row r="10" ht="30" customHeight="1" s="182">
      <c r="A10" s="42" t="inlineStr">
        <is>
          <t>Chile</t>
        </is>
      </c>
      <c r="B10" s="15" t="inlineStr">
        <is>
          <t>Asociaciones de seguridad social</t>
        </is>
      </c>
      <c r="C10" s="73" t="inlineStr">
        <is>
          <t>Previsión/pensiones (régimen especial, Carabineros)</t>
        </is>
      </c>
      <c r="D10" s="73" t="inlineStr">
        <is>
          <t>Dirección de Previsión de Carabineros de Chile (DIPRECA)</t>
        </is>
      </c>
      <c r="E10" s="73" t="n"/>
      <c r="F10" s="73" t="inlineStr">
        <is>
          <t>Call Center / Atención al Público</t>
        </is>
      </c>
      <c r="G10" s="73" t="inlineStr">
        <is>
          <t>https://www.dipreca.cl</t>
        </is>
      </c>
      <c r="H10" s="28" t="inlineStr">
        <is>
          <t>no disponible públicamente</t>
        </is>
      </c>
      <c r="I10" s="73" t="inlineStr">
        <is>
          <t>600 6135 600 / 22 707 4258</t>
        </is>
      </c>
      <c r="J10" s="28" t="inlineStr">
        <is>
          <t>no disponible públicamente (el correo original no se confirmó en ningún canal oficial)</t>
        </is>
      </c>
      <c r="K10" s="36" t="inlineStr">
        <is>
          <t>https://www.chileatiende.gob.cl/instituciones/AD016</t>
        </is>
      </c>
      <c r="L10" s="134" t="inlineStr">
        <is>
          <t>CORREGIDO</t>
        </is>
      </c>
      <c r="M10" s="30" t="inlineStr">
        <is>
          <t>El email declarado no se encontró en ningún canal oficial revisado; reemplazado por 'no disponible públicamente'. Teléfonos sí confirmados directamente en dipreca.gob.cl.</t>
        </is>
      </c>
      <c r="N10" s="30" t="inlineStr">
        <is>
          <t xml:space="preserve">No se encontró email oficial </t>
        </is>
      </c>
    </row>
    <row r="11" ht="30" customHeight="1" s="182">
      <c r="A11" s="42" t="inlineStr">
        <is>
          <t>Chile</t>
        </is>
      </c>
      <c r="B11" s="15" t="inlineStr">
        <is>
          <t>Asociaciones de seguridad social</t>
        </is>
      </c>
      <c r="C11" s="73" t="inlineStr">
        <is>
          <t>Previsión/pensiones (régimen especial, FF.AA.)</t>
        </is>
      </c>
      <c r="D11" s="73" t="inlineStr">
        <is>
          <t>Caja de Previsión de la Defensa Nacional (CAPREDENA)</t>
        </is>
      </c>
      <c r="E11" s="73" t="n"/>
      <c r="F11" s="73" t="inlineStr">
        <is>
          <t>Oficina de Atención / Call Center</t>
        </is>
      </c>
      <c r="G11" s="73" t="inlineStr">
        <is>
          <t>https://www.capredena.gob.cl</t>
        </is>
      </c>
      <c r="H11" s="28" t="inlineStr">
        <is>
          <t>no disponible públicamente</t>
        </is>
      </c>
      <c r="I11" s="73" t="inlineStr">
        <is>
          <t>(56-2) 2830 6600 / 600 830 6700 — Call Center (corregido, el segundo número original no existe)</t>
        </is>
      </c>
      <c r="J11" s="28" t="inlineStr">
        <is>
          <t>no disponible públicamente</t>
        </is>
      </c>
      <c r="K11" s="73" t="inlineStr">
        <is>
          <t>https://www.chileatiende.gob.cl/instituciones/capredena</t>
        </is>
      </c>
      <c r="L11" s="134" t="inlineStr">
        <is>
          <t>CORREGIDO</t>
        </is>
      </c>
      <c r="M11" s="30" t="inlineStr">
        <is>
          <t>El segundo teléfono original (2830 6500) no se encontró en ninguna fuente oficial; reemplazado por el Call Center oficial vigente.</t>
        </is>
      </c>
      <c r="N11" s="30" t="inlineStr">
        <is>
          <t xml:space="preserve">No se encontró email oficial </t>
        </is>
      </c>
    </row>
    <row r="12" ht="30" customHeight="1" s="182">
      <c r="A12" s="42" t="inlineStr">
        <is>
          <t>Chile</t>
        </is>
      </c>
      <c r="B12" s="15" t="inlineStr">
        <is>
          <t>Asociaciones de seguridad social</t>
        </is>
      </c>
      <c r="C12" s="73" t="inlineStr">
        <is>
          <t>Compensación familiar (CCAF, semi-pública)</t>
        </is>
      </c>
      <c r="D12" s="73" t="inlineStr">
        <is>
          <t>Caja de Compensación Los Andes</t>
        </is>
      </c>
      <c r="E12" s="73" t="n"/>
      <c r="F12" s="73" t="inlineStr">
        <is>
          <t>Call Center</t>
        </is>
      </c>
      <c r="G12" s="73" t="inlineStr">
        <is>
          <t>https://www.cajalosandes.cl</t>
        </is>
      </c>
      <c r="H12" s="28" t="inlineStr">
        <is>
          <t>no disponible públicamente</t>
        </is>
      </c>
      <c r="I12" s="73" t="inlineStr">
        <is>
          <t>600 510 0000</t>
        </is>
      </c>
      <c r="J12" s="28" t="inlineStr">
        <is>
          <t>no disponible públicamente</t>
        </is>
      </c>
      <c r="K12" s="33" t="inlineStr">
        <is>
          <t>https://www.suseso.cl/609/w3-propertyvalue-10337.html</t>
        </is>
      </c>
      <c r="L12" s="51" t="inlineStr">
        <is>
          <t>CONFIRMADO</t>
        </is>
      </c>
      <c r="M12" s="30" t="inlineStr">
        <is>
          <t>Sin hallazgos.</t>
        </is>
      </c>
      <c r="N12" s="30" t="inlineStr">
        <is>
          <t xml:space="preserve">No se encontró email oficial </t>
        </is>
      </c>
    </row>
    <row r="13" ht="30" customHeight="1" s="182">
      <c r="A13" s="42" t="inlineStr">
        <is>
          <t>Chile</t>
        </is>
      </c>
      <c r="B13" s="15" t="inlineStr">
        <is>
          <t>Asociaciones de seguridad social</t>
        </is>
      </c>
      <c r="C13" s="73" t="inlineStr">
        <is>
          <t>Compensación familiar (CCAF, semi-pública)</t>
        </is>
      </c>
      <c r="D13" s="73" t="inlineStr">
        <is>
          <t>Caja de Compensación La Araucana</t>
        </is>
      </c>
      <c r="E13" s="73" t="n"/>
      <c r="F13" s="73" t="inlineStr">
        <is>
          <t>Call Center</t>
        </is>
      </c>
      <c r="G13" s="73" t="inlineStr">
        <is>
          <t>https://www.laaraucana.cl</t>
        </is>
      </c>
      <c r="H13" s="28" t="inlineStr">
        <is>
          <t>no disponible públicamente</t>
        </is>
      </c>
      <c r="I13" s="73" t="inlineStr">
        <is>
          <t>600 4228 100</t>
        </is>
      </c>
      <c r="J13" s="28" t="inlineStr">
        <is>
          <t>no disponible públicamente</t>
        </is>
      </c>
      <c r="K13" s="73" t="inlineStr">
        <is>
          <t>https://www.suseso.gob.cl/609/w3-propertyvalue-10338.html</t>
        </is>
      </c>
      <c r="L13" s="51" t="inlineStr">
        <is>
          <t>CONFIRMADO</t>
        </is>
      </c>
      <c r="M13" s="30" t="inlineStr">
        <is>
          <t>Sin hallazgos.</t>
        </is>
      </c>
      <c r="N13" s="30" t="inlineStr">
        <is>
          <t xml:space="preserve">No se encontró email oficial </t>
        </is>
      </c>
    </row>
    <row r="14" ht="30" customHeight="1" s="182">
      <c r="A14" s="42" t="inlineStr">
        <is>
          <t>Chile</t>
        </is>
      </c>
      <c r="B14" s="15" t="inlineStr">
        <is>
          <t>Asociaciones de seguridad social</t>
        </is>
      </c>
      <c r="C14" s="73" t="inlineStr">
        <is>
          <t>Compensación familiar (CCAF, semi-pública)</t>
        </is>
      </c>
      <c r="D14" s="73" t="inlineStr">
        <is>
          <t>Caja de Compensación Los Héroes</t>
        </is>
      </c>
      <c r="E14" s="73" t="n"/>
      <c r="F14" s="73" t="inlineStr">
        <is>
          <t>Call Center</t>
        </is>
      </c>
      <c r="G14" s="73" t="inlineStr">
        <is>
          <t>https://www.losheroes.cl</t>
        </is>
      </c>
      <c r="H14" s="28" t="inlineStr">
        <is>
          <t>no disponible públicamente</t>
        </is>
      </c>
      <c r="I14" s="73" t="inlineStr">
        <is>
          <t>600 222 7777 / 600 222 9999</t>
        </is>
      </c>
      <c r="J14" s="28" t="inlineStr">
        <is>
          <t>no disponible públicamente</t>
        </is>
      </c>
      <c r="K14" s="73" t="inlineStr">
        <is>
          <t>https://www.losheroes.cl/trabajadores/sucursales</t>
        </is>
      </c>
      <c r="L14" s="51" t="inlineStr">
        <is>
          <t>CONFIRMADO</t>
        </is>
      </c>
      <c r="M14" s="30" t="inlineStr">
        <is>
          <t>Sin hallazgos.</t>
        </is>
      </c>
      <c r="N14" s="30" t="inlineStr">
        <is>
          <t xml:space="preserve">No se encontró email oficial </t>
        </is>
      </c>
    </row>
    <row r="15" ht="30" customHeight="1" s="182">
      <c r="A15" s="42" t="inlineStr">
        <is>
          <t>Chile</t>
        </is>
      </c>
      <c r="B15" s="15" t="inlineStr">
        <is>
          <t>Asociaciones de seguridad social</t>
        </is>
      </c>
      <c r="C15" s="73" t="inlineStr">
        <is>
          <t>Compensación familiar (CCAF, semi-pública)</t>
        </is>
      </c>
      <c r="D15" s="73" t="inlineStr">
        <is>
          <t>Caja de Compensación 18 de Septiembre</t>
        </is>
      </c>
      <c r="E15" s="73" t="n"/>
      <c r="F15" s="73" t="inlineStr">
        <is>
          <t>Atención al Cliente</t>
        </is>
      </c>
      <c r="G15" s="73" t="inlineStr">
        <is>
          <t>https://www.caja18.cl</t>
        </is>
      </c>
      <c r="H15" s="28" t="inlineStr">
        <is>
          <t>no disponible públicamente</t>
        </is>
      </c>
      <c r="I15" s="73" t="inlineStr">
        <is>
          <t>(56-34) 237 0320</t>
        </is>
      </c>
      <c r="J15" s="28" t="inlineStr">
        <is>
          <t>no disponible públicamente</t>
        </is>
      </c>
      <c r="K15" s="73" t="inlineStr">
        <is>
          <t>https://www.mercantil.com/empresa/ccaf-18-de-septiembre/los-andes/300240054/esp/</t>
        </is>
      </c>
      <c r="L15" s="35" t="inlineStr">
        <is>
          <t>VERIFICAR</t>
        </is>
      </c>
      <c r="M15" s="30" t="inlineStr">
        <is>
          <t>Fuente citada (mercantil.com) está caída. El teléfono declarado no aparece en el sitio oficial caja18.cl, que muestra un Call Center distinto (600 718 18 18). Confirmar directamente antes de contactar.</t>
        </is>
      </c>
      <c r="N15" s="30" t="inlineStr">
        <is>
          <t>Teléfono de contacto en pagina oficial 600 718 18 18 (pendiente llamar)</t>
        </is>
      </c>
    </row>
    <row r="16" ht="30" customHeight="1" s="182">
      <c r="A16" s="42" t="inlineStr">
        <is>
          <t>Chile</t>
        </is>
      </c>
      <c r="B16" s="15" t="inlineStr">
        <is>
          <t>Asociaciones de seguridad social</t>
        </is>
      </c>
      <c r="C16" s="73" t="inlineStr">
        <is>
          <t>Previsión/salud pública</t>
        </is>
      </c>
      <c r="D16" s="73" t="inlineStr">
        <is>
          <t>Fondo Nacional de Salud (FONASA)</t>
        </is>
      </c>
      <c r="E16" s="73" t="n"/>
      <c r="F16" s="73" t="inlineStr">
        <is>
          <t>Call Center Fonasa</t>
        </is>
      </c>
      <c r="G16" s="73" t="inlineStr">
        <is>
          <t>https://www.fonasa.cl</t>
        </is>
      </c>
      <c r="H16" s="28" t="inlineStr">
        <is>
          <t>no disponible públicamente</t>
        </is>
      </c>
      <c r="I16" s="73" t="inlineStr">
        <is>
          <t>600 360 3000</t>
        </is>
      </c>
      <c r="J16" s="28" t="inlineStr">
        <is>
          <t>no disponible públicamente</t>
        </is>
      </c>
      <c r="K16" s="73" t="inlineStr">
        <is>
          <t>https://www.fonasa.gob.cl/</t>
        </is>
      </c>
      <c r="L16" s="51" t="inlineStr">
        <is>
          <t>CONFIRMADO</t>
        </is>
      </c>
      <c r="M16" s="30" t="inlineStr">
        <is>
          <t>Sin hallazgos.</t>
        </is>
      </c>
      <c r="N16" s="30" t="inlineStr">
        <is>
          <t xml:space="preserve">No se encontró email oficial </t>
        </is>
      </c>
    </row>
    <row r="17" ht="30" customHeight="1" s="182">
      <c r="A17" s="42" t="inlineStr">
        <is>
          <t>Chile</t>
        </is>
      </c>
      <c r="B17" s="15" t="inlineStr">
        <is>
          <t>Asociaciones de seguridad social</t>
        </is>
      </c>
      <c r="C17" s="73" t="inlineStr">
        <is>
          <t>Organismo regulador</t>
        </is>
      </c>
      <c r="D17" s="73" t="inlineStr">
        <is>
          <t>Superintendencia de Salud</t>
        </is>
      </c>
      <c r="E17" s="73" t="n"/>
      <c r="F17" s="73" t="inlineStr">
        <is>
          <t>Contáctanos / Atención Ciudadana</t>
        </is>
      </c>
      <c r="G17" s="73" t="inlineStr">
        <is>
          <t>https://www.supersalud.gob.cl</t>
        </is>
      </c>
      <c r="H17" s="28" t="inlineStr">
        <is>
          <t>no disponible públicamente</t>
        </is>
      </c>
      <c r="I17" s="73" t="inlineStr">
        <is>
          <t>600 836 9000</t>
        </is>
      </c>
      <c r="J17" s="28" t="inlineStr">
        <is>
          <t>no disponible públicamente</t>
        </is>
      </c>
      <c r="K17" s="73" t="inlineStr">
        <is>
          <t>https://www.supersalud.gob.cl/664/w3-propertyvalue-794.html</t>
        </is>
      </c>
      <c r="L17" s="51" t="inlineStr">
        <is>
          <t>CONFIRMADO</t>
        </is>
      </c>
      <c r="M17" s="30" t="inlineStr">
        <is>
          <t>Sin hallazgos.</t>
        </is>
      </c>
      <c r="N17" s="30" t="inlineStr">
        <is>
          <t xml:space="preserve">No se encontró email oficial </t>
        </is>
      </c>
    </row>
    <row r="18" ht="30" customHeight="1" s="182">
      <c r="A18" s="42" t="inlineStr">
        <is>
          <t>Chile</t>
        </is>
      </c>
      <c r="B18" s="15" t="inlineStr">
        <is>
          <t>Escuelas de gobierno y administración pública</t>
        </is>
      </c>
      <c r="C18" s="73" t="inlineStr">
        <is>
          <t>Pública — capacitación transversal función pública</t>
        </is>
      </c>
      <c r="D18" s="73" t="inlineStr">
        <is>
          <t>Dirección Nacional del Servicio Civil — Campus SC</t>
        </is>
      </c>
      <c r="E18" s="73" t="n"/>
      <c r="F18" s="73" t="inlineStr">
        <is>
          <t>Mesa de Ayuda CAMPUS SC</t>
        </is>
      </c>
      <c r="G18" s="73" t="inlineStr">
        <is>
          <t>https://campus.serviciocivil.cl</t>
        </is>
      </c>
      <c r="H18" s="73" t="inlineStr">
        <is>
          <t>Pedro Lea-Plaza Edwards (Director Nacional)</t>
        </is>
      </c>
      <c r="I18" s="73" t="inlineStr">
        <is>
          <t>+56 2 3203 5980 / 800 719 500</t>
        </is>
      </c>
      <c r="J18" s="73" t="inlineStr">
        <is>
          <t>mesadeayuda.sc@babelgroup.com</t>
        </is>
      </c>
      <c r="K18" s="73" t="inlineStr">
        <is>
          <t>https://serviciocivil.cl/contacto</t>
        </is>
      </c>
      <c r="L18" s="51" t="inlineStr">
        <is>
          <t>CONFIRMADO</t>
        </is>
      </c>
      <c r="M18" s="30" t="inlineStr">
        <is>
          <t>Sin hallazgos.</t>
        </is>
      </c>
      <c r="N18" s="30" t="inlineStr">
        <is>
          <t>Revisado</t>
        </is>
      </c>
    </row>
    <row r="19" ht="30" customHeight="1" s="182">
      <c r="A19" s="42" t="inlineStr">
        <is>
          <t>Chile</t>
        </is>
      </c>
      <c r="B19" s="15" t="inlineStr">
        <is>
          <t>Escuelas de gobierno y administración pública</t>
        </is>
      </c>
      <c r="C19" s="73" t="inlineStr">
        <is>
          <t>Pública (universidad estatal)</t>
        </is>
      </c>
      <c r="D19" s="73" t="inlineStr">
        <is>
          <t>Facultad de Gobierno, Universidad de Chile (ex INAP)</t>
        </is>
      </c>
      <c r="E19" s="73" t="n"/>
      <c r="F19" s="73" t="inlineStr">
        <is>
          <t>Centro de Análisis de Políticas Públicas</t>
        </is>
      </c>
      <c r="G19" s="73" t="inlineStr">
        <is>
          <t>https://gobierno.uchile.cl</t>
        </is>
      </c>
      <c r="H19" s="73" t="inlineStr">
        <is>
          <t>Héctor Anabalón (Secretario Ejecutivo CAPP)</t>
        </is>
      </c>
      <c r="I19" s="73" t="inlineStr">
        <is>
          <t>+56 2 2977 1484 / +56 2 2977 1445</t>
        </is>
      </c>
      <c r="J19" s="73" t="inlineStr">
        <is>
          <t>capp@gobierno.uchile.cl</t>
        </is>
      </c>
      <c r="K19" s="73" t="inlineStr">
        <is>
          <t>https://gobierno.uchile.cl/politicas-publicas/presentacion/contacto</t>
        </is>
      </c>
      <c r="L19" s="51" t="inlineStr">
        <is>
          <t>CONFIRMADO</t>
        </is>
      </c>
      <c r="M19" s="30" t="inlineStr">
        <is>
          <t>Sin hallazgos.</t>
        </is>
      </c>
      <c r="N19" s="30" t="inlineStr">
        <is>
          <t>Revisado</t>
        </is>
      </c>
    </row>
    <row r="20" ht="30" customHeight="1" s="182">
      <c r="A20" s="42" t="inlineStr">
        <is>
          <t>Chile</t>
        </is>
      </c>
      <c r="B20" s="15" t="inlineStr">
        <is>
          <t>Escuelas de gobierno y administración pública</t>
        </is>
      </c>
      <c r="C20" s="73" t="inlineStr">
        <is>
          <t>Privada — escuela de gobierno universitaria</t>
        </is>
      </c>
      <c r="D20" s="73" t="inlineStr">
        <is>
          <t>Escuela de Gobierno, Universidad Adolfo Ibáñez (UAI)</t>
        </is>
      </c>
      <c r="E20" s="73" t="n"/>
      <c r="F20" s="73" t="inlineStr">
        <is>
          <t>Decanato Escuela de Gobierno</t>
        </is>
      </c>
      <c r="G20" s="73" t="inlineStr">
        <is>
          <t>https://www.uai.cl/gobierno</t>
        </is>
      </c>
      <c r="H20" s="73" t="inlineStr">
        <is>
          <t>María José Naudon (Decana)</t>
        </is>
      </c>
      <c r="I20" s="73" t="inlineStr">
        <is>
          <t>(56 2) 2331 1000</t>
        </is>
      </c>
      <c r="J20" s="28" t="inlineStr">
        <is>
          <t>no disponible públicamente</t>
        </is>
      </c>
      <c r="K20" s="73" t="inlineStr">
        <is>
          <t>https://uai.cl/gobierno</t>
        </is>
      </c>
      <c r="L20" s="51" t="inlineStr">
        <is>
          <t>CONFIRMADO</t>
        </is>
      </c>
      <c r="M20" s="30" t="inlineStr">
        <is>
          <t>Decana confirmada vigente.</t>
        </is>
      </c>
      <c r="N20" s="30" t="inlineStr">
        <is>
          <t>Revisado</t>
        </is>
      </c>
    </row>
    <row r="21" ht="30" customHeight="1" s="182">
      <c r="A21" s="42" t="inlineStr">
        <is>
          <t>Chile</t>
        </is>
      </c>
      <c r="B21" s="15" t="inlineStr">
        <is>
          <t>Escuelas de gobierno y administración pública</t>
        </is>
      </c>
      <c r="C21" s="73" t="inlineStr">
        <is>
          <t>Privada (universidad tradicional cofinanciada por el Estado)</t>
        </is>
      </c>
      <c r="D21" s="73" t="inlineStr">
        <is>
          <t>Escuela de Gobierno, Pontificia Universidad Católica de Chile (UC)</t>
        </is>
      </c>
      <c r="E21" s="73" t="n"/>
      <c r="F21" s="73" t="inlineStr">
        <is>
          <t>Secretaría Escuela de Gobierno UC</t>
        </is>
      </c>
      <c r="G21" s="73" t="inlineStr">
        <is>
          <t>https://gobierno.uc.cl</t>
        </is>
      </c>
      <c r="H21" s="28" t="inlineStr">
        <is>
          <t>no disponible públicamente</t>
        </is>
      </c>
      <c r="I21" s="73" t="inlineStr">
        <is>
          <t>+56 2 2354 7770</t>
        </is>
      </c>
      <c r="J21" s="73" t="inlineStr">
        <is>
          <t>escueladegobierno@uc.cl</t>
        </is>
      </c>
      <c r="K21" s="73" t="inlineStr">
        <is>
          <t>https://gobierno.uc.cl/contacto</t>
        </is>
      </c>
      <c r="L21" s="51" t="inlineStr">
        <is>
          <t>CONFIRMADO</t>
        </is>
      </c>
      <c r="M21" s="30" t="inlineStr">
        <is>
          <t>Sin hallazgos.</t>
        </is>
      </c>
      <c r="N21" s="30" t="inlineStr">
        <is>
          <t>Revisado</t>
        </is>
      </c>
    </row>
    <row r="22" ht="30" customHeight="1" s="182">
      <c r="A22" s="42" t="inlineStr">
        <is>
          <t>Chile</t>
        </is>
      </c>
      <c r="B22" s="15" t="inlineStr">
        <is>
          <t>Escuelas de gobierno y administración pública</t>
        </is>
      </c>
      <c r="C22" s="73" t="inlineStr">
        <is>
          <t>Pública — formación de funcionarios de gobiernos regionales/municipales</t>
        </is>
      </c>
      <c r="D22" s="73" t="inlineStr">
        <is>
          <t>Academia de Capacitación Municipal y Regional (SUBDERE)</t>
        </is>
      </c>
      <c r="E22" s="73" t="n"/>
      <c r="F22" s="73" t="inlineStr">
        <is>
          <t>Departamento Academia de Capacitación Municipal y Regional</t>
        </is>
      </c>
      <c r="G22" s="183" t="inlineStr">
        <is>
          <t>https://academia.subdere.gov.cl</t>
        </is>
      </c>
      <c r="H22" s="73" t="inlineStr">
        <is>
          <t>Macarena Prats (Jefa de Academia)</t>
        </is>
      </c>
      <c r="I22" s="73" t="inlineStr">
        <is>
          <t>(2) 2636 3600</t>
        </is>
      </c>
      <c r="J22" s="73" t="inlineStr">
        <is>
          <t>diplomados.academia@subdere.gov.cl</t>
        </is>
      </c>
      <c r="K22" s="73" t="inlineStr">
        <is>
          <t>https://subdere.gov.cl/organización/departamento-academia-de-capacitación-municipal-y-regional</t>
        </is>
      </c>
      <c r="L22" s="134" t="inlineStr">
        <is>
          <t>CORREGIDO</t>
        </is>
      </c>
      <c r="M22" s="184" t="inlineStr">
        <is>
          <t>ERROR CRÍTICO: la URL original correspondía a una empresa privada de capacitación (OTEC) sin relación con SUBDERE — no al organismo de gobierno. Corregida a la URL oficial. El resto de los datos (unidad, nombre, teléfono, email) sí correspondían al organismo oficial. | Auditoría 08-oct-2026: Texto movido desde web: "(corregido — el original era el sitio de una OTEC privada sin relación con SUBDERE)"</t>
        </is>
      </c>
      <c r="N22" s="30" t="inlineStr">
        <is>
          <t xml:space="preserve">REVISAR AL FINAL </t>
        </is>
      </c>
    </row>
    <row r="23" ht="30" customHeight="1" s="182">
      <c r="A23" s="42" t="inlineStr">
        <is>
          <t>Chile</t>
        </is>
      </c>
      <c r="B23" s="15" t="inlineStr">
        <is>
          <t>Formación técnica pública</t>
        </is>
      </c>
      <c r="C23" s="73" t="inlineStr">
        <is>
          <t>CFT Estatal (Ley 20.910)</t>
        </is>
      </c>
      <c r="D23" s="73" t="inlineStr">
        <is>
          <t>CFT Estatal de Arica y Parinacota</t>
        </is>
      </c>
      <c r="E23" s="73" t="n"/>
      <c r="F23" s="73" t="inlineStr">
        <is>
          <t>Vinculación con el Medio</t>
        </is>
      </c>
      <c r="G23" s="73" t="inlineStr">
        <is>
          <t>https://cftestatalaricayparinacota.cl/contacto/</t>
        </is>
      </c>
      <c r="H23" s="73" t="inlineStr">
        <is>
          <t>Carlos Araos Uribe (Rector)</t>
        </is>
      </c>
      <c r="I23" s="73" t="inlineStr">
        <is>
          <t>+56 57 2398314 / +56 57 2398309</t>
        </is>
      </c>
      <c r="J23" s="73" t="inlineStr">
        <is>
          <t>admision@cftestatalaricayparinacota.cl</t>
        </is>
      </c>
      <c r="K23" s="73" t="inlineStr">
        <is>
          <t>https://cftestatalaricayparinacota.cl/contacto/</t>
        </is>
      </c>
      <c r="L23" s="35" t="inlineStr">
        <is>
          <t>VERIFICAR</t>
        </is>
      </c>
      <c r="M23" s="30" t="inlineStr">
        <is>
          <t>Nombre del rector confirmado vía directorio oficial MINEDUC y resoluciones ADP. Teléfono y email de la unidad no pudieron confirmarse de forma independiente.</t>
        </is>
      </c>
      <c r="N23" s="30" t="inlineStr">
        <is>
          <t>Revisado</t>
        </is>
      </c>
    </row>
    <row r="24" ht="30" customHeight="1" s="182">
      <c r="A24" s="42" t="inlineStr">
        <is>
          <t>Chile</t>
        </is>
      </c>
      <c r="B24" s="15" t="inlineStr">
        <is>
          <t>Formación técnica pública</t>
        </is>
      </c>
      <c r="C24" s="73" t="inlineStr">
        <is>
          <t>CFT Estatal (Ley 20.910)</t>
        </is>
      </c>
      <c r="D24" s="73" t="inlineStr">
        <is>
          <t>CFT Estatal de la Región de Tarapacá</t>
        </is>
      </c>
      <c r="E24" s="73" t="n"/>
      <c r="F24" s="73" t="inlineStr">
        <is>
          <t>Bienestar Estudiantil</t>
        </is>
      </c>
      <c r="G24" s="73" t="inlineStr">
        <is>
          <t>https://www.cftestataltarapaca.cl/inicio/guia-telefonica/</t>
        </is>
      </c>
      <c r="H24" s="73" t="inlineStr">
        <is>
          <t>Roberto Urdanivia Carvajal (Rector S)</t>
        </is>
      </c>
      <c r="I24" s="73" t="inlineStr">
        <is>
          <t>+56 57 2267571 / 2267572</t>
        </is>
      </c>
      <c r="J24" s="73" t="inlineStr">
        <is>
          <t>comunicaciones@cftestataltarapaca.cl</t>
        </is>
      </c>
      <c r="K24" s="73" t="inlineStr">
        <is>
          <t>https://www.cftestataltarapaca.cl/inicio/guia-telefonica/</t>
        </is>
      </c>
      <c r="L24" s="43" t="inlineStr">
        <is>
          <t>CONFIRMADO</t>
        </is>
      </c>
      <c r="M24" s="30" t="inlineStr">
        <is>
          <t>Teléfono y email confirmados exactos. El nombre del rector (subrogante) se confirma en prensa local 2026, pero el directorio central MINEDUC (dic-2025) lista a otra persona — posible desactualización del directorio central. Confirmar telefónicamente antes de contactar.</t>
        </is>
      </c>
      <c r="N24" s="30" t="inlineStr">
        <is>
          <t>Confirmado por Linkedin Roberto Rector 2026</t>
        </is>
      </c>
    </row>
    <row r="25" ht="30" customHeight="1" s="182">
      <c r="A25" s="42" t="inlineStr">
        <is>
          <t>Chile</t>
        </is>
      </c>
      <c r="B25" s="15" t="inlineStr">
        <is>
          <t>Formación técnica pública</t>
        </is>
      </c>
      <c r="C25" s="73" t="inlineStr">
        <is>
          <t>CFT Estatal (Ley 20.910)</t>
        </is>
      </c>
      <c r="D25" s="73" t="inlineStr">
        <is>
          <t>CFT Estatal de la Región de Antofagasta</t>
        </is>
      </c>
      <c r="E25" s="73" t="n"/>
      <c r="F25" s="73" t="inlineStr">
        <is>
          <t>Vinculación con el Medio</t>
        </is>
      </c>
      <c r="G25" s="73" t="inlineStr">
        <is>
          <t>https://www.cfta.cl/vinculacion-con-el-medio/</t>
        </is>
      </c>
      <c r="H25" s="73" t="inlineStr">
        <is>
          <t>Alejandra Contador Olivares (Coord. VCM)</t>
        </is>
      </c>
      <c r="I25" s="73" t="inlineStr">
        <is>
          <t>+56 2 554 650 / +56 9 6766 6296</t>
        </is>
      </c>
      <c r="J25" s="73" t="inlineStr">
        <is>
          <t>alejandra.contador@cfta.cl</t>
        </is>
      </c>
      <c r="K25" s="73" t="inlineStr">
        <is>
          <t>https://www.cfta.cl/equipo-cft/</t>
        </is>
      </c>
      <c r="L25" s="51" t="inlineStr">
        <is>
          <t>CONFIRMADO</t>
        </is>
      </c>
      <c r="M25" s="30" t="inlineStr">
        <is>
          <t>Datos de personal confirmados en fuente alterna (cfta.cl/equipo-cft/), no en la URL de VCM citada.</t>
        </is>
      </c>
      <c r="N25" s="30" t="inlineStr">
        <is>
          <t>Revisado</t>
        </is>
      </c>
    </row>
    <row r="26" ht="30" customHeight="1" s="182">
      <c r="A26" s="42" t="inlineStr">
        <is>
          <t>Chile</t>
        </is>
      </c>
      <c r="B26" s="15" t="inlineStr">
        <is>
          <t>Formación técnica pública</t>
        </is>
      </c>
      <c r="C26" s="73" t="inlineStr">
        <is>
          <t>CFT Estatal (Ley 20.910)</t>
        </is>
      </c>
      <c r="D26" s="73" t="inlineStr">
        <is>
          <t>CFT Estatal de la Región de Atacama</t>
        </is>
      </c>
      <c r="E26" s="73" t="n"/>
      <c r="F26" s="73" t="inlineStr">
        <is>
          <t>Vinculación con el Medio</t>
        </is>
      </c>
      <c r="G26" s="73" t="inlineStr">
        <is>
          <t>http://cftdeatacama.cl/planillavcm.html</t>
        </is>
      </c>
      <c r="H26" s="73" t="inlineStr">
        <is>
          <t>Rodrigo Meriño Aranda (Rector)</t>
        </is>
      </c>
      <c r="I26" s="73" t="inlineStr">
        <is>
          <t>+56 9 4467 8144</t>
        </is>
      </c>
      <c r="J26" s="73" t="inlineStr">
        <is>
          <t>contacto@cftdeatacama.cl</t>
        </is>
      </c>
      <c r="K26" s="73" t="inlineStr">
        <is>
          <t>http://cftdeatacama.cl/planillavcm.html</t>
        </is>
      </c>
      <c r="L26" s="51" t="inlineStr">
        <is>
          <t>CONFIRMADO</t>
        </is>
      </c>
      <c r="M26" s="30" t="inlineStr">
        <is>
          <t>Sin hallazgos.</t>
        </is>
      </c>
      <c r="N26" s="30" t="inlineStr">
        <is>
          <t>Revisado</t>
        </is>
      </c>
    </row>
    <row r="27" ht="30" customHeight="1" s="182">
      <c r="A27" s="42" t="inlineStr">
        <is>
          <t>Chile</t>
        </is>
      </c>
      <c r="B27" s="15" t="inlineStr">
        <is>
          <t>Formación técnica pública</t>
        </is>
      </c>
      <c r="C27" s="73" t="inlineStr">
        <is>
          <t>CFT Estatal (Ley 20.910)</t>
        </is>
      </c>
      <c r="D27" s="73" t="inlineStr">
        <is>
          <t>CFT Estatal de la Región de Coquimbo</t>
        </is>
      </c>
      <c r="E27" s="73" t="n"/>
      <c r="F27" s="73" t="inlineStr">
        <is>
          <t>Vinculación con el Medio</t>
        </is>
      </c>
      <c r="G27" s="73" t="inlineStr">
        <is>
          <t>https://cftregioncoquimbo.cl/vinculacion-con-el-medio/</t>
        </is>
      </c>
      <c r="H27" s="73" t="inlineStr">
        <is>
          <t>Alejandra Toro Collins (Encargada VCM)</t>
        </is>
      </c>
      <c r="I27" s="73" t="inlineStr">
        <is>
          <t>+56 51 236 2300</t>
        </is>
      </c>
      <c r="J27" s="73" t="inlineStr">
        <is>
          <t>info@cftregioncoquimbo.cl</t>
        </is>
      </c>
      <c r="K27" s="73" t="inlineStr">
        <is>
          <t>https://cftregioncoquimbo.cl/vinculacion-con-el-medio/</t>
        </is>
      </c>
      <c r="L27" s="35" t="inlineStr">
        <is>
          <t>VERIFICAR</t>
        </is>
      </c>
      <c r="M27" s="30" t="inlineStr">
        <is>
          <t>Página específica de VCM no cargó. Cargo real sería 'Jefa de VCM'. Email declarado no confirmado — el dominio de correos institucionales detectado es @cftcq.cl, genera duda sobre el dominio correcto.</t>
        </is>
      </c>
      <c r="N27" s="30" t="inlineStr">
        <is>
          <t>Pendiente</t>
        </is>
      </c>
    </row>
    <row r="28" ht="30" customHeight="1" s="182">
      <c r="A28" s="42" t="inlineStr">
        <is>
          <t>Chile</t>
        </is>
      </c>
      <c r="B28" s="15" t="inlineStr">
        <is>
          <t>Formación técnica pública</t>
        </is>
      </c>
      <c r="C28" s="73" t="inlineStr">
        <is>
          <t>CFT Estatal (Ley 20.910)</t>
        </is>
      </c>
      <c r="D28" s="73" t="inlineStr">
        <is>
          <t>CFT Estatal de la Región de Valparaíso</t>
        </is>
      </c>
      <c r="E28" s="73" t="n"/>
      <c r="F28" s="73" t="inlineStr">
        <is>
          <t>Bienestar Estudiantil</t>
        </is>
      </c>
      <c r="G28" s="73" t="inlineStr">
        <is>
          <t>https://tecnologicovalparaiso.cl/bienestar-estudiantil/</t>
        </is>
      </c>
      <c r="H28" s="73" t="inlineStr">
        <is>
          <t>Marcela González (Coord. Bienestar y A. Estudiantiles)</t>
        </is>
      </c>
      <c r="I28" s="73" t="inlineStr">
        <is>
          <t>+56 9 5901 6532</t>
        </is>
      </c>
      <c r="J28" s="73" t="inlineStr">
        <is>
          <t>bienestarestudiantil@tecnologicovalparaiso.cl</t>
        </is>
      </c>
      <c r="K28" s="73" t="inlineStr">
        <is>
          <t>https://tecnologicovalparaiso.cl/bienestar-estudiantil/</t>
        </is>
      </c>
      <c r="L28" s="51" t="inlineStr">
        <is>
          <t>CONFIRMADO</t>
        </is>
      </c>
      <c r="M28" s="30" t="inlineStr">
        <is>
          <t>Sin hallazgos.</t>
        </is>
      </c>
      <c r="N28" s="30" t="inlineStr">
        <is>
          <t>Revisado</t>
        </is>
      </c>
    </row>
    <row r="29" ht="30" customHeight="1" s="182">
      <c r="A29" s="42" t="inlineStr">
        <is>
          <t>Chile</t>
        </is>
      </c>
      <c r="B29" s="15" t="inlineStr">
        <is>
          <t>Formación técnica pública</t>
        </is>
      </c>
      <c r="C29" s="73" t="inlineStr">
        <is>
          <t>CFT Estatal (Ley 20.910)</t>
        </is>
      </c>
      <c r="D29" s="73" t="inlineStr">
        <is>
          <t>CFT Estatal de la Región Metropolitana (Santiago)</t>
        </is>
      </c>
      <c r="E29" s="73" t="n"/>
      <c r="F29" s="73" t="inlineStr">
        <is>
          <t>Vinculación con el Medio</t>
        </is>
      </c>
      <c r="G29" s="73" t="inlineStr">
        <is>
          <t>https://www.cftestatalrm.cl/vcm/</t>
        </is>
      </c>
      <c r="H29" s="73" t="inlineStr">
        <is>
          <t>Yanara Vásquez Cortez (Subdir. Comunicaciones/VCM/RRII)</t>
        </is>
      </c>
      <c r="I29" s="73" t="inlineStr">
        <is>
          <t>+56 9 3868 4591</t>
        </is>
      </c>
      <c r="J29" s="73" t="inlineStr">
        <is>
          <t>yanara.vasquez@santiagocft.cl</t>
        </is>
      </c>
      <c r="K29" s="73" t="inlineStr">
        <is>
          <t>https://www.cftestatalrm.cl/vcm/</t>
        </is>
      </c>
      <c r="L29" s="51" t="inlineStr">
        <is>
          <t>CONFIRMADO</t>
        </is>
      </c>
      <c r="M29" s="30" t="inlineStr">
        <is>
          <t>Sin hallazgos.</t>
        </is>
      </c>
      <c r="N29" s="30" t="inlineStr">
        <is>
          <t>Revisado</t>
        </is>
      </c>
    </row>
    <row r="30" ht="30" customHeight="1" s="182">
      <c r="A30" s="42" t="inlineStr">
        <is>
          <t>Chile</t>
        </is>
      </c>
      <c r="B30" s="15" t="inlineStr">
        <is>
          <t>Formación técnica pública</t>
        </is>
      </c>
      <c r="C30" s="73" t="inlineStr">
        <is>
          <t>CFT Estatal (Ley 20.910)</t>
        </is>
      </c>
      <c r="D30" s="73" t="inlineStr">
        <is>
          <t>CFT Estatal de la Región de O'Higgins</t>
        </is>
      </c>
      <c r="E30" s="73" t="n"/>
      <c r="F30" s="73" t="inlineStr">
        <is>
          <t>Vinculación con el Medio</t>
        </is>
      </c>
      <c r="G30" s="73" t="inlineStr">
        <is>
          <t>https://cftohiggins.cl/la-vinculacion-con-el-medio-en-el-cft-estatal-de-la-region-de-ohiggins/</t>
        </is>
      </c>
      <c r="H30" s="73" t="inlineStr">
        <is>
          <t>Adrián Pereira Santana (Rector)</t>
        </is>
      </c>
      <c r="I30" s="73" t="inlineStr">
        <is>
          <t>+56 9 8284 9100 / +56 9 6639 1899</t>
        </is>
      </c>
      <c r="J30" s="28" t="inlineStr">
        <is>
          <t>no disponible públicamente</t>
        </is>
      </c>
      <c r="K30" s="73" t="inlineStr">
        <is>
          <t>https://cftohiggins.cl/preguntas-frecuentes-estudiantes/</t>
        </is>
      </c>
      <c r="L30" s="51" t="inlineStr">
        <is>
          <t>CONFIRMADO</t>
        </is>
      </c>
      <c r="M30" s="30" t="inlineStr">
        <is>
          <t>URL específica de VCM no cargó; teléfonos confirmados en fuente alterna del mismo sitio. Rector confirmado vía nombramiento oficial ADP (jun-2025).</t>
        </is>
      </c>
      <c r="N30" s="30" t="inlineStr">
        <is>
          <t>Revisado</t>
        </is>
      </c>
    </row>
    <row r="31" ht="30" customHeight="1" s="182">
      <c r="A31" s="42" t="inlineStr">
        <is>
          <t>Chile</t>
        </is>
      </c>
      <c r="B31" s="15" t="inlineStr">
        <is>
          <t>Formación técnica pública</t>
        </is>
      </c>
      <c r="C31" s="73" t="inlineStr">
        <is>
          <t>CFT Estatal (Ley 20.910)</t>
        </is>
      </c>
      <c r="D31" s="73" t="inlineStr">
        <is>
          <t>CFT Estatal de la Región del Maule</t>
        </is>
      </c>
      <c r="E31" s="73" t="n"/>
      <c r="F31" s="73" t="inlineStr">
        <is>
          <t>Vinculación con el Medio</t>
        </is>
      </c>
      <c r="G31" s="73" t="inlineStr">
        <is>
          <t>https://2.cftmaule.cl/vinculacion-2/</t>
        </is>
      </c>
      <c r="H31" s="73" t="inlineStr">
        <is>
          <t>Encarnación Pérez Pérez (Rectora, ratificada por ADP en 2026 — ya no es subrogante)</t>
        </is>
      </c>
      <c r="I31" s="73" t="inlineStr">
        <is>
          <t>73 2 616274</t>
        </is>
      </c>
      <c r="J31" s="73" t="inlineStr">
        <is>
          <t>contacto@cftmaule.cl</t>
        </is>
      </c>
      <c r="K31" s="73" t="inlineStr">
        <is>
          <t>https://2.cftmaule.cl/vinculacion-2/</t>
        </is>
      </c>
      <c r="L31" s="51" t="inlineStr">
        <is>
          <t>CONFIRMADO</t>
        </is>
      </c>
      <c r="M31" s="30" t="inlineStr">
        <is>
          <t>La etiqueta de subrogancia ('S') estaba desactualizada: fue ratificada en el cargo por concurso público ADP a inicios de 2026.</t>
        </is>
      </c>
      <c r="N31" s="30" t="inlineStr">
        <is>
          <t xml:space="preserve">Revisado </t>
        </is>
      </c>
    </row>
    <row r="32" ht="30" customHeight="1" s="182">
      <c r="A32" s="42" t="inlineStr">
        <is>
          <t>Chile</t>
        </is>
      </c>
      <c r="B32" s="15" t="inlineStr">
        <is>
          <t>Formación técnica pública</t>
        </is>
      </c>
      <c r="C32" s="73" t="inlineStr">
        <is>
          <t>CFT Estatal (Ley 20.910)</t>
        </is>
      </c>
      <c r="D32" s="73" t="inlineStr">
        <is>
          <t>CFT Estatal del Biobío</t>
        </is>
      </c>
      <c r="E32" s="73" t="n"/>
      <c r="F32" s="73" t="inlineStr">
        <is>
          <t>Admisión</t>
        </is>
      </c>
      <c r="G32" s="73" t="inlineStr">
        <is>
          <t>https://cftestatalbiobio.cl/contacto/</t>
        </is>
      </c>
      <c r="H32" s="73" t="inlineStr">
        <is>
          <t>René Lagos Cuitiño (Rector)</t>
        </is>
      </c>
      <c r="I32" s="73" t="inlineStr">
        <is>
          <t>+56 9 2691 2725 / +56 9 2702 4074 / +56 9 2848 6838</t>
        </is>
      </c>
      <c r="J32" s="73" t="inlineStr">
        <is>
          <t>admision@cftebiobio.cl</t>
        </is>
      </c>
      <c r="K32" s="73" t="inlineStr">
        <is>
          <t>https://cftestatalbiobio.cl/contacto/</t>
        </is>
      </c>
      <c r="L32" s="51" t="inlineStr">
        <is>
          <t>CONFIRMADO</t>
        </is>
      </c>
      <c r="M32" s="30" t="inlineStr">
        <is>
          <t>Sin hallazgos.</t>
        </is>
      </c>
      <c r="N32" s="30" t="n"/>
    </row>
    <row r="33" ht="30" customHeight="1" s="182">
      <c r="A33" s="42" t="inlineStr">
        <is>
          <t>Chile</t>
        </is>
      </c>
      <c r="B33" s="15" t="inlineStr">
        <is>
          <t>Formación técnica pública</t>
        </is>
      </c>
      <c r="C33" s="73" t="inlineStr">
        <is>
          <t>CFT Estatal (Ley 20.910)</t>
        </is>
      </c>
      <c r="D33" s="73" t="inlineStr">
        <is>
          <t>CFT Estatal de La Araucanía</t>
        </is>
      </c>
      <c r="E33" s="73" t="n"/>
      <c r="F33" s="73" t="inlineStr">
        <is>
          <t>Bienestar Estudiantil / Beneficios Estudiantiles</t>
        </is>
      </c>
      <c r="G33" s="73" t="inlineStr">
        <is>
          <t>https://cftaraucania.cl/directorio-de-apoyo-estudiantil/</t>
        </is>
      </c>
      <c r="H33" s="73" t="inlineStr">
        <is>
          <t>Araceli Hernández Aedo (Encargada Beneficios Estudiantiles)</t>
        </is>
      </c>
      <c r="I33" s="73" t="inlineStr">
        <is>
          <t>+56 45 324 3942</t>
        </is>
      </c>
      <c r="J33" s="73" t="inlineStr">
        <is>
          <t>beneficios.estudiantiles@cftaraucania.cl</t>
        </is>
      </c>
      <c r="K33" s="73" t="inlineStr">
        <is>
          <t>https://cftaraucania.cl/directorio-de-apoyo-estudiantil/</t>
        </is>
      </c>
      <c r="L33" s="51" t="inlineStr">
        <is>
          <t>CONFIRMADO</t>
        </is>
      </c>
      <c r="M33" s="30" t="inlineStr">
        <is>
          <t>Sin hallazgos.</t>
        </is>
      </c>
      <c r="N33" s="30" t="n"/>
    </row>
    <row r="34" ht="30" customHeight="1" s="182">
      <c r="A34" s="42" t="inlineStr">
        <is>
          <t>Chile</t>
        </is>
      </c>
      <c r="B34" s="15" t="inlineStr">
        <is>
          <t>Formación técnica pública</t>
        </is>
      </c>
      <c r="C34" s="73" t="inlineStr">
        <is>
          <t>CFT Estatal (Ley 20.910)</t>
        </is>
      </c>
      <c r="D34" s="73" t="inlineStr">
        <is>
          <t>CFT Estatal de Los Ríos</t>
        </is>
      </c>
      <c r="E34" s="73" t="n"/>
      <c r="F34" s="73" t="inlineStr">
        <is>
          <t>Bienestar Estudiantil / Equipo Psicosocial (Sede Paillaco)</t>
        </is>
      </c>
      <c r="G34" s="73" t="inlineStr">
        <is>
          <t>https://cftdelosrios.cl/sedes/sede-paillaco/</t>
        </is>
      </c>
      <c r="H34" s="73" t="inlineStr">
        <is>
          <t>Scarlett Barra (Psicóloga) / María José Pardo (Psicopedagoga)</t>
        </is>
      </c>
      <c r="I34" s="73" t="inlineStr">
        <is>
          <t>+56 64 2451760</t>
        </is>
      </c>
      <c r="J34" s="73" t="inlineStr">
        <is>
          <t>sbarra@cftdelosrios.cl / mpardo@cftdelosrios.cl</t>
        </is>
      </c>
      <c r="K34" s="73" t="inlineStr">
        <is>
          <t>https://cftdelosrios.cl/sedes/sede-paillaco/</t>
        </is>
      </c>
      <c r="L34" s="51" t="inlineStr">
        <is>
          <t>CONFIRMADO</t>
        </is>
      </c>
      <c r="M34" s="30" t="inlineStr">
        <is>
          <t>Sitio no cargó en fetch directo (bloqueo); datos confirmados vía caché de buscador.</t>
        </is>
      </c>
      <c r="N34" s="30" t="inlineStr">
        <is>
          <t>Revisado</t>
        </is>
      </c>
    </row>
    <row r="35" ht="30" customHeight="1" s="182">
      <c r="A35" s="42" t="inlineStr">
        <is>
          <t>Chile</t>
        </is>
      </c>
      <c r="B35" s="15" t="inlineStr">
        <is>
          <t>Formación técnica pública</t>
        </is>
      </c>
      <c r="C35" s="73" t="inlineStr">
        <is>
          <t>CFT Estatal (Ley 20.910)</t>
        </is>
      </c>
      <c r="D35" s="73" t="inlineStr">
        <is>
          <t>CFT Estatal de Los Lagos</t>
        </is>
      </c>
      <c r="E35" s="73" t="n"/>
      <c r="F35" s="73" t="inlineStr">
        <is>
          <t>Vinculación con el Medio</t>
        </is>
      </c>
      <c r="G35" s="73" t="inlineStr">
        <is>
          <t>https://cftregionloslagos.cl/vinculacion-con-el-medio/</t>
        </is>
      </c>
      <c r="H35" s="73" t="inlineStr">
        <is>
          <t>Sophia Lillo R. (Jefa VCM)</t>
        </is>
      </c>
      <c r="I35" s="73" t="inlineStr">
        <is>
          <t>+56 9 7655 0441</t>
        </is>
      </c>
      <c r="J35" s="73" t="inlineStr">
        <is>
          <t>vinculacionconelmedio@cft-ell.cl</t>
        </is>
      </c>
      <c r="K35" s="73" t="inlineStr">
        <is>
          <t>https://cftregionloslagos.cl/contactanos/</t>
        </is>
      </c>
      <c r="L35" s="51" t="inlineStr">
        <is>
          <t>CONFIRMADO</t>
        </is>
      </c>
      <c r="M35" s="30" t="inlineStr">
        <is>
          <t>Teléfono aparece en sección general de contacto, no específicamente asociado a VCM.</t>
        </is>
      </c>
      <c r="N35" s="30" t="inlineStr">
        <is>
          <t>Revisado</t>
        </is>
      </c>
    </row>
    <row r="36" ht="30" customHeight="1" s="182">
      <c r="A36" s="42" t="inlineStr">
        <is>
          <t>Chile</t>
        </is>
      </c>
      <c r="B36" s="15" t="inlineStr">
        <is>
          <t>Formación técnica pública</t>
        </is>
      </c>
      <c r="C36" s="73" t="inlineStr">
        <is>
          <t>CFT Estatal (Ley 20.910)</t>
        </is>
      </c>
      <c r="D36" s="73" t="inlineStr">
        <is>
          <t>CFT Estatal de Aysén</t>
        </is>
      </c>
      <c r="E36" s="73" t="n"/>
      <c r="F36" s="73" t="inlineStr">
        <is>
          <t>Dirección de Asuntos Estudiantiles (DAE)</t>
        </is>
      </c>
      <c r="G36" s="73" t="inlineStr">
        <is>
          <t>https://cftestataldeaysen.cl/proceso-de-postulacion-a-beneficios-estudiantiles/</t>
        </is>
      </c>
      <c r="H36" s="73" t="inlineStr">
        <is>
          <t>Mónica Abello Aguilera (Encargada DAE)</t>
        </is>
      </c>
      <c r="I36" s="73" t="inlineStr">
        <is>
          <t>+56 9 8207 8880</t>
        </is>
      </c>
      <c r="J36" s="73" t="inlineStr">
        <is>
          <t>dae@cftestataldeaysen.cl</t>
        </is>
      </c>
      <c r="K36" s="73" t="inlineStr">
        <is>
          <t>https://cftestataldeaysen.cl/proceso-de-postulacion-a-beneficios-estudiantiles/</t>
        </is>
      </c>
      <c r="L36" s="51" t="inlineStr">
        <is>
          <t>CONFIRMADO</t>
        </is>
      </c>
      <c r="M36" s="30" t="inlineStr">
        <is>
          <t>Sin hallazgos.</t>
        </is>
      </c>
      <c r="N36" s="30" t="inlineStr">
        <is>
          <t>Revisado</t>
        </is>
      </c>
    </row>
    <row r="37" ht="30" customHeight="1" s="182">
      <c r="A37" s="42" t="inlineStr">
        <is>
          <t>Chile</t>
        </is>
      </c>
      <c r="B37" s="15" t="inlineStr">
        <is>
          <t>Formación técnica pública</t>
        </is>
      </c>
      <c r="C37" s="73" t="inlineStr">
        <is>
          <t>CFT Estatal (Ley 20.910)</t>
        </is>
      </c>
      <c r="D37" s="73" t="inlineStr">
        <is>
          <t>CFT Estatal de Magallanes y la Antártica Chilena</t>
        </is>
      </c>
      <c r="E37" s="73" t="n"/>
      <c r="F37" s="73" t="inlineStr">
        <is>
          <t>Vinculación con el Medio</t>
        </is>
      </c>
      <c r="G37" s="73" t="inlineStr">
        <is>
          <t>https://cftdemagallanes.cl/vinculacion-con-el-medio/</t>
        </is>
      </c>
      <c r="H37" s="73" t="inlineStr">
        <is>
          <t>Valeria Gallardo Abello (Rectora)</t>
        </is>
      </c>
      <c r="I37" s="73" t="inlineStr">
        <is>
          <t>+56 9 4138 2777</t>
        </is>
      </c>
      <c r="J37" s="73" t="inlineStr">
        <is>
          <t>admision@cftdemagallanes.cl</t>
        </is>
      </c>
      <c r="K37" s="73" t="inlineStr">
        <is>
          <t>https://cftdemagallanes.cl/vinculacion-con-el-medio/</t>
        </is>
      </c>
      <c r="L37" s="51" t="inlineStr">
        <is>
          <t>CONFIRMADO</t>
        </is>
      </c>
      <c r="M37" s="30" t="inlineStr">
        <is>
          <t>Página específica de VCM no cargó pero la sección existe en el sitio; resto de datos confirmados.</t>
        </is>
      </c>
      <c r="N37" s="30" t="inlineStr">
        <is>
          <t>Revisado</t>
        </is>
      </c>
    </row>
    <row r="38" ht="30" customHeight="1" s="182">
      <c r="A38" s="42" t="inlineStr">
        <is>
          <t>Chile</t>
        </is>
      </c>
      <c r="B38" s="15" t="inlineStr">
        <is>
          <t>Organizaciones juveniles</t>
        </is>
      </c>
      <c r="C38" s="73" t="inlineStr">
        <is>
          <t>ONG de juventud (red nacional de voluntariado)</t>
        </is>
      </c>
      <c r="D38" s="39" t="inlineStr">
        <is>
          <t>TECHO Chile</t>
        </is>
      </c>
      <c r="E38" s="39" t="n"/>
      <c r="F38" s="73" t="inlineStr">
        <is>
          <t>Área de Voluntariado</t>
        </is>
      </c>
      <c r="G38" s="73" t="inlineStr">
        <is>
          <t>https://cl.techo.org</t>
        </is>
      </c>
      <c r="H38" s="28" t="inlineStr">
        <is>
          <t>no disponible públicamente</t>
        </is>
      </c>
      <c r="I38" s="73" t="inlineStr">
        <is>
          <t>+56 9 9551 5004 (WhatsApp)</t>
        </is>
      </c>
      <c r="J38" s="73" t="inlineStr">
        <is>
          <t>info.chile@techo.org</t>
        </is>
      </c>
      <c r="K38" s="73" t="inlineStr">
        <is>
          <t>https://cl.techo.org</t>
        </is>
      </c>
      <c r="L38" s="51" t="inlineStr">
        <is>
          <t>CONFIRMADO</t>
        </is>
      </c>
      <c r="M38" s="30" t="inlineStr">
        <is>
          <t>Coexisten dos números válidos (WhatsApp voluntariado e institucional general); el declarado es el de voluntariado.</t>
        </is>
      </c>
      <c r="N38" s="30" t="n"/>
    </row>
    <row r="39" ht="30" customHeight="1" s="182">
      <c r="A39" s="42" t="inlineStr">
        <is>
          <t>Chile</t>
        </is>
      </c>
      <c r="B39" s="15" t="inlineStr">
        <is>
          <t>Organizaciones juveniles</t>
        </is>
      </c>
      <c r="C39" s="73" t="inlineStr">
        <is>
          <t>ONG de juventud (voluntariado juvenil y profesional)</t>
        </is>
      </c>
      <c r="D39" s="39" t="inlineStr">
        <is>
          <t>América Solidaria Chile</t>
        </is>
      </c>
      <c r="E39" s="39" t="n"/>
      <c r="F39" s="73" t="inlineStr">
        <is>
          <t>Socios / Comunicaciones</t>
        </is>
      </c>
      <c r="G39" s="73" t="inlineStr">
        <is>
          <t>https://americasolidaria.cl</t>
        </is>
      </c>
      <c r="H39" s="28" t="inlineStr">
        <is>
          <t>no disponible públicamente</t>
        </is>
      </c>
      <c r="I39" s="28" t="inlineStr">
        <is>
          <t>no disponible públicamente</t>
        </is>
      </c>
      <c r="J39" s="73" t="inlineStr">
        <is>
          <t>socios@americasolidaria.org</t>
        </is>
      </c>
      <c r="K39" s="73" t="inlineStr">
        <is>
          <t>https://americasolidaria.org/paises/chile/contactanos</t>
        </is>
      </c>
      <c r="L39" s="51" t="inlineStr">
        <is>
          <t>CONFIRMADO</t>
        </is>
      </c>
      <c r="M39" s="30" t="inlineStr">
        <is>
          <t>Sin hallazgos.</t>
        </is>
      </c>
      <c r="N39" s="30" t="n"/>
    </row>
    <row r="40" ht="30" customHeight="1" s="182">
      <c r="A40" s="42" t="inlineStr">
        <is>
          <t>Chile</t>
        </is>
      </c>
      <c r="B40" s="15" t="inlineStr">
        <is>
          <t>Organizaciones juveniles</t>
        </is>
      </c>
      <c r="C40" s="73" t="inlineStr">
        <is>
          <t>ONG de juventud (voluntariado, red nacional +500 obras)</t>
        </is>
      </c>
      <c r="D40" s="39" t="inlineStr">
        <is>
          <t>Hogar de Cristo</t>
        </is>
      </c>
      <c r="E40" s="39" t="n"/>
      <c r="F40" s="73" t="inlineStr">
        <is>
          <t>Coordinación de Voluntariado</t>
        </is>
      </c>
      <c r="G40" s="73" t="inlineStr">
        <is>
          <t>https://hogardecristo.cl</t>
        </is>
      </c>
      <c r="H40" s="73" t="inlineStr">
        <is>
          <t>Ingrid Gallardo</t>
        </is>
      </c>
      <c r="I40" s="73" t="inlineStr">
        <is>
          <t>600 570 8000</t>
        </is>
      </c>
      <c r="J40" s="73" t="inlineStr">
        <is>
          <t>igallardo@hogardecristo.cl</t>
        </is>
      </c>
      <c r="K40" s="73" t="inlineStr">
        <is>
          <t>https://hogardecristo.cl</t>
        </is>
      </c>
      <c r="L40" s="51" t="inlineStr">
        <is>
          <t>CONFIRMADO</t>
        </is>
      </c>
      <c r="M40" s="30" t="inlineStr">
        <is>
          <t>Dato de mejor calidad del bloque — nombre, cargo, teléfono y email verificables de forma independiente.</t>
        </is>
      </c>
      <c r="N40" s="30" t="n"/>
    </row>
    <row r="41" ht="30" customHeight="1" s="182">
      <c r="A41" s="42" t="inlineStr">
        <is>
          <t>Chile</t>
        </is>
      </c>
      <c r="B41" s="15" t="inlineStr">
        <is>
          <t>Organizaciones juveniles</t>
        </is>
      </c>
      <c r="C41" s="73" t="inlineStr">
        <is>
          <t>ONG de voluntariado juvenil nacional</t>
        </is>
      </c>
      <c r="D41" s="39" t="inlineStr">
        <is>
          <t>Desafío Levantemos Chile</t>
        </is>
      </c>
      <c r="E41" s="39" t="n"/>
      <c r="F41" s="73" t="inlineStr">
        <is>
          <t>Formulario de contacto</t>
        </is>
      </c>
      <c r="G41" s="73" t="inlineStr">
        <is>
          <t>https://desafiolevantemoschile.org</t>
        </is>
      </c>
      <c r="H41" s="28" t="inlineStr">
        <is>
          <t>no disponible públicamente</t>
        </is>
      </c>
      <c r="I41" s="28" t="inlineStr">
        <is>
          <t>no disponible públicamente</t>
        </is>
      </c>
      <c r="J41" s="28" t="inlineStr">
        <is>
          <t>no disponible públicamente</t>
        </is>
      </c>
      <c r="K41" s="73" t="inlineStr">
        <is>
          <t>https://desafiolevantemoschile.org/contacto</t>
        </is>
      </c>
      <c r="L41" s="51" t="inlineStr">
        <is>
          <t>CONFIRMADO</t>
        </is>
      </c>
      <c r="M41" s="30" t="inlineStr">
        <is>
          <t>Sin hallazgos.</t>
        </is>
      </c>
      <c r="N41" s="30" t="n"/>
    </row>
    <row r="42" ht="30" customHeight="1" s="182">
      <c r="A42" s="42" t="inlineStr">
        <is>
          <t>Chile</t>
        </is>
      </c>
      <c r="B42" s="15" t="inlineStr">
        <is>
          <t>Organizaciones juveniles</t>
        </is>
      </c>
      <c r="C42" s="73" t="inlineStr">
        <is>
          <t>Red/federación nacional (movimiento scout)</t>
        </is>
      </c>
      <c r="D42" s="39" t="inlineStr">
        <is>
          <t>Asociación de Guías y Scouts de Chile (AGSCH)</t>
        </is>
      </c>
      <c r="E42" s="39" t="n"/>
      <c r="F42" s="73" t="inlineStr">
        <is>
          <t>Dirección Ejecutiva Nacional</t>
        </is>
      </c>
      <c r="G42" s="73" t="inlineStr">
        <is>
          <t>https://guiasyscoutsdechile.org</t>
        </is>
      </c>
      <c r="H42" s="73" t="inlineStr">
        <is>
          <t>Betsabé Irigoyen (Sec. Ejecutiva) / Felipe Mella Morales (Dir. Ejecutivo Nacional)</t>
        </is>
      </c>
      <c r="I42" s="73" t="inlineStr">
        <is>
          <t>+56 2 2630 7452</t>
        </is>
      </c>
      <c r="J42" s="73" t="inlineStr">
        <is>
          <t>comunicaciones@guiasyscoutschile.cl</t>
        </is>
      </c>
      <c r="K42" s="73" t="inlineStr">
        <is>
          <t>https://guiasyscoutsdechile.org/den</t>
        </is>
      </c>
      <c r="L42" s="51" t="inlineStr">
        <is>
          <t>CONFIRMADO</t>
        </is>
      </c>
      <c r="M42" s="30" t="inlineStr">
        <is>
          <t>Coincide palabra por palabra con la fuente oficial — el mejor registro del bloque juvenil.</t>
        </is>
      </c>
      <c r="N42" s="30" t="n"/>
    </row>
    <row r="43" ht="30" customHeight="1" s="182">
      <c r="A43" s="42" t="inlineStr">
        <is>
          <t>Chile</t>
        </is>
      </c>
      <c r="B43" s="15" t="inlineStr">
        <is>
          <t>Organizaciones juveniles</t>
        </is>
      </c>
      <c r="C43" s="73" t="inlineStr">
        <is>
          <t>Red/federación nacional (movimiento scout)</t>
        </is>
      </c>
      <c r="D43" s="39" t="inlineStr">
        <is>
          <t>Agrupación Nacional de Boy Scouts de Chile</t>
        </is>
      </c>
      <c r="E43" s="39" t="n"/>
      <c r="F43" s="28" t="inlineStr">
        <is>
          <t>no disponible públicamente</t>
        </is>
      </c>
      <c r="G43" s="73" t="inlineStr">
        <is>
          <t>https://boyscouts.cl</t>
        </is>
      </c>
      <c r="H43" s="28" t="inlineStr">
        <is>
          <t>no disponible públicamente</t>
        </is>
      </c>
      <c r="I43" s="28" t="inlineStr">
        <is>
          <t>no disponible públicamente</t>
        </is>
      </c>
      <c r="J43" s="28" t="inlineStr">
        <is>
          <t>no disponible públicamente</t>
        </is>
      </c>
      <c r="K43" s="73" t="inlineStr">
        <is>
          <t>https://boyscouts.cl</t>
        </is>
      </c>
      <c r="L43" s="35" t="inlineStr">
        <is>
          <t>VERIFICAR</t>
        </is>
      </c>
      <c r="M43" s="30" t="inlineStr">
        <is>
          <t>Entidad real y activa, pero de escala mucho menor que AGSCH y afiliada a la WFIS (no a WOSM/WAGGGS, federaciones scout mundiales oficiales). Evaluar si corresponde presentarla como par de AGSCH.</t>
        </is>
      </c>
      <c r="N43" s="30" t="inlineStr">
        <is>
          <t xml:space="preserve">Preguntar al equipo </t>
        </is>
      </c>
    </row>
    <row r="44" ht="30" customHeight="1" s="182">
      <c r="A44" s="42" t="inlineStr">
        <is>
          <t>Chile</t>
        </is>
      </c>
      <c r="B44" s="15" t="inlineStr">
        <is>
          <t>Organizaciones juveniles</t>
        </is>
      </c>
      <c r="C44" s="73" t="inlineStr">
        <is>
          <t>Red nacional (rama juvenil, 14-30 años)</t>
        </is>
      </c>
      <c r="D44" s="39" t="inlineStr">
        <is>
          <t>Cruz Roja Chilena – Juventud</t>
        </is>
      </c>
      <c r="E44" s="39" t="n"/>
      <c r="F44" s="73" t="inlineStr">
        <is>
          <t>Dirección Nacional de Juventud</t>
        </is>
      </c>
      <c r="G44" s="73" t="inlineStr">
        <is>
          <t>https://cruzroja.cl/juventud</t>
        </is>
      </c>
      <c r="H44" s="28" t="inlineStr">
        <is>
          <t>no disponible públicamente</t>
        </is>
      </c>
      <c r="I44" s="73" t="inlineStr">
        <is>
          <t xml:space="preserve">.+56(2) 2783 4100
</t>
        </is>
      </c>
      <c r="J44" s="73" t="inlineStr">
        <is>
          <t>contacto@cruzroja.cl</t>
        </is>
      </c>
      <c r="K44" s="73" t="inlineStr">
        <is>
          <t>https://cruzroja.cl/juventud</t>
        </is>
      </c>
      <c r="L44" s="51" t="inlineStr">
        <is>
          <t>CONFIRMADO</t>
        </is>
      </c>
      <c r="M44" s="30" t="inlineStr">
        <is>
          <t>Sin hallazgos.</t>
        </is>
      </c>
      <c r="N44" s="30" t="inlineStr">
        <is>
          <t>revisado</t>
        </is>
      </c>
    </row>
    <row r="45" ht="30" customHeight="1" s="182">
      <c r="A45" s="42" t="inlineStr">
        <is>
          <t>Chile</t>
        </is>
      </c>
      <c r="B45" s="15" t="inlineStr">
        <is>
          <t>Organizaciones juveniles</t>
        </is>
      </c>
      <c r="C45" s="73" t="inlineStr">
        <is>
          <t>Red/federación nacional de jóvenes líderes</t>
        </is>
      </c>
      <c r="D45" s="39" t="inlineStr">
        <is>
          <t>AIESEC Chile</t>
        </is>
      </c>
      <c r="E45" s="39" t="n"/>
      <c r="F45" s="73" t="inlineStr">
        <is>
          <t>Alianzas</t>
        </is>
      </c>
      <c r="G45" s="73" t="inlineStr">
        <is>
          <t>https://aiesec.cl</t>
        </is>
      </c>
      <c r="H45" s="28" t="inlineStr">
        <is>
          <t>no disponible públicamente</t>
        </is>
      </c>
      <c r="I45" s="28" t="inlineStr">
        <is>
          <t>no disponible públicamente</t>
        </is>
      </c>
      <c r="J45" s="73" t="inlineStr">
        <is>
          <t>alianzas.chile@aiesec.net</t>
        </is>
      </c>
      <c r="K45" s="73" t="inlineStr">
        <is>
          <t>https://aiesec.cl</t>
        </is>
      </c>
      <c r="L45" s="51" t="inlineStr">
        <is>
          <t>CONFIRMADO</t>
        </is>
      </c>
      <c r="M45" s="30" t="inlineStr">
        <is>
          <t>Sin hallazgos.</t>
        </is>
      </c>
      <c r="N45" s="30" t="n"/>
    </row>
    <row r="46" ht="30" customHeight="1" s="182">
      <c r="A46" s="42" t="inlineStr">
        <is>
          <t>Chile</t>
        </is>
      </c>
      <c r="B46" s="15" t="inlineStr">
        <is>
          <t>Organizaciones juveniles</t>
        </is>
      </c>
      <c r="C46" s="73" t="inlineStr">
        <is>
          <t>Red/federación nacional (jóvenes líderes, 18-40 años)</t>
        </is>
      </c>
      <c r="D46" s="39" t="inlineStr">
        <is>
          <t>JCI Chile (Cámara Junior Internacional)</t>
        </is>
      </c>
      <c r="E46" s="39" t="n"/>
      <c r="F46" s="73" t="inlineStr">
        <is>
          <t>Contacto general capítulo Chile</t>
        </is>
      </c>
      <c r="G46" s="73" t="inlineStr">
        <is>
          <t>https://jci.cc</t>
        </is>
      </c>
      <c r="H46" s="28" t="inlineStr">
        <is>
          <t>no disponible públicamente</t>
        </is>
      </c>
      <c r="I46" s="28" t="inlineStr">
        <is>
          <t>no disponible públicamente</t>
        </is>
      </c>
      <c r="J46" s="73" t="inlineStr">
        <is>
          <t>chile@jci.cc</t>
        </is>
      </c>
      <c r="K46" s="73" t="inlineStr">
        <is>
          <t>https://facebook.com/jci.chile</t>
        </is>
      </c>
      <c r="L46" s="35" t="inlineStr">
        <is>
          <t>VERIFICAR</t>
        </is>
      </c>
      <c r="M46" s="30" t="inlineStr">
        <is>
          <t>Actividad reciente del capítulo chileno es dudosa (sin evidencia de actividad 2025-2026 en sus canales). Confirmar vigencia antes de usar.</t>
        </is>
      </c>
      <c r="N46" s="30" t="inlineStr">
        <is>
          <t xml:space="preserve">Sin evidencia </t>
        </is>
      </c>
    </row>
    <row r="47" ht="30" customHeight="1" s="182">
      <c r="A47" s="42" t="inlineStr">
        <is>
          <t>Chile</t>
        </is>
      </c>
      <c r="B47" s="15" t="inlineStr">
        <is>
          <t>Organizaciones juveniles</t>
        </is>
      </c>
      <c r="C47" s="73" t="inlineStr">
        <is>
          <t>Red multi-regional (18-30 años, 4 distritos)</t>
        </is>
      </c>
      <c r="D47" s="39" t="inlineStr">
        <is>
          <t>Rotaract Chile (Distritos Rotary 4340/4320/4355/4370)</t>
        </is>
      </c>
      <c r="E47" s="39" t="n"/>
      <c r="F47" s="73" t="inlineStr">
        <is>
          <t>Varía por club/distrito</t>
        </is>
      </c>
      <c r="G47" s="73" t="inlineStr">
        <is>
          <t>https://rotary4340.cl/rotaract</t>
        </is>
      </c>
      <c r="H47" s="28" t="inlineStr">
        <is>
          <t>no disponible públicamente</t>
        </is>
      </c>
      <c r="I47" s="28" t="inlineStr">
        <is>
          <t>no disponible públicamente</t>
        </is>
      </c>
      <c r="J47" s="28" t="inlineStr">
        <is>
          <t>no disponible públicamente</t>
        </is>
      </c>
      <c r="K47" s="73" t="inlineStr">
        <is>
          <t>https://rotary4340.cl</t>
        </is>
      </c>
      <c r="L47" s="35" t="inlineStr">
        <is>
          <t>VERIFICAR</t>
        </is>
      </c>
      <c r="M47" s="30" t="inlineStr">
        <is>
          <t>No existe una entidad 'Rotaract Chile' nacional unificada — son clubes autónomos bajo 4 distritos Rotary distintos. La fuente citada cubre solo un distrito. Reconsiderar cómo presentar esta fila.</t>
        </is>
      </c>
      <c r="N47" s="30" t="inlineStr">
        <is>
          <t xml:space="preserve">Evaluar </t>
        </is>
      </c>
    </row>
    <row r="48" ht="30" customHeight="1" s="182">
      <c r="A48" s="42" t="inlineStr">
        <is>
          <t>Chile</t>
        </is>
      </c>
      <c r="B48" s="15" t="inlineStr">
        <is>
          <t>Organizaciones juveniles</t>
        </is>
      </c>
      <c r="C48" s="73" t="inlineStr">
        <is>
          <t>ONG de juventud (jóvenes profesionales/voluntarios, todas las regiones)</t>
        </is>
      </c>
      <c r="D48" s="39" t="inlineStr">
        <is>
          <t>Fundación Superación de la Pobreza – Servicio País</t>
        </is>
      </c>
      <c r="E48" s="39" t="n"/>
      <c r="F48" s="73" t="inlineStr">
        <is>
          <t>Voluntariado</t>
        </is>
      </c>
      <c r="G48" s="73" t="inlineStr">
        <is>
          <t>https://serviciopais.superacionpobreza.cl</t>
        </is>
      </c>
      <c r="H48" s="73" t="inlineStr">
        <is>
          <t>María Cepeda (RM)</t>
        </is>
      </c>
      <c r="I48" s="73" t="inlineStr">
        <is>
          <t>5602 2513 9600</t>
        </is>
      </c>
      <c r="J48" s="73" t="inlineStr">
        <is>
          <t>marcia.cepeda@superacionpobreza.cl</t>
        </is>
      </c>
      <c r="K48" s="73" t="inlineStr">
        <is>
          <t>https://superacionpobreza.cl</t>
        </is>
      </c>
      <c r="L48" s="51" t="inlineStr">
        <is>
          <t>CONFIRMADO</t>
        </is>
      </c>
      <c r="M48" s="30" t="inlineStr">
        <is>
          <t>Alcance nacional genuino y verificable (94 comunas rurales, 30 años de trayectoria).</t>
        </is>
      </c>
      <c r="N48" s="30" t="inlineStr">
        <is>
          <t>Se agregó el contacto del sitio web oficail a nivel RM</t>
        </is>
      </c>
    </row>
    <row r="49" ht="30" customHeight="1" s="182">
      <c r="A49" s="42" t="inlineStr">
        <is>
          <t>Chile</t>
        </is>
      </c>
      <c r="B49" s="15" t="inlineStr">
        <is>
          <t>Organizaciones juveniles</t>
        </is>
      </c>
      <c r="C49" s="73" t="inlineStr">
        <is>
          <t>ONG de juventud (empleabilidad juvenil, red nacional)</t>
        </is>
      </c>
      <c r="D49" s="39" t="inlineStr">
        <is>
          <t>Fundación Emplea</t>
        </is>
      </c>
      <c r="E49" s="39" t="n"/>
      <c r="F49" s="73" t="inlineStr">
        <is>
          <t>Alianzas</t>
        </is>
      </c>
      <c r="G49" s="73" t="inlineStr">
        <is>
          <t>https://fundacionemplea.cl</t>
        </is>
      </c>
      <c r="H49" s="28" t="inlineStr">
        <is>
          <t>no disponible públicamente</t>
        </is>
      </c>
      <c r="I49" s="28" t="inlineStr">
        <is>
          <t>no disponible públicamente</t>
        </is>
      </c>
      <c r="J49" s="73" t="inlineStr">
        <is>
          <t>alianzas@fundacionemplea.cl</t>
        </is>
      </c>
      <c r="K49" s="73" t="inlineStr">
        <is>
          <t>https://fundacionemplea.cl</t>
        </is>
      </c>
      <c r="L49" s="51" t="inlineStr">
        <is>
          <t>CONFIRMADO</t>
        </is>
      </c>
      <c r="M49" s="30" t="inlineStr">
        <is>
          <t>Sin hallazgos.</t>
        </is>
      </c>
      <c r="N49" s="30" t="inlineStr">
        <is>
          <t>revisado</t>
        </is>
      </c>
    </row>
    <row r="50" ht="30" customHeight="1" s="182">
      <c r="A50" s="42" t="inlineStr">
        <is>
          <t>Chile</t>
        </is>
      </c>
      <c r="B50" s="15" t="inlineStr">
        <is>
          <t>Organizaciones juveniles</t>
        </is>
      </c>
      <c r="C50" s="73" t="inlineStr">
        <is>
          <t>Red/ONG de juventud (emprendimiento social)</t>
        </is>
      </c>
      <c r="D50" s="39" t="inlineStr">
        <is>
          <t>Ashoka Chile – Jóvenes Agentes de Cambio</t>
        </is>
      </c>
      <c r="E50" s="39" t="n"/>
      <c r="F50" s="28" t="inlineStr">
        <is>
          <t>no disponible públicamente</t>
        </is>
      </c>
      <c r="G50" s="73" t="inlineStr">
        <is>
          <t>https://ashoka.org/es-cl/programa/jovenes-agentes-de-cambio</t>
        </is>
      </c>
      <c r="H50" s="28" t="inlineStr">
        <is>
          <t>no disponible públicamente</t>
        </is>
      </c>
      <c r="I50" s="28" t="inlineStr">
        <is>
          <t>no disponible públicamente</t>
        </is>
      </c>
      <c r="J50" s="28" t="inlineStr">
        <is>
          <t>no disponible públicamente</t>
        </is>
      </c>
      <c r="K50" s="73" t="inlineStr">
        <is>
          <t>https://ashoka.org/es-cl</t>
        </is>
      </c>
      <c r="L50" s="51" t="inlineStr">
        <is>
          <t>CONFIRMADO</t>
        </is>
      </c>
      <c r="M50" s="30" t="inlineStr">
        <is>
          <t>Fetch directo falló por renderizado JS; confirmado vía búsqueda.</t>
        </is>
      </c>
      <c r="N50" s="30" t="n"/>
    </row>
    <row r="51" ht="30" customHeight="1" s="182">
      <c r="A51" s="42" t="inlineStr">
        <is>
          <t>Chile</t>
        </is>
      </c>
      <c r="B51" s="15" t="inlineStr">
        <is>
          <t>Organizaciones juveniles</t>
        </is>
      </c>
      <c r="C51" s="73" t="inlineStr">
        <is>
          <t>Red de jóvenes líderes (hub Santiago, red global, &lt;30 años)</t>
        </is>
      </c>
      <c r="D51" s="39" t="inlineStr">
        <is>
          <t>Global Shapers Hub Santiago (World Economic Forum)</t>
        </is>
      </c>
      <c r="E51" s="39" t="n"/>
      <c r="F51" s="28" t="inlineStr">
        <is>
          <t>no disponible públicamente</t>
        </is>
      </c>
      <c r="G51" s="73" t="inlineStr">
        <is>
          <t>https://weforum.org/organizations/global-shapers-community</t>
        </is>
      </c>
      <c r="H51" s="28" t="inlineStr">
        <is>
          <t>no disponible públicamente</t>
        </is>
      </c>
      <c r="I51" s="28" t="inlineStr">
        <is>
          <t>no disponible públicamente</t>
        </is>
      </c>
      <c r="J51" s="28" t="inlineStr">
        <is>
          <t>no disponible públicamente</t>
        </is>
      </c>
      <c r="K51" s="36" t="inlineStr">
        <is>
          <t>https://facebook.com/globalshapersSCL</t>
        </is>
      </c>
      <c r="L51" s="35" t="inlineStr">
        <is>
          <t>VERIFICAR</t>
        </is>
      </c>
      <c r="M51" s="30" t="inlineStr">
        <is>
          <t>Por diseño de la red Global Shapers, los hubs son de CIUDAD, no de país — es un hub local de Santiago (~600 seguidores), no una organización de alcance nacional.</t>
        </is>
      </c>
      <c r="N51" s="30" t="inlineStr">
        <is>
          <t>Activo 2026 pocos integrantes</t>
        </is>
      </c>
    </row>
    <row r="52" ht="30" customHeight="1" s="182">
      <c r="A52" s="42" t="inlineStr">
        <is>
          <t>Chile</t>
        </is>
      </c>
      <c r="B52" s="15" t="inlineStr">
        <is>
          <t>Organizaciones juveniles</t>
        </is>
      </c>
      <c r="C52" s="73" t="inlineStr">
        <is>
          <t>Red/colectivo nacional (mesa nacional, ~28 ciudades)</t>
        </is>
      </c>
      <c r="D52" s="39" t="inlineStr">
        <is>
          <t>Fridays for Future Chile</t>
        </is>
      </c>
      <c r="E52" s="39" t="n"/>
      <c r="F52" s="28" t="inlineStr">
        <is>
          <t>no disponible públicamente</t>
        </is>
      </c>
      <c r="G52" s="28" t="inlineStr">
        <is>
          <t>no disponible públicamente</t>
        </is>
      </c>
      <c r="H52" s="28" t="inlineStr">
        <is>
          <t>no disponible públicamente</t>
        </is>
      </c>
      <c r="I52" s="28" t="inlineStr">
        <is>
          <t>no disponible públicamente</t>
        </is>
      </c>
      <c r="J52" s="28" t="inlineStr">
        <is>
          <t>no disponible públicamente</t>
        </is>
      </c>
      <c r="K52" s="73" t="inlineStr">
        <is>
          <t>Fridays for Future Chile (Facebook/Instagram oficiales — fuentes originales no eran del movimiento)</t>
        </is>
      </c>
      <c r="L52" s="134" t="inlineStr">
        <is>
          <t>CORREGIDO</t>
        </is>
      </c>
      <c r="M52" s="30" t="inlineStr">
        <is>
          <t>Las fuentes citadas originalmente (350.org, terram.cl) son organizaciones ambientales distintas, no canales propios del movimiento. Reemplazadas por sus redes oficiales. Es un movimiento horizontal sin persona jurídica ni oficina.</t>
        </is>
      </c>
      <c r="N52" s="30" t="inlineStr">
        <is>
          <t>Evaluar</t>
        </is>
      </c>
    </row>
    <row r="53" ht="30" customHeight="1" s="182">
      <c r="A53" s="42" t="inlineStr">
        <is>
          <t>Chile</t>
        </is>
      </c>
      <c r="B53" s="15" t="inlineStr">
        <is>
          <t>Organizaciones juveniles</t>
        </is>
      </c>
      <c r="C53" s="73" t="inlineStr">
        <is>
          <t>Federación de estudiantes (coordinación nacional +30 federaciones)</t>
        </is>
      </c>
      <c r="D53" s="73" t="inlineStr">
        <is>
          <t>CONFECh – Confederación de Estudiantes de Chile</t>
        </is>
      </c>
      <c r="E53" s="73" t="n"/>
      <c r="F53" s="73" t="inlineStr">
        <is>
          <t>Vocería/Contacto general</t>
        </is>
      </c>
      <c r="G53" s="73" t="inlineStr">
        <is>
          <t>https://confechoficial.cl</t>
        </is>
      </c>
      <c r="H53" s="73" t="inlineStr">
        <is>
          <t>Javier Concha-Fech  (Mesa ejecutiva)</t>
        </is>
      </c>
      <c r="I53" s="73" t="inlineStr">
        <is>
          <t>569 7101 7644</t>
        </is>
      </c>
      <c r="J53" s="73" t="inlineStr">
        <is>
          <t>contacto@confechoficial.cl</t>
        </is>
      </c>
      <c r="K53" s="73" t="inlineStr">
        <is>
          <t>https://confechoficial.cl</t>
        </is>
      </c>
      <c r="L53" s="51" t="inlineStr">
        <is>
          <t>CONFIRMADO</t>
        </is>
      </c>
      <c r="M53" s="30" t="inlineStr">
        <is>
          <t>Sin hallazgos.</t>
        </is>
      </c>
      <c r="N53" s="30" t="inlineStr">
        <is>
          <t>Revisado</t>
        </is>
      </c>
    </row>
    <row r="54" ht="30" customHeight="1" s="182">
      <c r="A54" s="42" t="inlineStr">
        <is>
          <t>Chile</t>
        </is>
      </c>
      <c r="B54" s="15" t="inlineStr">
        <is>
          <t>Organizaciones juveniles</t>
        </is>
      </c>
      <c r="C54" s="73" t="inlineStr">
        <is>
          <t>Federación de estudiantes secundarios (nacional)</t>
        </is>
      </c>
      <c r="D54" s="73" t="inlineStr">
        <is>
          <t>CONES – Coordinadora Nacional de Estudiantes Secundarios</t>
        </is>
      </c>
      <c r="E54" s="73" t="n"/>
      <c r="F54" s="28" t="inlineStr">
        <is>
          <t>no disponible públicamente</t>
        </is>
      </c>
      <c r="G54" s="73" t="inlineStr">
        <is>
          <t>https://facebook.com/SecundariosCones</t>
        </is>
      </c>
      <c r="H54" s="28" t="inlineStr">
        <is>
          <t>no disponible públicamente</t>
        </is>
      </c>
      <c r="I54" s="28" t="inlineStr">
        <is>
          <t>no disponible públicamente</t>
        </is>
      </c>
      <c r="J54" s="28" t="inlineStr">
        <is>
          <t>no disponible públicamente</t>
        </is>
      </c>
      <c r="K54" s="73" t="inlineStr">
        <is>
          <t>https://facebook.com/SecundariosCones</t>
        </is>
      </c>
      <c r="L54" s="35" t="inlineStr">
        <is>
          <t>VERIFICAR</t>
        </is>
      </c>
      <c r="M54" s="30" t="inlineStr">
        <is>
          <t>Sin hallazgos.</t>
        </is>
      </c>
      <c r="N54" s="30" t="inlineStr">
        <is>
          <t xml:space="preserve">No está vigente , se indica que ya no existe </t>
        </is>
      </c>
    </row>
    <row r="55" ht="30" customHeight="1" s="182">
      <c r="A55" s="42" t="inlineStr">
        <is>
          <t>Chile</t>
        </is>
      </c>
      <c r="B55" s="15" t="inlineStr">
        <is>
          <t>Organizaciones juveniles</t>
        </is>
      </c>
      <c r="C55" s="73" t="inlineStr">
        <is>
          <t>Federación/asamblea de estudiantes secundarios (nacional)</t>
        </is>
      </c>
      <c r="D55" s="73" t="inlineStr">
        <is>
          <t>ACES – Asamblea Coordinadora de Estudiantes Secundarios</t>
        </is>
      </c>
      <c r="E55" s="73" t="n"/>
      <c r="F55" s="28" t="inlineStr">
        <is>
          <t>no disponible públicamente</t>
        </is>
      </c>
      <c r="G55" s="28" t="inlineStr">
        <is>
          <t>no disponible públicamente</t>
        </is>
      </c>
      <c r="H55" s="28" t="inlineStr">
        <is>
          <t>no disponible públicamente</t>
        </is>
      </c>
      <c r="I55" s="28" t="inlineStr">
        <is>
          <t>no disponible públicamente</t>
        </is>
      </c>
      <c r="J55" s="28" t="inlineStr">
        <is>
          <t>no disponible públicamente</t>
        </is>
      </c>
      <c r="K55" s="73" t="inlineStr">
        <is>
          <t>https://es.wikipedia.org/wiki/Asamblea_Coordinadora_de_Estudiantes_Secundarios</t>
        </is>
      </c>
      <c r="L55" s="51" t="inlineStr">
        <is>
          <t>CONFIRMADO</t>
        </is>
      </c>
      <c r="M55" s="30" t="inlineStr">
        <is>
          <t>Sin hallazgos.</t>
        </is>
      </c>
      <c r="N55" s="30" t="inlineStr">
        <is>
          <t xml:space="preserve">Se consultará con compañeros contactos en la coordinación </t>
        </is>
      </c>
    </row>
    <row r="56" ht="30" customHeight="1" s="182">
      <c r="A56" s="42" t="inlineStr">
        <is>
          <t>Chile</t>
        </is>
      </c>
      <c r="B56" s="15" t="inlineStr">
        <is>
          <t>Organizaciones juveniles</t>
        </is>
      </c>
      <c r="C56" s="73" t="inlineStr">
        <is>
          <t>Red nacional de jóvenes en política pública (18-30, 20 integrantes por convocatoria)</t>
        </is>
      </c>
      <c r="D56" s="73" t="inlineStr">
        <is>
          <t>Voces del Futuro (grupo consultivo juvenil, Delegación UE en Chile)</t>
        </is>
      </c>
      <c r="E56" s="73" t="n"/>
      <c r="F56" s="73" t="inlineStr">
        <is>
          <t>Delegación de la Unión Europea en Chile</t>
        </is>
      </c>
      <c r="G56" s="73" t="inlineStr">
        <is>
          <t>https://eeas.europa.eu/delegations/chile</t>
        </is>
      </c>
      <c r="H56" s="28" t="inlineStr">
        <is>
          <t>no disponible públicamente</t>
        </is>
      </c>
      <c r="I56" s="73" t="inlineStr">
        <is>
          <t>+56 2 2428 6800</t>
        </is>
      </c>
      <c r="J56" s="73" t="inlineStr">
        <is>
          <t>delegation-chile@eeas.europa.eu</t>
        </is>
      </c>
      <c r="K56" s="73" t="inlineStr">
        <is>
          <t>https://eeas.europa.eu/delegations/chile</t>
        </is>
      </c>
      <c r="L56" s="51" t="inlineStr">
        <is>
          <t>CONFIRMADO</t>
        </is>
      </c>
      <c r="M56" s="30" t="inlineStr">
        <is>
          <t>Sin hallazgos.</t>
        </is>
      </c>
      <c r="N56" s="30" t="n"/>
    </row>
    <row r="57" ht="30" customHeight="1" s="182">
      <c r="A57" s="42" t="inlineStr">
        <is>
          <t>Chile</t>
        </is>
      </c>
      <c r="B57" s="15" t="inlineStr">
        <is>
          <t>Organizaciones juveniles</t>
        </is>
      </c>
      <c r="C57" s="73" t="inlineStr">
        <is>
          <t>Consejo consultivo nacional de juventud (vinculado a INJUV)</t>
        </is>
      </c>
      <c r="D57" s="73" t="inlineStr">
        <is>
          <t>Consejo de la Sociedad Civil de INJUV (COSOC-INJUV)</t>
        </is>
      </c>
      <c r="E57" s="73" t="n"/>
      <c r="F57" s="73" t="inlineStr">
        <is>
          <t>Presidencia COSOC</t>
        </is>
      </c>
      <c r="G57" s="73" t="inlineStr">
        <is>
          <t>https://injuv.gob.cl/cosoc</t>
        </is>
      </c>
      <c r="H57" s="73" t="inlineStr">
        <is>
          <t>Álvaro González Silva (Presidente COSOC 2025-2027)</t>
        </is>
      </c>
      <c r="I57" s="73" t="inlineStr">
        <is>
          <t xml:space="preserve">56 2 26204700 </t>
        </is>
      </c>
      <c r="J57" s="28" t="inlineStr">
        <is>
          <t>no disponible públicamente</t>
        </is>
      </c>
      <c r="K57" s="73" t="inlineStr">
        <is>
          <t>https://injuv.gob.cl/personas/noticias/conoce-las-personas-representantes-del-cosoc-de-injuv-2025-2027</t>
        </is>
      </c>
      <c r="L57" s="51" t="inlineStr">
        <is>
          <t>CONFIRMADO</t>
        </is>
      </c>
      <c r="M57" s="30" t="inlineStr">
        <is>
          <t>Sin hallazgos.</t>
        </is>
      </c>
      <c r="N57" s="30" t="inlineStr">
        <is>
          <t xml:space="preserve">Telefono agregado mesa central </t>
        </is>
      </c>
    </row>
    <row r="58" ht="30" customHeight="1" s="182">
      <c r="A58" s="42" t="inlineStr">
        <is>
          <t>Chile</t>
        </is>
      </c>
      <c r="B58" s="15" t="inlineStr">
        <is>
          <t>Sindicatos y confederaciones de trabajadores</t>
        </is>
      </c>
      <c r="C58" s="73" t="inlineStr">
        <is>
          <t>Central nacional</t>
        </is>
      </c>
      <c r="D58" s="73" t="inlineStr">
        <is>
          <t>Central Unitaria de Trabajadores y Trabajadoras de Chile (CUT)</t>
        </is>
      </c>
      <c r="E58" s="73" t="n"/>
      <c r="F58" s="73" t="inlineStr">
        <is>
          <t>Comité Ejecutivo / Secretaría General</t>
        </is>
      </c>
      <c r="G58" s="73" t="inlineStr">
        <is>
          <t>https://cut.cl/web/</t>
        </is>
      </c>
      <c r="H58" s="73" t="inlineStr">
        <is>
          <t>Eric Campos (Secretario General)</t>
        </is>
      </c>
      <c r="I58" s="73" t="inlineStr">
        <is>
          <t>22 632 7859</t>
        </is>
      </c>
      <c r="J58" s="28" t="inlineStr">
        <is>
          <t>no disponible públicamente</t>
        </is>
      </c>
      <c r="K58" s="73" t="inlineStr">
        <is>
          <t>https://cut.cl/web/comite-ejecutivo</t>
        </is>
      </c>
      <c r="L58" s="35" t="inlineStr">
        <is>
          <t>VERIFICAR</t>
        </is>
      </c>
      <c r="M58" s="30" t="inlineStr">
        <is>
          <t>Secretario General confirmado vigente. El teléfono declarado no se encontró en la web oficial ni en fuentes externas — confirmar antes de usar. Nota: el Presidente actual de la CUT es José Manuel Díaz (electo may-2025), no incluido en esta fila.</t>
        </is>
      </c>
      <c r="N58" s="30" t="inlineStr">
        <is>
          <t>Buscando compañero Javier</t>
        </is>
      </c>
    </row>
    <row r="59" ht="30" customHeight="1" s="182">
      <c r="A59" s="42" t="inlineStr">
        <is>
          <t>Chile</t>
        </is>
      </c>
      <c r="B59" s="15" t="inlineStr">
        <is>
          <t>Sindicatos y confederaciones de trabajadores</t>
        </is>
      </c>
      <c r="C59" s="73" t="inlineStr">
        <is>
          <t>Central nacional (alternativa a la CUT)</t>
        </is>
      </c>
      <c r="D59" s="73" t="inlineStr">
        <is>
          <t>Central Autónoma de Trabajadores y Trabajadoras de Chile (CAT)</t>
        </is>
      </c>
      <c r="E59" s="73" t="n"/>
      <c r="F59" s="73" t="inlineStr">
        <is>
          <t>Directorio Nacional / Contacto</t>
        </is>
      </c>
      <c r="G59" s="73" t="inlineStr">
        <is>
          <t>https://catchile.cl/</t>
        </is>
      </c>
      <c r="H59" s="73" t="inlineStr">
        <is>
          <t>Ricardo Maldonado Olivares (Presidente)</t>
        </is>
      </c>
      <c r="I59" s="73" t="inlineStr">
        <is>
          <t>(33) 251 0910</t>
        </is>
      </c>
      <c r="J59" s="73" t="inlineStr">
        <is>
          <t>catchile@catchile.cl</t>
        </is>
      </c>
      <c r="K59" s="73" t="inlineStr">
        <is>
          <t>https://catchile.cl/contactanos</t>
        </is>
      </c>
      <c r="L59" s="51" t="inlineStr">
        <is>
          <t>CONFIRMADO</t>
        </is>
      </c>
      <c r="M59" s="30" t="inlineStr">
        <is>
          <t>Todos los datos coinciden exactamente con la fuente.</t>
        </is>
      </c>
      <c r="N59" s="30" t="inlineStr">
        <is>
          <t>Revisado</t>
        </is>
      </c>
    </row>
    <row r="60" ht="30" customHeight="1" s="182">
      <c r="A60" s="42" t="inlineStr">
        <is>
          <t>Chile</t>
        </is>
      </c>
      <c r="B60" s="15" t="inlineStr">
        <is>
          <t>Sindicatos y confederaciones de trabajadores</t>
        </is>
      </c>
      <c r="C60" s="73" t="inlineStr">
        <is>
          <t>Central nacional (alternativa/disidente, no inscrita en registro oficial DT)</t>
        </is>
      </c>
      <c r="D60" s="73" t="inlineStr">
        <is>
          <t>Central Clasista de Trabajadoras y Trabajadores (CCTT)</t>
        </is>
      </c>
      <c r="E60" s="73" t="n"/>
      <c r="F60" s="73" t="inlineStr">
        <is>
          <t>Directorio</t>
        </is>
      </c>
      <c r="G60" s="73" t="inlineStr">
        <is>
          <t>https://www.centralclasista.org/</t>
        </is>
      </c>
      <c r="H60" s="73" t="inlineStr">
        <is>
          <t>Andrés Troncoso (Secretario Nacional, desde enero de 2022 — corregido, el dato original era de 2018)</t>
        </is>
      </c>
      <c r="I60" s="28" t="inlineStr">
        <is>
          <t>no disponible públicamente</t>
        </is>
      </c>
      <c r="J60" s="28" t="inlineStr">
        <is>
          <t>no disponible públicamente</t>
        </is>
      </c>
      <c r="K60" s="73" t="inlineStr">
        <is>
          <t>elmostrador.cl / emol.com (nota 1° mayo 2026)</t>
        </is>
      </c>
      <c r="L60" s="134" t="inlineStr">
        <is>
          <t>CORREGIDO</t>
        </is>
      </c>
      <c r="M60" s="30" t="inlineStr">
        <is>
          <t>El dato original (2018) estaba desactualizado. Corregido según confirmación de prensa reciente.</t>
        </is>
      </c>
      <c r="N60" s="30" t="inlineStr">
        <is>
          <t xml:space="preserve">Revisado, sin correo ni contacto de telefono </t>
        </is>
      </c>
    </row>
    <row r="61" ht="30" customHeight="1" s="182">
      <c r="A61" s="42" t="inlineStr">
        <is>
          <t>Chile</t>
        </is>
      </c>
      <c r="B61" s="15" t="inlineStr">
        <is>
          <t>Sindicatos y confederaciones de trabajadores</t>
        </is>
      </c>
      <c r="C61" s="73" t="inlineStr">
        <is>
          <t>Central nacional (estructura histórica/menor)</t>
        </is>
      </c>
      <c r="D61" s="73" t="inlineStr">
        <is>
          <t>Confederación Nacional de Trabajadores de Chile (CNT)</t>
        </is>
      </c>
      <c r="E61" s="73" t="n"/>
      <c r="F61" s="73" t="inlineStr">
        <is>
          <t>Sitio institucional</t>
        </is>
      </c>
      <c r="G61" s="73" t="inlineStr">
        <is>
          <t>https://cntchile.cl/</t>
        </is>
      </c>
      <c r="H61" s="28" t="inlineStr">
        <is>
          <t>no disponible públicamente</t>
        </is>
      </c>
      <c r="I61" s="73" t="inlineStr">
        <is>
          <t>(02) 25324484 - (c) 98187709</t>
        </is>
      </c>
      <c r="J61" s="73" t="n"/>
      <c r="K61" s="73" t="inlineStr">
        <is>
          <t>https://cntchile.cl/somos.html</t>
        </is>
      </c>
      <c r="L61" s="51" t="inlineStr">
        <is>
          <t>CONFIRMADO</t>
        </is>
      </c>
      <c r="M61" s="30" t="inlineStr">
        <is>
          <t>Decisión correcta de no incluir nombre: el propio sitio solo muestra una directiva de 2015, evidentemente obsoleta.</t>
        </is>
      </c>
      <c r="N61" s="30" t="inlineStr">
        <is>
          <t xml:space="preserve">Telefono agregado </t>
        </is>
      </c>
    </row>
    <row r="62" ht="30" customHeight="1" s="182">
      <c r="A62" s="42" t="inlineStr">
        <is>
          <t>Chile</t>
        </is>
      </c>
      <c r="B62" s="15" t="inlineStr">
        <is>
          <t>Sindicatos y confederaciones de trabajadores</t>
        </is>
      </c>
      <c r="C62" s="73" t="inlineStr">
        <is>
          <t>Federación/confederación sectorial afiliada a CUT (minería del cobre)</t>
        </is>
      </c>
      <c r="D62" s="73" t="inlineStr">
        <is>
          <t>Federación de Trabajadores del Cobre (FTC)</t>
        </is>
      </c>
      <c r="E62" s="73" t="n"/>
      <c r="F62" s="73" t="inlineStr">
        <is>
          <t>Secretaría / Prensa</t>
        </is>
      </c>
      <c r="G62" s="73" t="inlineStr">
        <is>
          <t>https://www.ftc.cl/</t>
        </is>
      </c>
      <c r="H62" s="28" t="inlineStr">
        <is>
          <t>no disponible públicamente</t>
        </is>
      </c>
      <c r="I62" s="73" t="inlineStr">
        <is>
          <t>(56) 2 2676 7400 / 2690 3976/77</t>
        </is>
      </c>
      <c r="J62" s="73" t="inlineStr">
        <is>
          <t>ftc@codelco.cl</t>
        </is>
      </c>
      <c r="K62" s="73" t="inlineStr">
        <is>
          <t>https://ftc.cl</t>
        </is>
      </c>
      <c r="L62" s="35" t="inlineStr">
        <is>
          <t>VERIFICAR</t>
        </is>
      </c>
      <c r="M62" s="30" t="inlineStr">
        <is>
          <t>Teléfono secundario y email no coinciden con los canales oficiales actuales (ftc.cl/contacto muestra comunicaciones@ftc.cl). Presidente actual: Héctor Roco Aguilar. Confirmar directamente antes de contactar.</t>
        </is>
      </c>
      <c r="N62" s="30" t="inlineStr">
        <is>
          <t>x</t>
        </is>
      </c>
    </row>
    <row r="63" ht="30" customHeight="1" s="182">
      <c r="A63" s="42" t="inlineStr">
        <is>
          <t>Chile</t>
        </is>
      </c>
      <c r="B63" s="15" t="inlineStr">
        <is>
          <t>Sindicatos y confederaciones de trabajadores</t>
        </is>
      </c>
      <c r="C63" s="73" t="inlineStr">
        <is>
          <t>Federación/confederación sectorial afiliada a CUT (salud primaria municipal)</t>
        </is>
      </c>
      <c r="D63" s="73" t="inlineStr">
        <is>
          <t>Confederación Nacional de Funcionarios de la Salud Municipal (CONFUSAM)</t>
        </is>
      </c>
      <c r="E63" s="73" t="n"/>
      <c r="F63" s="73" t="inlineStr">
        <is>
          <t>Presidencia Nacional</t>
        </is>
      </c>
      <c r="G63" s="73" t="inlineStr">
        <is>
          <t>https://confusam.cl/</t>
        </is>
      </c>
      <c r="H63" s="73" t="inlineStr">
        <is>
          <t>Gabriela Flores Salgado (Presidenta Nacional)</t>
        </is>
      </c>
      <c r="I63" s="73" t="inlineStr">
        <is>
          <t>+56 2 2672 2095</t>
        </is>
      </c>
      <c r="J63" s="73" t="inlineStr">
        <is>
          <t>presidencia@confusam.cl</t>
        </is>
      </c>
      <c r="K63" s="73" t="inlineStr">
        <is>
          <t>https://confusam.cl/directorio-nacional-confusam</t>
        </is>
      </c>
      <c r="L63" s="51" t="inlineStr">
        <is>
          <t>CONFIRMADO</t>
        </is>
      </c>
      <c r="M63" s="30" t="inlineStr">
        <is>
          <t>Todos los datos coinciden exactamente con la fuente oficial.</t>
        </is>
      </c>
      <c r="N63" s="30" t="inlineStr">
        <is>
          <t>Revisado</t>
        </is>
      </c>
    </row>
    <row r="64" ht="30" customHeight="1" s="182">
      <c r="A64" s="42" t="inlineStr">
        <is>
          <t>Chile</t>
        </is>
      </c>
      <c r="B64" s="15" t="inlineStr">
        <is>
          <t>Sindicatos y confederaciones de trabajadores</t>
        </is>
      </c>
      <c r="C64" s="73" t="inlineStr">
        <is>
          <t>Federación/confederación sectorial afiliada a CUT (sector público)</t>
        </is>
      </c>
      <c r="D64" s="73" t="inlineStr">
        <is>
          <t>Agrupación Nacional de Empleados Fiscales (ANEF)</t>
        </is>
      </c>
      <c r="E64" s="73" t="n"/>
      <c r="F64" s="73" t="inlineStr">
        <is>
          <t>Atención institucional</t>
        </is>
      </c>
      <c r="G64" s="73" t="inlineStr">
        <is>
          <t>https://anef.cl/</t>
        </is>
      </c>
      <c r="H64" s="73" t="inlineStr">
        <is>
          <t>José Pérez Debelli (Presidente, reelecto 2025-2028) / Carlos Insunza Rojas (Secretario General)</t>
        </is>
      </c>
      <c r="I64" s="73" t="inlineStr">
        <is>
          <t>(56-2) 26962957 / 24490560</t>
        </is>
      </c>
      <c r="J64" s="73" t="inlineStr">
        <is>
          <t>info@anef.cl</t>
        </is>
      </c>
      <c r="K64" s="73" t="inlineStr">
        <is>
          <t>https://anef.cl/directorio-nacional-anef-2025-2028</t>
        </is>
      </c>
      <c r="L64" s="51" t="inlineStr">
        <is>
          <t>CONFIRMADO</t>
        </is>
      </c>
      <c r="M64" s="30" t="inlineStr">
        <is>
          <t>El nombre, antes marcado como no confirmado, ya está disponible públicamente (Directorio ANEF 2025-2028).</t>
        </is>
      </c>
      <c r="N64" s="30" t="inlineStr">
        <is>
          <t>Revisado</t>
        </is>
      </c>
    </row>
    <row r="65" ht="30" customHeight="1" s="182">
      <c r="A65" s="42" t="inlineStr">
        <is>
          <t>Chile</t>
        </is>
      </c>
      <c r="B65" s="15" t="inlineStr">
        <is>
          <t>Sindicatos y confederaciones de trabajadores</t>
        </is>
      </c>
      <c r="C65" s="73" t="inlineStr">
        <is>
          <t>Federación/confederación sectorial afiliada a CUT (docentes)</t>
        </is>
      </c>
      <c r="D65" s="73" t="inlineStr">
        <is>
          <t>Colegio de Profesoras y Profesores de Chile A.G.</t>
        </is>
      </c>
      <c r="E65" s="73" t="n"/>
      <c r="F65" s="73" t="inlineStr">
        <is>
          <t>Atención al Profesor y Profesora</t>
        </is>
      </c>
      <c r="G65" s="73" t="inlineStr">
        <is>
          <t>https://www.colegiodeprofesores.cl/</t>
        </is>
      </c>
      <c r="H65" s="73" t="inlineStr">
        <is>
          <t>Mario Aguilar Arévalo (Presidente Nacional) — CORREGIDO: Carlos Díaz Marchant perdió la elección de noviembre de 2023</t>
        </is>
      </c>
      <c r="I65" s="73" t="inlineStr">
        <is>
          <t>22470 4232 / 4230 / 4213</t>
        </is>
      </c>
      <c r="J65" s="28" t="inlineStr">
        <is>
          <t>no disponible públicamente</t>
        </is>
      </c>
      <c r="K65" s="73" t="inlineStr">
        <is>
          <t>https://colegiodeprofesores.cl/contacto</t>
        </is>
      </c>
      <c r="L65" s="134" t="inlineStr">
        <is>
          <t>CORREGIDO</t>
        </is>
      </c>
      <c r="M65" s="30" t="inlineStr">
        <is>
          <t>ERROR CRÍTICO — MAYOR PRIORIDAD DE TODO EL LISTADO: Carlos Díaz Marchant ya no es presidente, perdió la elección de noviembre de 2023 ante Mario Aguilar Arévalo, quien continúa vigente (confirmado hasta jul-2026).</t>
        </is>
      </c>
      <c r="N65" s="30" t="inlineStr">
        <is>
          <t xml:space="preserve">Preguntando a compañeros </t>
        </is>
      </c>
    </row>
    <row r="66" ht="30" customHeight="1" s="182">
      <c r="A66" s="42" t="inlineStr">
        <is>
          <t>Chile</t>
        </is>
      </c>
      <c r="B66" s="15" t="inlineStr">
        <is>
          <t>Sindicatos y confederaciones de trabajadores</t>
        </is>
      </c>
      <c r="C66" s="73" t="inlineStr">
        <is>
          <t>Federación/confederación sectorial afiliada a CUT (salud pública/hospitalaria)</t>
        </is>
      </c>
      <c r="D66" s="73" t="inlineStr">
        <is>
          <t>Confederación Fenats Nacional</t>
        </is>
      </c>
      <c r="E66" s="73" t="n"/>
      <c r="F66" s="73" t="inlineStr">
        <is>
          <t>Directiva nacional</t>
        </is>
      </c>
      <c r="G66" s="73" t="inlineStr">
        <is>
          <t>https://fenatsnacional.cl/</t>
        </is>
      </c>
      <c r="H66" s="28" t="inlineStr">
        <is>
          <t>no disponible públicamente</t>
        </is>
      </c>
      <c r="I66" s="28" t="inlineStr">
        <is>
          <t>no disponible públicamente</t>
        </is>
      </c>
      <c r="J66" s="183" t="inlineStr">
        <is>
          <t>confederacionfenatsnacional@gmail.com</t>
        </is>
      </c>
      <c r="K66" s="73" t="inlineStr">
        <is>
          <t>https://fenatsnacional.cl</t>
        </is>
      </c>
      <c r="L66" s="51" t="inlineStr">
        <is>
          <t>CONFIRMADO</t>
        </is>
      </c>
      <c r="M66" s="30" t="inlineStr">
        <is>
          <t>Sin hallazgos.</t>
        </is>
      </c>
      <c r="N66" s="30" t="inlineStr">
        <is>
          <t>gmail agregado para prensa</t>
        </is>
      </c>
    </row>
    <row r="67" ht="30" customHeight="1" s="182">
      <c r="A67" s="42" t="inlineStr">
        <is>
          <t>Chile</t>
        </is>
      </c>
      <c r="B67" s="15" t="inlineStr">
        <is>
          <t>Sindicatos y confederaciones de trabajadores</t>
        </is>
      </c>
      <c r="C67" s="73" t="inlineStr">
        <is>
          <t>Federación/confederación sectorial afiliada a CUT (profesionales universitarios de salud)</t>
        </is>
      </c>
      <c r="D67" s="73" t="inlineStr">
        <is>
          <t>Confederación FENPRUSS</t>
        </is>
      </c>
      <c r="E67" s="73" t="n"/>
      <c r="F67" s="73" t="inlineStr">
        <is>
          <t>Sede nacional</t>
        </is>
      </c>
      <c r="G67" s="183" t="inlineStr">
        <is>
          <t>https://fenpruss.cl/</t>
        </is>
      </c>
      <c r="H67" s="28" t="inlineStr">
        <is>
          <t>no disponible públicamente</t>
        </is>
      </c>
      <c r="I67" s="73" t="inlineStr">
        <is>
          <t>(56-2) 26718920 / 26719251</t>
        </is>
      </c>
      <c r="J67" s="73" t="inlineStr">
        <is>
          <t>fenpruss@fenpruss.cl</t>
        </is>
      </c>
      <c r="K67" s="73" t="inlineStr">
        <is>
          <t>https://fenpruss.cl</t>
        </is>
      </c>
      <c r="L67" s="134" t="inlineStr">
        <is>
          <t>CORREGIDO</t>
        </is>
      </c>
      <c r="M67" s="184" t="inlineStr">
        <is>
          <t>La URL original estaba rota/vacía; reemplazada por el sitio vigente. | Auditoría 08-oct-2026: Texto movido desde web: "(corregida — la URL original estaba rota)"</t>
        </is>
      </c>
      <c r="N67" s="30" t="inlineStr">
        <is>
          <t>revisado</t>
        </is>
      </c>
    </row>
    <row r="68" ht="30" customHeight="1" s="182">
      <c r="A68" s="42" t="inlineStr">
        <is>
          <t>Chile</t>
        </is>
      </c>
      <c r="B68" s="15" t="inlineStr">
        <is>
          <t>Sindicatos y confederaciones de trabajadores</t>
        </is>
      </c>
      <c r="C68" s="73" t="inlineStr">
        <is>
          <t>Departamento de juventud sindical</t>
        </is>
      </c>
      <c r="D68" s="73" t="inlineStr">
        <is>
          <t>Secretaría de Asuntos Juveniles de la CUT (SEJUCUT)</t>
        </is>
      </c>
      <c r="E68" s="73" t="n"/>
      <c r="F68" s="73" t="inlineStr">
        <is>
          <t>Secretaría de Asuntos Juveniles (bajo Comité Ejecutivo CUT)</t>
        </is>
      </c>
      <c r="G68" s="73" t="inlineStr">
        <is>
          <t>https://cut.cl/web/</t>
        </is>
      </c>
      <c r="H68" s="73" t="inlineStr">
        <is>
          <t>Walter Cubillos, Javiera Parada, Aymara Salamanca (2018, directiva vigente no confirmada)</t>
        </is>
      </c>
      <c r="I68" s="28" t="inlineStr">
        <is>
          <t>no disponible públicamente</t>
        </is>
      </c>
      <c r="J68" s="28" t="inlineStr">
        <is>
          <t>no disponible públicamente</t>
        </is>
      </c>
      <c r="K68" s="73" t="inlineStr">
        <is>
          <t>https://chile.fes.de/actividades/encuentro-nacional-sindical-juvenil-cut</t>
        </is>
      </c>
      <c r="L68" s="35" t="inlineStr">
        <is>
          <t>VERIFICAR</t>
        </is>
      </c>
      <c r="M68" s="30" t="inlineStr">
        <is>
          <t>Única fuente disponible data de agosto de 2018 (8 años). No se halló ninguna fuente 2024-2026 que confirme que los nombres declarados sigan vigentes. No usar sin verificación directa con la CUT.</t>
        </is>
      </c>
      <c r="N68" s="30" t="inlineStr">
        <is>
          <t>Buscando compañero Javier</t>
        </is>
      </c>
    </row>
    <row r="69" ht="30" customHeight="1" s="182">
      <c r="A69" s="42" t="inlineStr">
        <is>
          <t>Chile</t>
        </is>
      </c>
      <c r="B69" s="15" t="inlineStr">
        <is>
          <t>Sindicatos y confederaciones de trabajadores</t>
        </is>
      </c>
      <c r="C69" s="73" t="inlineStr">
        <is>
          <t>Departamento de juventud sindical (dentro de confederación afiliada a CUT)</t>
        </is>
      </c>
      <c r="D69" s="73" t="inlineStr">
        <is>
          <t>Comisión Nacional de Jóvenes de CONFUSAM</t>
        </is>
      </c>
      <c r="E69" s="73" t="n"/>
      <c r="F69" s="73" t="inlineStr">
        <is>
          <t>Comisión de Jóvenes</t>
        </is>
      </c>
      <c r="G69" s="73" t="inlineStr">
        <is>
          <t>https://jovenes.confusam.cl/</t>
        </is>
      </c>
      <c r="H69" s="73" t="inlineStr">
        <is>
          <t>Makarena Albornoz Toledo (Encargada Nacional)</t>
        </is>
      </c>
      <c r="I69" s="28" t="inlineStr">
        <is>
          <t>no disponible públicamente</t>
        </is>
      </c>
      <c r="J69" s="73" t="inlineStr">
        <is>
          <t>jovenes@confusam.cl</t>
        </is>
      </c>
      <c r="K69" s="73" t="inlineStr">
        <is>
          <t>https://confusam.cl/directorio-nacional-confusam</t>
        </is>
      </c>
      <c r="L69" s="51" t="inlineStr">
        <is>
          <t>CONFIRMADO</t>
        </is>
      </c>
      <c r="M69" s="30" t="inlineStr">
        <is>
          <t>Dato totalmente vigente.</t>
        </is>
      </c>
      <c r="N69" s="30" t="inlineStr">
        <is>
          <t>Revisado</t>
        </is>
      </c>
    </row>
    <row r="70" ht="30" customHeight="1" s="182">
      <c r="A70" s="42" t="inlineStr">
        <is>
          <t>Chile</t>
        </is>
      </c>
      <c r="B70" s="15" t="inlineStr">
        <is>
          <t>Universidades públicas</t>
        </is>
      </c>
      <c r="C70" s="73" t="inlineStr">
        <is>
          <t>Universidad estatal tradicional (CUECH)</t>
        </is>
      </c>
      <c r="D70" s="73" t="inlineStr">
        <is>
          <t>Universidad de Chile</t>
        </is>
      </c>
      <c r="E70" s="73" t="n"/>
      <c r="F70" s="73" t="inlineStr">
        <is>
          <t>Dirección de Bienestar y Desarrollo Estudiantil (DIRBDE)</t>
        </is>
      </c>
      <c r="G70" s="73" t="inlineStr">
        <is>
          <t>https://uchile.cl/dirbde</t>
        </is>
      </c>
      <c r="H70" s="73" t="inlineStr">
        <is>
          <t>Ricardo Pertuzé Concha (Director)</t>
        </is>
      </c>
      <c r="I70" s="73" t="inlineStr">
        <is>
          <t>+56 2 2978 2000 (general)</t>
        </is>
      </c>
      <c r="J70" s="73" t="inlineStr">
        <is>
          <t>rpertuze@uchile.cl</t>
        </is>
      </c>
      <c r="K70" s="73" t="inlineStr">
        <is>
          <t>https://uchile.cl/presentacion/vicerrectoria-de-asuntos-estudiantiles-y-comunitarios/direccion-de-bienestar-y-desarrollo-estudiantil/direccion/contactos</t>
        </is>
      </c>
      <c r="L70" s="51" t="inlineStr">
        <is>
          <t>CONFIRMADO</t>
        </is>
      </c>
      <c r="M70" s="30" t="inlineStr">
        <is>
          <t>Todos los datos verificados en fuente oficial. El teléfono es el conmutador general de la universidad, no una línea directa de DIRBDE.</t>
        </is>
      </c>
      <c r="N70" s="30" t="inlineStr">
        <is>
          <t>Revisado</t>
        </is>
      </c>
    </row>
    <row r="71" ht="30" customHeight="1" s="182">
      <c r="A71" s="42" t="inlineStr">
        <is>
          <t>Chile</t>
        </is>
      </c>
      <c r="B71" s="15" t="inlineStr">
        <is>
          <t>Universidades públicas</t>
        </is>
      </c>
      <c r="C71" s="73" t="inlineStr">
        <is>
          <t>Universidad estatal tradicional (CUECH)</t>
        </is>
      </c>
      <c r="D71" s="73" t="inlineStr">
        <is>
          <t>Universidad de Santiago de Chile (USACH)</t>
        </is>
      </c>
      <c r="E71" s="73" t="n"/>
      <c r="F71" s="73" t="inlineStr">
        <is>
          <t>Vicerrectoría de Apoyo Estudiantil (VRAE)</t>
        </is>
      </c>
      <c r="G71" s="73" t="inlineStr">
        <is>
          <t>https://vrae.usach.cl/becas-y-beneficios/</t>
        </is>
      </c>
      <c r="H71" s="28" t="inlineStr">
        <is>
          <t>no disponible públicamente</t>
        </is>
      </c>
      <c r="I71" s="73" t="inlineStr">
        <is>
          <t>56-2-2718 4900 (general)</t>
        </is>
      </c>
      <c r="J71" s="28" t="inlineStr">
        <is>
          <t>no disponible públicamente</t>
        </is>
      </c>
      <c r="K71" s="73" t="inlineStr">
        <is>
          <t>https://www.usach.cl/bienestar-estudiantil</t>
        </is>
      </c>
      <c r="L71" s="51" t="inlineStr">
        <is>
          <t>CONFIRMADO</t>
        </is>
      </c>
      <c r="M71" s="30" t="inlineStr">
        <is>
          <t>Nombre de unidad ajustado a la denominación oficial exacta (VRAE). Teléfono es el OIRS/conmutador general de USACH.</t>
        </is>
      </c>
      <c r="N71" s="30" t="inlineStr">
        <is>
          <t>Revisado</t>
        </is>
      </c>
    </row>
    <row r="72" ht="30" customHeight="1" s="182">
      <c r="A72" s="42" t="inlineStr">
        <is>
          <t>Chile</t>
        </is>
      </c>
      <c r="B72" s="15" t="inlineStr">
        <is>
          <t>Universidades públicas</t>
        </is>
      </c>
      <c r="C72" s="73" t="inlineStr">
        <is>
          <t>Universidad estatal tradicional (CUECH)</t>
        </is>
      </c>
      <c r="D72" s="73" t="inlineStr">
        <is>
          <t>Universidad de Tarapacá (UTA)</t>
        </is>
      </c>
      <c r="E72" s="73" t="n"/>
      <c r="F72" s="73" t="inlineStr">
        <is>
          <t>Dirección de Asuntos Estudiantiles (DAE)</t>
        </is>
      </c>
      <c r="G72" s="73" t="inlineStr">
        <is>
          <t>https://webdae.uta.cl/</t>
        </is>
      </c>
      <c r="H72" s="28" t="inlineStr">
        <is>
          <t>no disponible públicamente</t>
        </is>
      </c>
      <c r="I72" s="73" t="inlineStr">
        <is>
          <t>(58) 2205124 (corregido — el original era de otra sede)</t>
        </is>
      </c>
      <c r="J72" s="73" t="inlineStr">
        <is>
          <t>dae@gestion.uta.cl</t>
        </is>
      </c>
      <c r="K72" s="73" t="inlineStr">
        <is>
          <t>https://webdae.uta.cl/</t>
        </is>
      </c>
      <c r="L72" s="134" t="inlineStr">
        <is>
          <t>CORREGIDO</t>
        </is>
      </c>
      <c r="M72" s="30" t="inlineStr">
        <is>
          <t>El teléfono original correspondía al conmutador de la sede Iquique, no a la DAE de Arica. Corregido según fuente oficial.</t>
        </is>
      </c>
      <c r="N72" s="30" t="inlineStr">
        <is>
          <t>Revisado</t>
        </is>
      </c>
    </row>
    <row r="73" ht="30" customHeight="1" s="182">
      <c r="A73" s="42" t="inlineStr">
        <is>
          <t>Chile</t>
        </is>
      </c>
      <c r="B73" s="15" t="inlineStr">
        <is>
          <t>Universidades públicas</t>
        </is>
      </c>
      <c r="C73" s="73" t="inlineStr">
        <is>
          <t>Universidad estatal tradicional (CUECH)</t>
        </is>
      </c>
      <c r="D73" s="73" t="inlineStr">
        <is>
          <t>Universidad Arturo Prat (UNAP)</t>
        </is>
      </c>
      <c r="E73" s="73" t="n"/>
      <c r="F73" s="73" t="inlineStr">
        <is>
          <t>Bienestar Estudiantil</t>
        </is>
      </c>
      <c r="G73" s="73" t="inlineStr">
        <is>
          <t>https://www.unap.cl/</t>
        </is>
      </c>
      <c r="H73" s="73" t="inlineStr">
        <is>
          <t>Odette Jerez (Bienestar sede Victoria)</t>
        </is>
      </c>
      <c r="I73" s="73" t="inlineStr">
        <is>
          <t>45 2913156</t>
        </is>
      </c>
      <c r="J73" s="28" t="inlineStr">
        <is>
          <t>no disponible públicamente</t>
        </is>
      </c>
      <c r="K73" s="73" t="inlineStr">
        <is>
          <t>https://www.unap.cl/prontus_unap/site/edic/base/port/sede_victoria.html</t>
        </is>
      </c>
      <c r="L73" s="51" t="inlineStr">
        <is>
          <t>CONFIRMADO</t>
        </is>
      </c>
      <c r="M73" s="30" t="inlineStr">
        <is>
          <t>Sin hallazgos.</t>
        </is>
      </c>
      <c r="N73" s="30" t="inlineStr">
        <is>
          <t>Revisado</t>
        </is>
      </c>
    </row>
    <row r="74" ht="30" customHeight="1" s="182">
      <c r="A74" s="42" t="inlineStr">
        <is>
          <t>Chile</t>
        </is>
      </c>
      <c r="B74" s="15" t="inlineStr">
        <is>
          <t>Universidades públicas</t>
        </is>
      </c>
      <c r="C74" s="73" t="inlineStr">
        <is>
          <t>Universidad estatal tradicional (CUECH)</t>
        </is>
      </c>
      <c r="D74" s="73" t="inlineStr">
        <is>
          <t>Universidad de Antofagasta (UA)</t>
        </is>
      </c>
      <c r="E74" s="73" t="n"/>
      <c r="F74" s="73" t="inlineStr">
        <is>
          <t>Servicio de Bienestar Estudiantil</t>
        </is>
      </c>
      <c r="G74" s="73" t="inlineStr">
        <is>
          <t>http://dde.uantof.cl/</t>
        </is>
      </c>
      <c r="H74" s="73" t="inlineStr">
        <is>
          <t>Patricia Ramos Bradanovic (Jefa del Servicio)</t>
        </is>
      </c>
      <c r="I74" s="73" t="inlineStr">
        <is>
          <t>55 2 637262</t>
        </is>
      </c>
      <c r="J74" s="73" t="inlineStr">
        <is>
          <t>jefe.sbe@uantof.cl</t>
        </is>
      </c>
      <c r="K74" s="73" t="inlineStr">
        <is>
          <t>https://www.uantof.cl/quienes-somos-bienestar-estudiantil/</t>
        </is>
      </c>
      <c r="L74" s="51" t="inlineStr">
        <is>
          <t>CONFIRMADO</t>
        </is>
      </c>
      <c r="M74" s="30" t="inlineStr">
        <is>
          <t>Confirmado vía fuente alterna oficial (dde.uantof.cl/?page_id=53).</t>
        </is>
      </c>
      <c r="N74" s="30" t="inlineStr">
        <is>
          <t>Revisado</t>
        </is>
      </c>
    </row>
    <row r="75" ht="30" customHeight="1" s="182">
      <c r="A75" s="42" t="inlineStr">
        <is>
          <t>Chile</t>
        </is>
      </c>
      <c r="B75" s="15" t="inlineStr">
        <is>
          <t>Universidades públicas</t>
        </is>
      </c>
      <c r="C75" s="73" t="inlineStr">
        <is>
          <t>Universidad estatal tradicional (CUECH)</t>
        </is>
      </c>
      <c r="D75" s="73" t="inlineStr">
        <is>
          <t>Universidad de Atacama (UDA)</t>
        </is>
      </c>
      <c r="E75" s="73" t="n"/>
      <c r="F75" s="73" t="inlineStr">
        <is>
          <t>Bienestar Estudiantil (Dirección de Actividades Estudiantiles)</t>
        </is>
      </c>
      <c r="G75" s="73" t="inlineStr">
        <is>
          <t>https://bienestar.uda.cl/</t>
        </is>
      </c>
      <c r="H75" s="28" t="inlineStr">
        <is>
          <t>no disponible públicamente</t>
        </is>
      </c>
      <c r="I75" s="73" t="inlineStr">
        <is>
          <t>(56)(52) 20 6500 (general)</t>
        </is>
      </c>
      <c r="J75" s="28" t="inlineStr">
        <is>
          <t>no disponible públicamente</t>
        </is>
      </c>
      <c r="K75" s="33" t="inlineStr">
        <is>
          <t>https://uda.cl/direccion-de-actividades-estudiantiles/bienestar-estudiantil/</t>
        </is>
      </c>
      <c r="L75" s="35" t="inlineStr">
        <is>
          <t>VERIFICAR</t>
        </is>
      </c>
      <c r="M75" s="30" t="inlineStr">
        <is>
          <t>Jefatura actual identificada como Alejandra Álvarez Navea (no reflejada en la fila). Teléfono es conmutador general, no confirmado como línea directa de Bienestar.</t>
        </is>
      </c>
      <c r="N75" s="30" t="inlineStr">
        <is>
          <t>Revisado</t>
        </is>
      </c>
    </row>
    <row r="76" ht="30" customHeight="1" s="182">
      <c r="A76" s="42" t="inlineStr">
        <is>
          <t>Chile</t>
        </is>
      </c>
      <c r="B76" s="15" t="inlineStr">
        <is>
          <t>Universidades públicas</t>
        </is>
      </c>
      <c r="C76" s="73" t="inlineStr">
        <is>
          <t>Universidad estatal tradicional (CUECH)</t>
        </is>
      </c>
      <c r="D76" s="73" t="inlineStr">
        <is>
          <t>Universidad de La Serena (ULS)</t>
        </is>
      </c>
      <c r="E76" s="73" t="n"/>
      <c r="F76" s="73" t="inlineStr">
        <is>
          <t>Departamento de Bienestar Estudiantil (DGAE)</t>
        </is>
      </c>
      <c r="G76" s="73" t="inlineStr">
        <is>
          <t>https://dgae.userena.cl/bienestar.html</t>
        </is>
      </c>
      <c r="H76" s="73" t="inlineStr">
        <is>
          <t>Patricia Astroza Morgan (Coordinadora)</t>
        </is>
      </c>
      <c r="I76" s="73" t="inlineStr">
        <is>
          <t>51 2 204297</t>
        </is>
      </c>
      <c r="J76" s="73" t="inlineStr">
        <is>
          <t>bienestarestudiantil@userena.cl</t>
        </is>
      </c>
      <c r="K76" s="73" t="inlineStr">
        <is>
          <t>https://dgae.userena.cl/bienestar.html</t>
        </is>
      </c>
      <c r="L76" s="51" t="inlineStr">
        <is>
          <t>CONFIRMADO</t>
        </is>
      </c>
      <c r="M76" s="30" t="inlineStr">
        <is>
          <t>Fetch directo a la fuente falló técnicamente, pero todos los datos se confirmaron vía indexación del mismo contenido.</t>
        </is>
      </c>
      <c r="N76" s="30" t="inlineStr">
        <is>
          <t>Revisado</t>
        </is>
      </c>
    </row>
    <row r="77" ht="30" customHeight="1" s="182">
      <c r="A77" s="42" t="inlineStr">
        <is>
          <t>Chile</t>
        </is>
      </c>
      <c r="B77" s="15" t="inlineStr">
        <is>
          <t>Universidades públicas</t>
        </is>
      </c>
      <c r="C77" s="73" t="inlineStr">
        <is>
          <t>Universidad estatal tradicional (CUECH)</t>
        </is>
      </c>
      <c r="D77" s="73" t="inlineStr">
        <is>
          <t>Universidad de Valparaíso (UV)</t>
        </is>
      </c>
      <c r="E77" s="73" t="n"/>
      <c r="F77" s="73" t="inlineStr">
        <is>
          <t>Dirección de Asuntos Estudiantiles (DAE)</t>
        </is>
      </c>
      <c r="G77" s="73" t="inlineStr">
        <is>
          <t>https://dae.uv.cl/</t>
        </is>
      </c>
      <c r="H77" s="28" t="inlineStr">
        <is>
          <t>no disponible públicamente</t>
        </is>
      </c>
      <c r="I77" s="73" t="inlineStr">
        <is>
          <t>+56 9 6830 1655</t>
        </is>
      </c>
      <c r="J77" s="73" t="inlineStr">
        <is>
          <t>dae@uv.cl</t>
        </is>
      </c>
      <c r="K77" s="73" t="inlineStr">
        <is>
          <t>https://dae.uv.cl/nosotros</t>
        </is>
      </c>
      <c r="L77" s="51" t="inlineStr">
        <is>
          <t>CONFIRMADO</t>
        </is>
      </c>
      <c r="M77" s="30" t="inlineStr">
        <is>
          <t>Directora actual identificada: Pierina Penna Bugueño (dato adicional, no contradice la fila).</t>
        </is>
      </c>
      <c r="N77" s="30" t="inlineStr">
        <is>
          <t>Revisado</t>
        </is>
      </c>
    </row>
    <row r="78" ht="30" customHeight="1" s="182">
      <c r="A78" s="42" t="inlineStr">
        <is>
          <t>Chile</t>
        </is>
      </c>
      <c r="B78" s="15" t="inlineStr">
        <is>
          <t>Universidades públicas</t>
        </is>
      </c>
      <c r="C78" s="73" t="inlineStr">
        <is>
          <t>Universidad estatal tradicional (CUECH)</t>
        </is>
      </c>
      <c r="D78" s="73" t="inlineStr">
        <is>
          <t>Universidad de Playa Ancha (UPLA)</t>
        </is>
      </c>
      <c r="E78" s="73" t="n"/>
      <c r="F78" s="73" t="inlineStr">
        <is>
          <t>Dirección General de Desarrollo Estudiantil</t>
        </is>
      </c>
      <c r="G78" s="73" t="inlineStr">
        <is>
          <t>https://www.upla.cl/desarrolloestudiantil/</t>
        </is>
      </c>
      <c r="H78" s="73" t="inlineStr">
        <is>
          <t>Boris González López (Director)</t>
        </is>
      </c>
      <c r="I78" s="73" t="inlineStr">
        <is>
          <t>+56 32 2205137 / 2205138 (corregido — el original correspondía a otra funcionaria)</t>
        </is>
      </c>
      <c r="J78" s="73" t="inlineStr">
        <is>
          <t>bgonzal@upla.cl</t>
        </is>
      </c>
      <c r="K78" s="73" t="inlineStr">
        <is>
          <t>https://www.upla.cl/desarrolloestudiantil/somos/</t>
        </is>
      </c>
      <c r="L78" s="134" t="inlineStr">
        <is>
          <t>CORREGIDO</t>
        </is>
      </c>
      <c r="M78" s="30" t="inlineStr">
        <is>
          <t>El teléfono original pertenecía a otra funcionaria (Karen Calfucura, Asistente Social) en la misma página fuente. Corregido al teléfono real del Director.</t>
        </is>
      </c>
      <c r="N78" s="30" t="inlineStr">
        <is>
          <t>Revisado</t>
        </is>
      </c>
    </row>
    <row r="79" ht="30" customHeight="1" s="182">
      <c r="A79" s="42" t="inlineStr">
        <is>
          <t>Chile</t>
        </is>
      </c>
      <c r="B79" s="15" t="inlineStr">
        <is>
          <t>Universidades públicas</t>
        </is>
      </c>
      <c r="C79" s="73" t="inlineStr">
        <is>
          <t>Universidad estatal tradicional (CUECH)</t>
        </is>
      </c>
      <c r="D79" s="73" t="inlineStr">
        <is>
          <t>Universidad Metropolitana de Ciencias de la Educación (UMCE)</t>
        </is>
      </c>
      <c r="E79" s="73" t="n"/>
      <c r="F79" s="73" t="inlineStr">
        <is>
          <t>Dirección de Asuntos Estudiantiles (DAE)</t>
        </is>
      </c>
      <c r="G79" s="73" t="inlineStr">
        <is>
          <t>https://www.umce.cl/universidad/gobierno-central/dir-asuntos-estudiantiles/</t>
        </is>
      </c>
      <c r="H79" s="73" t="inlineStr">
        <is>
          <t>Belén Barahona Rodríguez (Directora)</t>
        </is>
      </c>
      <c r="I79" s="73" t="inlineStr">
        <is>
          <t>22 3229295</t>
        </is>
      </c>
      <c r="J79" s="73" t="inlineStr">
        <is>
          <t>dae@umce.cl</t>
        </is>
      </c>
      <c r="K79" s="73" t="inlineStr">
        <is>
          <t>https://www.umce.cl/universidad/gobierno-central/dir-asuntos-estudiantiles/</t>
        </is>
      </c>
      <c r="L79" s="51" t="inlineStr">
        <is>
          <t>CONFIRMADO</t>
        </is>
      </c>
      <c r="M79" s="30" t="inlineStr">
        <is>
          <t>Todos los datos coinciden exactamente con la fuente citada.</t>
        </is>
      </c>
      <c r="N79" s="30" t="inlineStr">
        <is>
          <t>Revisado</t>
        </is>
      </c>
    </row>
    <row r="80" ht="30" customHeight="1" s="182">
      <c r="A80" s="42" t="inlineStr">
        <is>
          <t>Chile</t>
        </is>
      </c>
      <c r="B80" s="15" t="inlineStr">
        <is>
          <t>Universidades públicas</t>
        </is>
      </c>
      <c r="C80" s="73" t="inlineStr">
        <is>
          <t>Universidad estatal tradicional (CUECH)</t>
        </is>
      </c>
      <c r="D80" s="73" t="inlineStr">
        <is>
          <t>Universidad de Talca (UTALCA)</t>
        </is>
      </c>
      <c r="E80" s="73" t="n"/>
      <c r="F80" s="73" t="inlineStr">
        <is>
          <t>Dirección de Bienestar Estudiantil</t>
        </is>
      </c>
      <c r="G80" s="73" t="inlineStr">
        <is>
          <t>https://vde.utalca.cl/</t>
        </is>
      </c>
      <c r="H80" s="73" t="inlineStr">
        <is>
          <t>Sandra Chamorro González (Directora)</t>
        </is>
      </c>
      <c r="I80" s="28" t="inlineStr">
        <is>
          <t>no disponible públicamente</t>
        </is>
      </c>
      <c r="J80" s="73" t="inlineStr">
        <is>
          <t>bienestar-estudiantil@utalca.cl</t>
        </is>
      </c>
      <c r="K80" s="73" t="inlineStr">
        <is>
          <t>https://vde.utalca.cl/?page_id=6742</t>
        </is>
      </c>
      <c r="L80" s="51" t="inlineStr">
        <is>
          <t>CONFIRMADO</t>
        </is>
      </c>
      <c r="M80" s="30" t="inlineStr">
        <is>
          <t>URL de fuente citada no carga (bloqueo/JS); datos confirmados vía fuentes alternas oficiales de la misma universidad.</t>
        </is>
      </c>
      <c r="N80" s="30" t="inlineStr">
        <is>
          <t>Revisado</t>
        </is>
      </c>
    </row>
    <row r="81" ht="30" customHeight="1" s="182">
      <c r="A81" s="42" t="inlineStr">
        <is>
          <t>Chile</t>
        </is>
      </c>
      <c r="B81" s="15" t="inlineStr">
        <is>
          <t>Universidades públicas</t>
        </is>
      </c>
      <c r="C81" s="73" t="inlineStr">
        <is>
          <t>Universidad estatal tradicional (CUECH)</t>
        </is>
      </c>
      <c r="D81" s="73" t="inlineStr">
        <is>
          <t>Universidad del Bío-Bío (UBB)</t>
        </is>
      </c>
      <c r="E81" s="73" t="n"/>
      <c r="F81" s="73" t="inlineStr">
        <is>
          <t>Dirección de Desarrollo Estudiantil (DDE)</t>
        </is>
      </c>
      <c r="G81" s="73" t="inlineStr">
        <is>
          <t>https://dde.ubiobio.cl/</t>
        </is>
      </c>
      <c r="H81" s="73" t="inlineStr">
        <is>
          <t>Ricardo Rey Clericus (Director)</t>
        </is>
      </c>
      <c r="I81" s="73" t="inlineStr">
        <is>
          <t>(41) 311 1346 (sede Concepción)</t>
        </is>
      </c>
      <c r="J81" s="73" t="inlineStr">
        <is>
          <t>bienestarestudiantil@ubiobio.cl</t>
        </is>
      </c>
      <c r="K81" s="73" t="inlineStr">
        <is>
          <t>https://dde.ubiobio.cl/contacto/</t>
        </is>
      </c>
      <c r="L81" s="51" t="inlineStr">
        <is>
          <t>CONFIRMADO</t>
        </is>
      </c>
      <c r="M81" s="30" t="inlineStr">
        <is>
          <t>Sin hallazgos.</t>
        </is>
      </c>
      <c r="N81" s="30" t="inlineStr">
        <is>
          <t>Revisado</t>
        </is>
      </c>
    </row>
    <row r="82" ht="30" customHeight="1" s="182">
      <c r="A82" s="42" t="inlineStr">
        <is>
          <t>Chile</t>
        </is>
      </c>
      <c r="B82" s="15" t="inlineStr">
        <is>
          <t>Universidades públicas</t>
        </is>
      </c>
      <c r="C82" s="73" t="inlineStr">
        <is>
          <t>Universidad estatal tradicional (CUECH)</t>
        </is>
      </c>
      <c r="D82" s="73" t="inlineStr">
        <is>
          <t>Universidad de La Frontera (UFRO)</t>
        </is>
      </c>
      <c r="E82" s="73" t="n"/>
      <c r="F82" s="73" t="inlineStr">
        <is>
          <t>Dirección de Desarrollo Estudiantil (DDE)</t>
        </is>
      </c>
      <c r="G82" s="73" t="inlineStr">
        <is>
          <t>https://dde.ufro.cl/</t>
        </is>
      </c>
      <c r="H82" s="28" t="inlineStr">
        <is>
          <t>no disponible públicamente</t>
        </is>
      </c>
      <c r="I82" s="73" t="inlineStr">
        <is>
          <t>(56) 45 232 5000 (general)</t>
        </is>
      </c>
      <c r="J82" s="28" t="inlineStr">
        <is>
          <t>no disponible públicamente</t>
        </is>
      </c>
      <c r="K82" s="73" t="inlineStr">
        <is>
          <t>https://dde.ufro.cl/somos-dde/</t>
        </is>
      </c>
      <c r="L82" s="51" t="inlineStr">
        <is>
          <t>CONFIRMADO</t>
        </is>
      </c>
      <c r="M82" s="30" t="inlineStr">
        <is>
          <t>Teléfono es el conmutador general institucional, consistente con lo declarado en la fila.</t>
        </is>
      </c>
      <c r="N82" s="30" t="inlineStr">
        <is>
          <t>Revisado</t>
        </is>
      </c>
    </row>
    <row r="83" ht="30" customHeight="1" s="182">
      <c r="A83" s="42" t="inlineStr">
        <is>
          <t>Chile</t>
        </is>
      </c>
      <c r="B83" s="15" t="inlineStr">
        <is>
          <t>Universidades públicas</t>
        </is>
      </c>
      <c r="C83" s="73" t="inlineStr">
        <is>
          <t>Universidad estatal tradicional (CUECH)</t>
        </is>
      </c>
      <c r="D83" s="73" t="inlineStr">
        <is>
          <t>Universidad de Magallanes (UMAG)</t>
        </is>
      </c>
      <c r="E83" s="73" t="n"/>
      <c r="F83" s="73" t="inlineStr">
        <is>
          <t>Dirección de Bienestar y Desarrollo Estudiantil</t>
        </is>
      </c>
      <c r="G83" s="73" t="inlineStr">
        <is>
          <t>https://umag.cl/nuestra-universidad/vicerrectoria-academica/direccion-de-bienestar-y-desarrollo-estudiantil/</t>
        </is>
      </c>
      <c r="H83" s="28" t="inlineStr">
        <is>
          <t>no disponible públicamente</t>
        </is>
      </c>
      <c r="I83" s="73" t="inlineStr">
        <is>
          <t>+56 61 2201450, anexo 2014 (corregido)</t>
        </is>
      </c>
      <c r="J83" s="183" t="inlineStr">
        <is>
          <t>direccion.dbde@umag.cl</t>
        </is>
      </c>
      <c r="K83" s="73" t="inlineStr">
        <is>
          <t>https://umag.cl/nuestra-universidad/vicerrectoria-academica/direccion-de-bienestar-y-desarrollo-estudiantil/</t>
        </is>
      </c>
      <c r="L83" s="134" t="inlineStr">
        <is>
          <t>CORREGIDO</t>
        </is>
      </c>
      <c r="M83" s="184" t="inlineStr">
        <is>
          <t>Teléfono y correo correspondían a la antigua denominación 'DAE', previa al cambio de nombre a 'DBDE'. Corregidos. Directora actual identificada: Nicol Ahern Medina. | Auditoría 08-oct-2026: Texto movido desde celda de email: "direccion.dbde@umag.cl (corregido — cambio de nombre DAE→DBDE)"</t>
        </is>
      </c>
      <c r="N83" s="30" t="inlineStr">
        <is>
          <t>Revisado</t>
        </is>
      </c>
    </row>
    <row r="84" ht="30" customHeight="1" s="182">
      <c r="A84" s="42" t="inlineStr">
        <is>
          <t>Chile</t>
        </is>
      </c>
      <c r="B84" s="15" t="inlineStr">
        <is>
          <t>Universidades públicas</t>
        </is>
      </c>
      <c r="C84" s="73" t="inlineStr">
        <is>
          <t>Universidad estatal tradicional (CUECH)</t>
        </is>
      </c>
      <c r="D84" s="73" t="inlineStr">
        <is>
          <t>Universidad Tecnológica Metropolitana (UTEM)</t>
        </is>
      </c>
      <c r="E84" s="73" t="n"/>
      <c r="F84" s="73" t="inlineStr">
        <is>
          <t>Servicio de Bienestar Estudiantil (descentralizado por campus)</t>
        </is>
      </c>
      <c r="G84" s="73" t="inlineStr">
        <is>
          <t>https://bienestarestudiantil.utem.cl/</t>
        </is>
      </c>
      <c r="H84" s="28" t="inlineStr">
        <is>
          <t>no disponible públicamente</t>
        </is>
      </c>
      <c r="I84" s="73" t="inlineStr">
        <is>
          <t>22 7877730 (Campus Central)</t>
        </is>
      </c>
      <c r="J84" s="28" t="inlineStr">
        <is>
          <t>no disponible públicamente</t>
        </is>
      </c>
      <c r="K84" s="73" t="inlineStr">
        <is>
          <t>https://bienestarestudiantil.utem.cl/contacto/</t>
        </is>
      </c>
      <c r="L84" s="51" t="inlineStr">
        <is>
          <t>CONFIRMADO</t>
        </is>
      </c>
      <c r="M84" s="30" t="inlineStr">
        <is>
          <t>Sin hallazgos.</t>
        </is>
      </c>
      <c r="N84" s="30" t="inlineStr">
        <is>
          <t>Revisado</t>
        </is>
      </c>
    </row>
    <row r="85" ht="30" customHeight="1" s="182">
      <c r="A85" s="42" t="inlineStr">
        <is>
          <t>Chile</t>
        </is>
      </c>
      <c r="B85" s="15" t="inlineStr">
        <is>
          <t>Universidades públicas</t>
        </is>
      </c>
      <c r="C85" s="73" t="inlineStr">
        <is>
          <t>Universidad estatal tradicional (CUECH)</t>
        </is>
      </c>
      <c r="D85" s="73" t="inlineStr">
        <is>
          <t>Universidad de Los Lagos (ULAGOS)</t>
        </is>
      </c>
      <c r="E85" s="73" t="n"/>
      <c r="F85" s="73" t="inlineStr">
        <is>
          <t>Bienestar Integrado / Gestión de Becas y Beneficios</t>
        </is>
      </c>
      <c r="G85" s="73" t="inlineStr">
        <is>
          <t>https://bienestar.ulagos.cl/</t>
        </is>
      </c>
      <c r="H85" s="28" t="inlineStr">
        <is>
          <t>no disponible públicamente</t>
        </is>
      </c>
      <c r="I85" s="73" t="inlineStr">
        <is>
          <t>64-2333362 (corregido)</t>
        </is>
      </c>
      <c r="J85" s="73" t="inlineStr">
        <is>
          <t>gestionbecasybeneficios@ulagos.cl</t>
        </is>
      </c>
      <c r="K85" s="183" t="inlineStr">
        <is>
          <t>https://bienestar.ulagos.cl/</t>
        </is>
      </c>
      <c r="L85" s="134" t="inlineStr">
        <is>
          <t>CORREGIDO</t>
        </is>
      </c>
      <c r="M85" s="184" t="inlineStr">
        <is>
          <t>La fuente citada originalmente pertenecía a la Dirección General de Aeronáutica Civil (DGAC), sin relación con la Universidad de Los Lagos. Teléfono corregido según documento oficial ULagos 2024. | Auditoría 08-oct-2026: Texto movido desde fuente: "(fuente corregida — el original apuntaba a un sitio de la DGAC sin relación con ULagos)"</t>
        </is>
      </c>
      <c r="N85" s="30" t="inlineStr">
        <is>
          <t>Revisado</t>
        </is>
      </c>
    </row>
    <row r="86" ht="30" customHeight="1" s="182">
      <c r="A86" s="42" t="inlineStr">
        <is>
          <t>Chile</t>
        </is>
      </c>
      <c r="B86" s="15" t="inlineStr">
        <is>
          <t>Universidades públicas</t>
        </is>
      </c>
      <c r="C86" s="73" t="inlineStr">
        <is>
          <t>Universidad estatal de nueva creación</t>
        </is>
      </c>
      <c r="D86" s="73" t="inlineStr">
        <is>
          <t>Universidad de Aysén (UAYSEN)</t>
        </is>
      </c>
      <c r="E86" s="73" t="n"/>
      <c r="F86" s="73" t="inlineStr">
        <is>
          <t>Unidad de Asuntos y Apoyos Estudiantiles</t>
        </is>
      </c>
      <c r="G86" s="73" t="inlineStr">
        <is>
          <t>https://estudiantes.uaysen.cl/servicios-uaysen/asuntos-apoyos-estudiantiles</t>
        </is>
      </c>
      <c r="H86" s="73" t="inlineStr">
        <is>
          <t>Jeannette Monsalve</t>
        </is>
      </c>
      <c r="I86" s="73" t="inlineStr">
        <is>
          <t>67 233 2275 (Oficina de Partes)</t>
        </is>
      </c>
      <c r="J86" s="73" t="inlineStr">
        <is>
          <t>jeannette.monsalve@uaysen.cl</t>
        </is>
      </c>
      <c r="K86" s="73" t="inlineStr">
        <is>
          <t>https://uaysen.cl/docencia/direccion-general-academica/asuntos-apoyos-estudiantiles/</t>
        </is>
      </c>
      <c r="L86" s="35" t="inlineStr">
        <is>
          <t>VERIFICAR</t>
        </is>
      </c>
      <c r="M86" s="30" t="inlineStr">
        <is>
          <t>Teléfono no confirmado como línea directa de la unidad (correspondería a Oficina de Partes general). Nombre y email confirmados exactos.</t>
        </is>
      </c>
      <c r="N86" s="30" t="inlineStr">
        <is>
          <t>Revisado</t>
        </is>
      </c>
    </row>
    <row r="87" ht="30" customHeight="1" s="182">
      <c r="A87" s="55" t="inlineStr">
        <is>
          <t>Chile</t>
        </is>
      </c>
      <c r="B87" s="56" t="inlineStr">
        <is>
          <t>Universidades públicas</t>
        </is>
      </c>
      <c r="C87" s="80" t="inlineStr">
        <is>
          <t>Universidad estatal de nueva creación</t>
        </is>
      </c>
      <c r="D87" s="80" t="inlineStr">
        <is>
          <t>Universidad de O'Higgins (UOH)</t>
        </is>
      </c>
      <c r="E87" s="80" t="n"/>
      <c r="F87" s="80" t="inlineStr">
        <is>
          <t>Dirección de Asuntos Estudiantiles (DAE)</t>
        </is>
      </c>
      <c r="G87" s="80" t="inlineStr">
        <is>
          <t>https://www.uoh.cl/universidad/vicerrectoria-academica/direccion-de-asuntos-estudiantiles/</t>
        </is>
      </c>
      <c r="H87" s="81" t="inlineStr">
        <is>
          <t>no disponible públicamente</t>
        </is>
      </c>
      <c r="I87" s="81" t="inlineStr">
        <is>
          <t>no disponible públicamente</t>
        </is>
      </c>
      <c r="J87" s="80" t="inlineStr">
        <is>
          <t>dae@uoh.cl</t>
        </is>
      </c>
      <c r="K87" s="80" t="inlineStr">
        <is>
          <t>https://www.uoh.cl/area/direccion-de-asuntos-estudiantiles/</t>
        </is>
      </c>
      <c r="L87" s="58" t="inlineStr">
        <is>
          <t>CONFIRMADO</t>
        </is>
      </c>
      <c r="M87" s="82" t="inlineStr">
        <is>
          <t>Email confirmado en fuente alterna del mismo sitio (uoh.cl/dae/).</t>
        </is>
      </c>
      <c r="N87" s="30" t="inlineStr">
        <is>
          <t>Revisado</t>
        </is>
      </c>
    </row>
    <row r="88" ht="15.75" customHeight="1" s="182"/>
    <row r="89" ht="15.75" customHeight="1" s="182"/>
    <row r="90" ht="15.75" customHeight="1" s="182"/>
    <row r="91" ht="15.75" customHeight="1" s="182"/>
    <row r="92" ht="15.75" customHeight="1" s="182"/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  <row r="962" ht="15.75" customHeight="1" s="182"/>
    <row r="963" ht="15.75" customHeight="1" s="182"/>
    <row r="964" ht="15.75" customHeight="1" s="182"/>
    <row r="965" ht="15.75" customHeight="1" s="182"/>
    <row r="966" ht="15.75" customHeight="1" s="182"/>
    <row r="967" ht="15.75" customHeight="1" s="182"/>
    <row r="968" ht="15.75" customHeight="1" s="182"/>
    <row r="969" ht="15.75" customHeight="1" s="182"/>
    <row r="970" ht="15.75" customHeight="1" s="182"/>
    <row r="971" ht="15.75" customHeight="1" s="182"/>
    <row r="972" ht="15.75" customHeight="1" s="182"/>
    <row r="973" ht="15.75" customHeight="1" s="182"/>
    <row r="974" ht="15.75" customHeight="1" s="182"/>
    <row r="975" ht="15.75" customHeight="1" s="182"/>
    <row r="976" ht="15.75" customHeight="1" s="182"/>
    <row r="977" ht="15.75" customHeight="1" s="182"/>
    <row r="978" ht="15.75" customHeight="1" s="182"/>
    <row r="979" ht="15.75" customHeight="1" s="182"/>
    <row r="980" ht="15.75" customHeight="1" s="182"/>
    <row r="981" ht="15.75" customHeight="1" s="182"/>
    <row r="982" ht="15.75" customHeight="1" s="182"/>
    <row r="983" ht="15.75" customHeight="1" s="182"/>
    <row r="984" ht="15.75" customHeight="1" s="182"/>
    <row r="985" ht="15.75" customHeight="1" s="182"/>
    <row r="986" ht="15.75" customHeight="1" s="182"/>
    <row r="987" ht="15.75" customHeight="1" s="182"/>
    <row r="988" ht="15.75" customHeight="1" s="182"/>
    <row r="989" ht="15.75" customHeight="1" s="182"/>
    <row r="990" ht="15.75" customHeight="1" s="182"/>
    <row r="991" ht="15.75" customHeight="1" s="182"/>
    <row r="992" ht="15.75" customHeight="1" s="182"/>
    <row r="993" ht="15.75" customHeight="1" s="182"/>
    <row r="994" ht="15.75" customHeight="1" s="182"/>
    <row r="995" ht="15.75" customHeight="1" s="182"/>
    <row r="996" ht="15.75" customHeight="1" s="182"/>
    <row r="997" ht="15.75" customHeight="1" s="182"/>
    <row r="998" ht="15.75" customHeight="1" s="182"/>
    <row r="999" ht="15.75" customHeight="1" s="182"/>
    <row r="1000" ht="15.75" customHeight="1" s="182"/>
  </sheetData>
  <autoFilter ref="$A$1:$N$87"/>
  <dataValidations count="1">
    <dataValidation sqref="E2:E87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K10" r:id="rId1"/>
    <hyperlink xmlns:r="http://schemas.openxmlformats.org/officeDocument/2006/relationships" ref="K12" r:id="rId2"/>
    <hyperlink xmlns:r="http://schemas.openxmlformats.org/officeDocument/2006/relationships" ref="K51" r:id="rId3"/>
    <hyperlink xmlns:r="http://schemas.openxmlformats.org/officeDocument/2006/relationships" ref="K75" r:id="rId4"/>
  </hyperlinks>
  <pageMargins left="0.75" right="0.75" top="1" bottom="1" header="0" footer="0"/>
  <pageSetup orientation="landscape"/>
  <tableParts count="1">
    <tablePart xmlns:r="http://schemas.openxmlformats.org/officeDocument/2006/relationships" r:id="rId5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País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 ht="30" customHeight="1" s="182">
      <c r="A2" s="55" t="inlineStr">
        <is>
          <t>Bolivia</t>
        </is>
      </c>
      <c r="B2" s="15" t="inlineStr">
        <is>
          <t>Asociaciones de seguridad social</t>
        </is>
      </c>
      <c r="C2" s="73" t="inlineStr">
        <is>
          <t>Seguridad social de largo plazo (entidad pública)</t>
        </is>
      </c>
      <c r="D2" s="73" t="inlineStr">
        <is>
          <t>Gestora Pública de la Seguridad Social de Largo Plazo</t>
        </is>
      </c>
      <c r="E2" s="73" t="n"/>
      <c r="F2" s="73" t="inlineStr">
        <is>
          <t>Información y atención al ciudadano</t>
        </is>
      </c>
      <c r="G2" s="18" t="inlineStr">
        <is>
          <t>https://www.gestora.bo/</t>
        </is>
      </c>
      <c r="H2" s="28" t="inlineStr">
        <is>
          <t>No disponible públicamente</t>
        </is>
      </c>
      <c r="I2" s="73" t="inlineStr">
        <is>
          <t>800-10-1610  / 67195524 (WhatsApp)</t>
        </is>
      </c>
      <c r="J2" s="73" t="inlineStr">
        <is>
          <t>contacto@gestora.bo</t>
        </is>
      </c>
      <c r="K2" s="185" t="inlineStr">
        <is>
          <t>https://gestora.bo/Comunicacion/Contacto</t>
        </is>
      </c>
      <c r="L2" s="51" t="inlineStr">
        <is>
          <t>CONFIRMADO</t>
        </is>
      </c>
      <c r="M2" s="30" t="n"/>
    </row>
    <row r="3" ht="30" customHeight="1" s="182">
      <c r="A3" s="55" t="inlineStr">
        <is>
          <t>Bolivia</t>
        </is>
      </c>
      <c r="B3" s="15" t="inlineStr">
        <is>
          <t>Formación técnica pública</t>
        </is>
      </c>
      <c r="C3" s="73" t="inlineStr">
        <is>
          <t xml:space="preserve">Institutos públicos </t>
        </is>
      </c>
      <c r="D3" s="73" t="inlineStr">
        <is>
          <t>INSTITUTO TECNOLÓGICO SUPERIOR DE LA AMAZONÍA «ITSA»</t>
        </is>
      </c>
      <c r="E3" s="73" t="n"/>
      <c r="F3" s="73" t="inlineStr">
        <is>
          <t>Instituto (contacto directo)</t>
        </is>
      </c>
      <c r="G3" s="18" t="inlineStr">
        <is>
          <t>https://itsariberalta.edu.bo/</t>
        </is>
      </c>
      <c r="H3" s="28" t="inlineStr">
        <is>
          <t>No disponible públicamente</t>
        </is>
      </c>
      <c r="I3" s="73" t="inlineStr">
        <is>
          <t>(591) 69021318</t>
        </is>
      </c>
      <c r="J3" s="183" t="inlineStr">
        <is>
          <t>rector@itsariberalta.edu.bo</t>
        </is>
      </c>
      <c r="K3" s="18" t="inlineStr">
        <is>
          <t>https://itsariberalta.edu.bo/</t>
        </is>
      </c>
      <c r="L3" s="22" t="inlineStr">
        <is>
          <t>CORREGIDO</t>
        </is>
      </c>
      <c r="M3" s="30" t="n"/>
    </row>
    <row r="4" ht="30" customHeight="1" s="182">
      <c r="A4" s="55" t="inlineStr">
        <is>
          <t>Bolivia</t>
        </is>
      </c>
      <c r="B4" s="15" t="inlineStr">
        <is>
          <t>Formación técnica pública</t>
        </is>
      </c>
      <c r="C4" s="73" t="inlineStr">
        <is>
          <t xml:space="preserve">Institutos públicos </t>
        </is>
      </c>
      <c r="D4" s="73" t="inlineStr">
        <is>
          <t>INSTITUTO TÉCNICO «INCOS SANTA ANA»</t>
        </is>
      </c>
      <c r="E4" s="73" t="n"/>
      <c r="F4" s="73" t="inlineStr">
        <is>
          <t>Instituto (contacto directo)</t>
        </is>
      </c>
      <c r="G4" s="18" t="inlineStr">
        <is>
          <t>https://incosstana.edu.bo/</t>
        </is>
      </c>
      <c r="H4" s="28" t="inlineStr">
        <is>
          <t>No disponible públicamente</t>
        </is>
      </c>
      <c r="I4" s="73" t="inlineStr">
        <is>
          <t>72817833 - 73907800 - 72854220</t>
        </is>
      </c>
      <c r="J4" s="28" t="inlineStr">
        <is>
          <t>incosantana@gmail.com</t>
        </is>
      </c>
      <c r="K4" s="18" t="inlineStr">
        <is>
          <t>https://incosstana.edu.bo/contacto.html</t>
        </is>
      </c>
      <c r="L4" s="22" t="inlineStr">
        <is>
          <t>CORREGIDO</t>
        </is>
      </c>
      <c r="M4" s="30" t="n"/>
    </row>
    <row r="5" ht="30" customHeight="1" s="182">
      <c r="A5" s="55" t="inlineStr">
        <is>
          <t>Bolivia</t>
        </is>
      </c>
      <c r="B5" s="15" t="inlineStr">
        <is>
          <t>Formación técnica pública</t>
        </is>
      </c>
      <c r="C5" s="73" t="inlineStr">
        <is>
          <t xml:space="preserve">Institutos públicos </t>
        </is>
      </c>
      <c r="D5" s="73" t="inlineStr">
        <is>
          <t>INSTITUTO TECNOLÓGICO INCOS GUAYARAMERÍN «INCOSGYA»</t>
        </is>
      </c>
      <c r="E5" s="73" t="n"/>
      <c r="F5" s="73" t="inlineStr">
        <is>
          <t>Instituto (contacto directo)</t>
        </is>
      </c>
      <c r="G5" s="28" t="inlineStr">
        <is>
          <t>No disponible públicamente</t>
        </is>
      </c>
      <c r="H5" s="28" t="inlineStr">
        <is>
          <t>No disponible públicamente</t>
        </is>
      </c>
      <c r="I5" s="28" t="inlineStr">
        <is>
          <t>No disponible públicamente</t>
        </is>
      </c>
      <c r="J5" s="28" t="inlineStr">
        <is>
          <t>No disponible públicamente</t>
        </is>
      </c>
      <c r="K5" s="18" t="inlineStr">
        <is>
          <t>https://www.incosgya.edu.bo/validar.php</t>
        </is>
      </c>
      <c r="L5" s="186" t="inlineStr">
        <is>
          <t>VERIFICADO CON OBSERVACIONES</t>
        </is>
      </c>
      <c r="M5" s="30" t="inlineStr">
        <is>
          <t xml:space="preserve">Página caída </t>
        </is>
      </c>
    </row>
    <row r="6" ht="30" customHeight="1" s="182">
      <c r="A6" s="55" t="inlineStr">
        <is>
          <t>Bolivia</t>
        </is>
      </c>
      <c r="B6" s="15" t="inlineStr">
        <is>
          <t>Formación técnica pública</t>
        </is>
      </c>
      <c r="C6" s="73" t="inlineStr">
        <is>
          <t xml:space="preserve">Institutos públicos </t>
        </is>
      </c>
      <c r="D6" s="73" t="inlineStr">
        <is>
          <t>INSTITUTO TECNOLÓGICO AGROPECUARIO INDUSTRIAL TARATA</t>
        </is>
      </c>
      <c r="E6" s="73" t="n"/>
      <c r="F6" s="73" t="inlineStr">
        <is>
          <t>Instituto (contacto directo)</t>
        </is>
      </c>
      <c r="G6" s="18" t="inlineStr">
        <is>
          <t>https://formaciontecnicabolivia.org/instituto-tecnologico-agropecuario-industrial-tarata/ist/1501/</t>
        </is>
      </c>
      <c r="H6" s="28" t="inlineStr">
        <is>
          <t>No disponible públicamente</t>
        </is>
      </c>
      <c r="I6" s="73" t="inlineStr">
        <is>
          <t>591 (2) 2775566</t>
        </is>
      </c>
      <c r="J6" s="73" t="inlineStr">
        <is>
          <t>bo.info@swisscontact.org</t>
        </is>
      </c>
      <c r="K6" s="18" t="inlineStr">
        <is>
          <t>https://formaciontecnicabolivia.org/instituto-tecnologico-agropecuario-industrial-tarata/ist/1501/</t>
        </is>
      </c>
      <c r="L6" s="22" t="inlineStr">
        <is>
          <t>CORREGIDO</t>
        </is>
      </c>
      <c r="M6" s="30" t="n"/>
    </row>
    <row r="7" ht="30" customHeight="1" s="182">
      <c r="A7" s="55" t="inlineStr">
        <is>
          <t>Bolivia</t>
        </is>
      </c>
      <c r="B7" s="15" t="inlineStr">
        <is>
          <t>Formación técnica pública</t>
        </is>
      </c>
      <c r="C7" s="73" t="inlineStr">
        <is>
          <t xml:space="preserve">Institutos públicos </t>
        </is>
      </c>
      <c r="D7" s="73" t="inlineStr">
        <is>
          <t>INSTITUTO TECNOLÓGICO AGROPECUARIO «CANADA»</t>
        </is>
      </c>
      <c r="E7" s="73" t="n"/>
      <c r="F7" s="73" t="inlineStr">
        <is>
          <t>Instituto (contacto directo)</t>
        </is>
      </c>
      <c r="G7" s="28" t="inlineStr">
        <is>
          <t>No disponible públicamente</t>
        </is>
      </c>
      <c r="H7" s="28" t="inlineStr">
        <is>
          <t>No disponible públicamente</t>
        </is>
      </c>
      <c r="I7" s="73" t="n">
        <v>4136212</v>
      </c>
      <c r="J7" s="28" t="inlineStr">
        <is>
          <t>No disponible públicamente</t>
        </is>
      </c>
      <c r="K7" s="18" t="inlineStr">
        <is>
          <t>https://formaciontecnicabolivia.org/instituto-tecnologico-agropecuario-canada-chimore/ist/1537/</t>
        </is>
      </c>
      <c r="L7" s="22" t="inlineStr">
        <is>
          <t>CORREGIDO</t>
        </is>
      </c>
      <c r="M7" s="30" t="n"/>
    </row>
    <row r="8" ht="30" customHeight="1" s="182">
      <c r="A8" s="55" t="inlineStr">
        <is>
          <t>Bolivia</t>
        </is>
      </c>
      <c r="B8" s="15" t="inlineStr">
        <is>
          <t>Formación técnica pública</t>
        </is>
      </c>
      <c r="C8" s="73" t="inlineStr">
        <is>
          <t xml:space="preserve">Institutos públicos </t>
        </is>
      </c>
      <c r="D8" s="73" t="inlineStr">
        <is>
          <t>INSTITUTO TECNOLÓGICO PATACAMAYA</t>
        </is>
      </c>
      <c r="E8" s="73" t="n"/>
      <c r="F8" s="73" t="inlineStr">
        <is>
          <t>Instituto (contacto directo)</t>
        </is>
      </c>
      <c r="G8" s="18" t="inlineStr">
        <is>
          <t>https://www.itpatacamaya.org/</t>
        </is>
      </c>
      <c r="H8" s="138" t="inlineStr">
        <is>
          <t>Rector</t>
        </is>
      </c>
      <c r="I8" s="73" t="inlineStr">
        <is>
          <t>591 67201597</t>
        </is>
      </c>
      <c r="J8" s="73" t="inlineStr">
        <is>
          <t>montoyaonogw11@gmail.com</t>
        </is>
      </c>
      <c r="K8" s="18" t="inlineStr">
        <is>
          <t>https://www.itpatacamaya.org/p%C3%A1gina-principal/con%C3%B3cenos</t>
        </is>
      </c>
      <c r="L8" s="22" t="inlineStr">
        <is>
          <t>CORREGIDO</t>
        </is>
      </c>
      <c r="M8" s="30" t="n"/>
    </row>
    <row r="9" ht="30" customHeight="1" s="182">
      <c r="A9" s="55" t="inlineStr">
        <is>
          <t>Bolivia</t>
        </is>
      </c>
      <c r="B9" s="15" t="inlineStr">
        <is>
          <t>Formación técnica pública</t>
        </is>
      </c>
      <c r="C9" s="73" t="inlineStr">
        <is>
          <t xml:space="preserve">Institutos públicos </t>
        </is>
      </c>
      <c r="D9" s="73" t="inlineStr">
        <is>
          <t>INSTITUTO SUPERIOR TECNOLÓGICO AGROINDUSTRIAL «SAN PEDRO DE TOTORA»</t>
        </is>
      </c>
      <c r="E9" s="73" t="n"/>
      <c r="F9" s="73" t="inlineStr">
        <is>
          <t>Instituto (contacto directo)</t>
        </is>
      </c>
      <c r="G9" s="18" t="inlineStr">
        <is>
          <t>https://ftb.formaciontecnicabolivia.org/institutos/instituto-superior-tecnologico-agroindustrial-san-pedro-de-totora</t>
        </is>
      </c>
      <c r="H9" s="28" t="inlineStr">
        <is>
          <t>No disponible públicamente</t>
        </is>
      </c>
      <c r="I9" s="73" t="n">
        <v>72313108</v>
      </c>
      <c r="J9" s="28" t="inlineStr">
        <is>
          <t>No disponible públicamente</t>
        </is>
      </c>
      <c r="K9" s="18" t="inlineStr">
        <is>
          <t>https://ftb.formaciontecnicabolivia.org/institutos/instituto-superior-tecnologico-agroindustrial-san-pedro-de-totora</t>
        </is>
      </c>
      <c r="L9" s="22" t="inlineStr">
        <is>
          <t>CORREGIDO</t>
        </is>
      </c>
      <c r="M9" s="30" t="n"/>
    </row>
    <row r="10" ht="30" customHeight="1" s="182">
      <c r="A10" s="55" t="inlineStr">
        <is>
          <t>Bolivia</t>
        </is>
      </c>
      <c r="B10" s="15" t="inlineStr">
        <is>
          <t>Formación técnica pública</t>
        </is>
      </c>
      <c r="C10" s="73" t="inlineStr">
        <is>
          <t xml:space="preserve">Institutos públicos </t>
        </is>
      </c>
      <c r="D10" s="73" t="inlineStr">
        <is>
          <t>INSTITUTO SUPERIOR TECNOLÓGICO AGROINDUSTRIAL «SAJAMA»</t>
        </is>
      </c>
      <c r="E10" s="73" t="n"/>
      <c r="F10" s="73" t="inlineStr">
        <is>
          <t>Instituto (contacto directo)</t>
        </is>
      </c>
      <c r="G10" s="18" t="inlineStr">
        <is>
          <t>https://formaciontecnicabolivia.org/instituto-superior-tecnologico-agroindustrial-sajama/ist/1444/</t>
        </is>
      </c>
      <c r="H10" s="28" t="inlineStr">
        <is>
          <t>No disponible públicamente</t>
        </is>
      </c>
      <c r="I10" s="73" t="n">
        <v>71882663</v>
      </c>
      <c r="J10" s="28" t="inlineStr">
        <is>
          <t>No disponible públicamente</t>
        </is>
      </c>
      <c r="K10" s="18" t="inlineStr">
        <is>
          <t>https://formaciontecnicabolivia.org/instituto-superior-tecnologico-agroindustrial-sajama/ist/1444/</t>
        </is>
      </c>
      <c r="L10" s="22" t="inlineStr">
        <is>
          <t>CORREGIDO</t>
        </is>
      </c>
      <c r="M10" s="30" t="n"/>
    </row>
    <row r="11" ht="30" customHeight="1" s="182">
      <c r="A11" s="55" t="inlineStr">
        <is>
          <t>Bolivia</t>
        </is>
      </c>
      <c r="B11" s="15" t="inlineStr">
        <is>
          <t>Formación técnica pública</t>
        </is>
      </c>
      <c r="C11" s="73" t="inlineStr">
        <is>
          <t xml:space="preserve">Institutos públicos </t>
        </is>
      </c>
      <c r="D11" s="73" t="inlineStr">
        <is>
          <t>INSTITUTO TECNOLÓGICO SUPERIOR SAUCARI «ITSSA»</t>
        </is>
      </c>
      <c r="E11" s="73" t="n"/>
      <c r="F11" s="73" t="inlineStr">
        <is>
          <t>Instituto (contacto directo)</t>
        </is>
      </c>
      <c r="G11" s="73" t="inlineStr">
        <is>
          <t>No publicada en la guía</t>
        </is>
      </c>
      <c r="H11" s="28" t="inlineStr">
        <is>
          <t>No disponible públicamente</t>
        </is>
      </c>
      <c r="I11" s="73" t="inlineStr">
        <is>
          <t>(591) 771-42586 • 772-20360</t>
        </is>
      </c>
      <c r="J11" s="28" t="inlineStr">
        <is>
          <t>No disponible públicamente</t>
        </is>
      </c>
      <c r="K11" s="18" t="inlineStr">
        <is>
          <t>https://www.minedu.gob.bo/files/documentos-normativos/VESFP/2024/reglamentos/GUIA-INSTITUTOS-2024-OCTUBRE.pdf#page=181</t>
        </is>
      </c>
      <c r="L11" s="35" t="inlineStr">
        <is>
          <t>VERIFICAR</t>
        </is>
      </c>
      <c r="M11" s="30" t="n"/>
    </row>
    <row r="12" ht="30" customHeight="1" s="182">
      <c r="A12" s="55" t="inlineStr">
        <is>
          <t>Bolivia</t>
        </is>
      </c>
      <c r="B12" s="15" t="inlineStr">
        <is>
          <t>Formación técnica pública</t>
        </is>
      </c>
      <c r="C12" s="73" t="inlineStr">
        <is>
          <t xml:space="preserve">Institutos públicos </t>
        </is>
      </c>
      <c r="D12" s="73" t="inlineStr">
        <is>
          <t>INSTITUTO TECNOLÓGICO SUPERIOR HUANUNI «I.T.S.HU.»</t>
        </is>
      </c>
      <c r="E12" s="73" t="n"/>
      <c r="F12" s="73" t="inlineStr">
        <is>
          <t>Instituto (contacto directo)</t>
        </is>
      </c>
      <c r="G12" s="73" t="inlineStr">
        <is>
          <t>No publicada en la guía</t>
        </is>
      </c>
      <c r="H12" s="28" t="inlineStr">
        <is>
          <t>No disponible públicamente</t>
        </is>
      </c>
      <c r="I12" s="73" t="inlineStr">
        <is>
          <t>(591) 724-90671</t>
        </is>
      </c>
      <c r="J12" s="28" t="inlineStr">
        <is>
          <t>No disponible públicamente</t>
        </is>
      </c>
      <c r="K12" s="18" t="inlineStr">
        <is>
          <t>https://www.minedu.gob.bo/files/documentos-normativos/VESFP/2024/reglamentos/GUIA-INSTITUTOS-2024-OCTUBRE.pdf#page=181</t>
        </is>
      </c>
      <c r="L12" s="35" t="inlineStr">
        <is>
          <t>VERIFICAR</t>
        </is>
      </c>
      <c r="M12" s="30" t="n"/>
    </row>
    <row r="13" ht="30" customHeight="1" s="182">
      <c r="A13" s="55" t="inlineStr">
        <is>
          <t>Bolivia</t>
        </is>
      </c>
      <c r="B13" s="15" t="inlineStr">
        <is>
          <t>Formación técnica pública</t>
        </is>
      </c>
      <c r="C13" s="73" t="inlineStr">
        <is>
          <t xml:space="preserve">Institutos públicos </t>
        </is>
      </c>
      <c r="D13" s="73" t="inlineStr">
        <is>
          <t>INSTITUTO TÉCNICO «INCOS PANDO»</t>
        </is>
      </c>
      <c r="E13" s="73" t="n"/>
      <c r="F13" s="73" t="inlineStr">
        <is>
          <t>Instituto (contacto directo)</t>
        </is>
      </c>
      <c r="G13" s="73" t="inlineStr">
        <is>
          <t>No publicada en la guía</t>
        </is>
      </c>
      <c r="H13" s="28" t="inlineStr">
        <is>
          <t>No disponible públicamente</t>
        </is>
      </c>
      <c r="I13" s="73" t="n">
        <v>8423965</v>
      </c>
      <c r="J13" s="28" t="inlineStr">
        <is>
          <t>No disponible públicamente</t>
        </is>
      </c>
      <c r="K13" s="18" t="inlineStr">
        <is>
          <t>https://www.minedu.gob.bo/files/documentos-normativos/VESFP/2024/reglamentos/GUIA-INSTITUTOS-2024-OCTUBRE.pdf#page=215</t>
        </is>
      </c>
      <c r="L13" s="35" t="inlineStr">
        <is>
          <t>VERIFICAR</t>
        </is>
      </c>
      <c r="M13" s="30" t="n"/>
    </row>
    <row r="14" ht="30" customHeight="1" s="182">
      <c r="A14" s="55" t="inlineStr">
        <is>
          <t>Bolivia</t>
        </is>
      </c>
      <c r="B14" s="15" t="inlineStr">
        <is>
          <t>Formación técnica pública</t>
        </is>
      </c>
      <c r="C14" s="73" t="inlineStr">
        <is>
          <t xml:space="preserve">Institutos públicos </t>
        </is>
      </c>
      <c r="D14" s="73" t="inlineStr">
        <is>
          <t>INSTITUTO TECNOLÓGICO SUPERIOR UYUNI</t>
        </is>
      </c>
      <c r="E14" s="73" t="n"/>
      <c r="F14" s="73" t="inlineStr">
        <is>
          <t>Instituto (contacto directo)</t>
        </is>
      </c>
      <c r="G14" s="18" t="inlineStr">
        <is>
          <t>https://www.tecnologicouyuni.org/</t>
        </is>
      </c>
      <c r="H14" s="73" t="inlineStr">
        <is>
          <t>Lic. Prax D. Bello Ayaviri (director administrativo según sitio)</t>
        </is>
      </c>
      <c r="I14" s="73" t="inlineStr">
        <is>
          <t>738-78428</t>
        </is>
      </c>
      <c r="J14" s="73" t="inlineStr">
        <is>
          <t>bello.prax@tecnologicouyuni.org</t>
        </is>
      </c>
      <c r="K14" s="183" t="inlineStr">
        <is>
          <t>https://www.minedu.gob.bo/files/documentos-normativos/VESFP/2024/reglamentos/GUIA-INSTITUTOS-2024-OCTUBRE.pdf#page=227</t>
        </is>
      </c>
      <c r="L14" s="35" t="inlineStr">
        <is>
          <t>VERIFICAR</t>
        </is>
      </c>
      <c r="M14" s="184" t="inlineStr">
        <is>
          <t>Auditoría 08-oct-2026: Texto movido desde fuente: "| https://www.tecnologicouyuni.org/nosotros/directivos"</t>
        </is>
      </c>
    </row>
    <row r="15" ht="30" customHeight="1" s="182">
      <c r="A15" s="55" t="inlineStr">
        <is>
          <t>Bolivia</t>
        </is>
      </c>
      <c r="B15" s="15" t="inlineStr">
        <is>
          <t>Formación técnica pública</t>
        </is>
      </c>
      <c r="C15" s="73" t="inlineStr">
        <is>
          <t xml:space="preserve">Institutos públicos </t>
        </is>
      </c>
      <c r="D15" s="73" t="inlineStr">
        <is>
          <t>INSTITUTO TECNOLÓGICO «TRES CRUCES»</t>
        </is>
      </c>
      <c r="E15" s="73" t="n"/>
      <c r="F15" s="73" t="inlineStr">
        <is>
          <t>Instituto (contacto directo)</t>
        </is>
      </c>
      <c r="G15" s="28" t="inlineStr">
        <is>
          <t>No disponible públicamente</t>
        </is>
      </c>
      <c r="H15" s="28" t="inlineStr">
        <is>
          <t>No disponible públicamente</t>
        </is>
      </c>
      <c r="I15" s="73" t="inlineStr">
        <is>
          <t>738-73491</t>
        </is>
      </c>
      <c r="J15" s="28" t="inlineStr">
        <is>
          <t>No disponible públicamente</t>
        </is>
      </c>
      <c r="K15" s="18" t="inlineStr">
        <is>
          <t>https://www.minedu.gob.bo/files/documentos-normativos/VESFP/2024/reglamentos/GUIA-INSTITUTOS-2024-OCTUBRE.pdf#page=228</t>
        </is>
      </c>
      <c r="L15" s="35" t="inlineStr">
        <is>
          <t>VERIFICAR</t>
        </is>
      </c>
      <c r="M15" s="30" t="n"/>
    </row>
    <row r="16" ht="30" customHeight="1" s="182">
      <c r="A16" s="55" t="inlineStr">
        <is>
          <t>Bolivia</t>
        </is>
      </c>
      <c r="B16" s="15" t="inlineStr">
        <is>
          <t>Formación técnica pública</t>
        </is>
      </c>
      <c r="C16" s="73" t="inlineStr">
        <is>
          <t xml:space="preserve">Institutos públicos </t>
        </is>
      </c>
      <c r="D16" s="73" t="inlineStr">
        <is>
          <t>INSTITUTO TECNOLÓGICO SUPERIOR «THUMILKI»</t>
        </is>
      </c>
      <c r="E16" s="73" t="n"/>
      <c r="F16" s="73" t="inlineStr">
        <is>
          <t>Instituto (contacto directo)</t>
        </is>
      </c>
      <c r="G16" s="28" t="inlineStr">
        <is>
          <t>No disponible públicamente</t>
        </is>
      </c>
      <c r="H16" s="28" t="inlineStr">
        <is>
          <t>No disponible públicamente</t>
        </is>
      </c>
      <c r="I16" s="73" t="inlineStr">
        <is>
          <t>616-48226</t>
        </is>
      </c>
      <c r="J16" s="28" t="inlineStr">
        <is>
          <t>No disponible públicamente</t>
        </is>
      </c>
      <c r="K16" s="18" t="inlineStr">
        <is>
          <t>https://www.minedu.gob.bo/files/documentos-normativos/VESFP/2024/reglamentos/GUIA-INSTITUTOS-2024-OCTUBRE.pdf#page=230</t>
        </is>
      </c>
      <c r="L16" s="35" t="inlineStr">
        <is>
          <t>VERIFICAR</t>
        </is>
      </c>
      <c r="M16" s="30" t="n"/>
    </row>
    <row r="17" ht="30" customHeight="1" s="182">
      <c r="A17" s="55" t="inlineStr">
        <is>
          <t>Bolivia</t>
        </is>
      </c>
      <c r="B17" s="15" t="inlineStr">
        <is>
          <t>Formación técnica pública</t>
        </is>
      </c>
      <c r="C17" s="73" t="inlineStr">
        <is>
          <t xml:space="preserve">Institutos públicos </t>
        </is>
      </c>
      <c r="D17" s="73" t="inlineStr">
        <is>
          <t>INSTITUTO TECNOLÓGICO MAIRANA "ITM"</t>
        </is>
      </c>
      <c r="E17" s="73" t="n"/>
      <c r="F17" s="73" t="inlineStr">
        <is>
          <t>Instituto (contacto directo)</t>
        </is>
      </c>
      <c r="G17" s="28" t="inlineStr">
        <is>
          <t>No disponible públicamente</t>
        </is>
      </c>
      <c r="H17" s="28" t="inlineStr">
        <is>
          <t>No disponible públicamente</t>
        </is>
      </c>
      <c r="I17" s="73" t="n">
        <v>39482408</v>
      </c>
      <c r="J17" s="28" t="inlineStr">
        <is>
          <t>No disponible públicamente</t>
        </is>
      </c>
      <c r="K17" s="18" t="inlineStr">
        <is>
          <t>https://www.minedu.gob.bo/files/documentos-normativos/VESFP/2024/reglamentos/GUIA-INSTITUTOS-2024-OCTUBRE.pdf#page=258</t>
        </is>
      </c>
      <c r="L17" s="35" t="inlineStr">
        <is>
          <t>VERIFICAR</t>
        </is>
      </c>
      <c r="M17" s="30" t="n"/>
    </row>
    <row r="18" ht="30" customHeight="1" s="182">
      <c r="A18" s="55" t="inlineStr">
        <is>
          <t>Bolivia</t>
        </is>
      </c>
      <c r="B18" s="15" t="inlineStr">
        <is>
          <t>Formación técnica pública</t>
        </is>
      </c>
      <c r="C18" s="73" t="inlineStr">
        <is>
          <t xml:space="preserve">Institutos públicos </t>
        </is>
      </c>
      <c r="D18" s="73" t="inlineStr">
        <is>
          <t>INSTITUTO TECNOLÓGICO AGROPECUARIO PORTACHUELO «TAP»</t>
        </is>
      </c>
      <c r="E18" s="73" t="n"/>
      <c r="F18" s="73" t="inlineStr">
        <is>
          <t>Instituto (contacto directo)</t>
        </is>
      </c>
      <c r="G18" s="18" t="inlineStr">
        <is>
          <t>https://www.tap.edu.bo/</t>
        </is>
      </c>
      <c r="H18" s="28" t="inlineStr">
        <is>
          <t>No disponible públicamente</t>
        </is>
      </c>
      <c r="I18" s="73" t="inlineStr">
        <is>
          <t>591 75016178</t>
        </is>
      </c>
      <c r="J18" s="73" t="inlineStr">
        <is>
          <t>tap_portachuelo@tap.edu.bo</t>
        </is>
      </c>
      <c r="K18" s="183" t="inlineStr">
        <is>
          <t>https://www.minedu.gob.bo/files/documentos-normativos/VESFP/2024/reglamentos/GUIA-INSTITUTOS-2024-OCTUBRE.pdf#page=259</t>
        </is>
      </c>
      <c r="L18" s="35" t="inlineStr">
        <is>
          <t>VERIFICAR</t>
        </is>
      </c>
      <c r="M18" s="184" t="inlineStr">
        <is>
          <t>Auditoría 08-oct-2026: Texto movido desde fuente: "| https://www.tap.edu.bo/"</t>
        </is>
      </c>
    </row>
    <row r="19" ht="30" customHeight="1" s="182">
      <c r="A19" s="55" t="inlineStr">
        <is>
          <t>Bolivia</t>
        </is>
      </c>
      <c r="B19" s="15" t="inlineStr">
        <is>
          <t>Formación técnica pública</t>
        </is>
      </c>
      <c r="C19" s="73" t="inlineStr">
        <is>
          <t xml:space="preserve">Institutos públicos </t>
        </is>
      </c>
      <c r="D19" s="73" t="inlineStr">
        <is>
          <t>INSTITUTO TECNOLÓGICO SAN ALBERTO</t>
        </is>
      </c>
      <c r="E19" s="73" t="n"/>
      <c r="F19" s="73" t="inlineStr">
        <is>
          <t>Instituto (contacto directo)</t>
        </is>
      </c>
      <c r="G19" s="28" t="inlineStr">
        <is>
          <t>No disponible públicamente</t>
        </is>
      </c>
      <c r="H19" s="28" t="inlineStr">
        <is>
          <t>No disponible públicamente</t>
        </is>
      </c>
      <c r="I19" s="28" t="inlineStr">
        <is>
          <t>(591) 745-11538</t>
        </is>
      </c>
      <c r="J19" s="28" t="inlineStr">
        <is>
          <t>No disponible públicamente</t>
        </is>
      </c>
      <c r="K19" s="18" t="inlineStr">
        <is>
          <t>https://www.minedu.gob.bo/files/documentos-normativos/VESFP/2024/reglamentos/GUIA-INSTITUTOS-2024-OCTUBRE.pdf#page=313</t>
        </is>
      </c>
      <c r="L19" s="35" t="inlineStr">
        <is>
          <t>VERIFICAR</t>
        </is>
      </c>
      <c r="M19" s="30" t="n"/>
    </row>
    <row r="20" ht="30" customHeight="1" s="182">
      <c r="A20" s="55" t="inlineStr">
        <is>
          <t>Bolivia</t>
        </is>
      </c>
      <c r="B20" s="15" t="inlineStr">
        <is>
          <t>Formación técnica pública</t>
        </is>
      </c>
      <c r="C20" s="73" t="inlineStr">
        <is>
          <t xml:space="preserve">Institutos públicos </t>
        </is>
      </c>
      <c r="D20" s="73" t="inlineStr">
        <is>
          <t>INSTITUTO TECNOLÓGICO 2 DE AGOSTO - ISCAYACHI</t>
        </is>
      </c>
      <c r="E20" s="73" t="n"/>
      <c r="F20" s="73" t="inlineStr">
        <is>
          <t>Instituto (contacto directo)</t>
        </is>
      </c>
      <c r="G20" s="28" t="inlineStr">
        <is>
          <t>No disponible públicamente</t>
        </is>
      </c>
      <c r="H20" s="28" t="inlineStr">
        <is>
          <t>No disponible públicamente</t>
        </is>
      </c>
      <c r="I20" s="73" t="inlineStr">
        <is>
          <t>(591) 729-75420</t>
        </is>
      </c>
      <c r="J20" s="28" t="inlineStr">
        <is>
          <t>No disponible públicamente</t>
        </is>
      </c>
      <c r="K20" s="18" t="inlineStr">
        <is>
          <t>https://www.minedu.gob.bo/files/documentos-normativos/VESFP/2024/reglamentos/GUIA-INSTITUTOS-2024-OCTUBRE.pdf#page=313</t>
        </is>
      </c>
      <c r="L20" s="35" t="inlineStr">
        <is>
          <t>VERIFICAR</t>
        </is>
      </c>
      <c r="M20" s="30" t="n"/>
    </row>
    <row r="21" ht="30" customHeight="1" s="182">
      <c r="A21" s="55" t="inlineStr">
        <is>
          <t>Bolivia</t>
        </is>
      </c>
      <c r="B21" s="15" t="inlineStr">
        <is>
          <t>Formación técnica pública</t>
        </is>
      </c>
      <c r="C21" s="73" t="inlineStr">
        <is>
          <t xml:space="preserve">Institutos públicos </t>
        </is>
      </c>
      <c r="D21" s="73" t="inlineStr">
        <is>
          <t>INSTITUTO TECNOLÓGICO AGROPECUARIO «SAN ANDRÉS»</t>
        </is>
      </c>
      <c r="E21" s="73" t="n"/>
      <c r="F21" s="73" t="inlineStr">
        <is>
          <t>Instituto (contacto directo)</t>
        </is>
      </c>
      <c r="G21" s="28" t="inlineStr">
        <is>
          <t>No disponible públicamente</t>
        </is>
      </c>
      <c r="H21" s="28" t="inlineStr">
        <is>
          <t>No disponible públicamente</t>
        </is>
      </c>
      <c r="I21" s="28" t="inlineStr">
        <is>
          <t>(591) 673-74130</t>
        </is>
      </c>
      <c r="J21" s="28" t="inlineStr">
        <is>
          <t>No disponible públicamente</t>
        </is>
      </c>
      <c r="K21" s="18" t="inlineStr">
        <is>
          <t>https://www.minedu.gob.bo/files/documentos-normativos/VESFP/2024/reglamentos/GUIA-INSTITUTOS-2024-OCTUBRE.pdf#page=314</t>
        </is>
      </c>
      <c r="L21" s="35" t="inlineStr">
        <is>
          <t>VERIFICAR</t>
        </is>
      </c>
      <c r="M21" s="30" t="n"/>
    </row>
    <row r="22" ht="30" customHeight="1" s="182">
      <c r="A22" s="55" t="inlineStr">
        <is>
          <t>Bolivia</t>
        </is>
      </c>
      <c r="B22" s="15" t="inlineStr">
        <is>
          <t>Formación técnica pública</t>
        </is>
      </c>
      <c r="C22" s="73" t="inlineStr">
        <is>
          <t xml:space="preserve">Institutos públicos </t>
        </is>
      </c>
      <c r="D22" s="73" t="inlineStr">
        <is>
          <t>INSTITUTO TECNOLÓGICO «YUNCHARA»</t>
        </is>
      </c>
      <c r="E22" s="73" t="n"/>
      <c r="F22" s="73" t="inlineStr">
        <is>
          <t>Instituto (contacto directo)</t>
        </is>
      </c>
      <c r="G22" s="28" t="inlineStr">
        <is>
          <t>No disponible públicamente</t>
        </is>
      </c>
      <c r="H22" s="28" t="inlineStr">
        <is>
          <t>No disponible públicamente</t>
        </is>
      </c>
      <c r="I22" s="73" t="inlineStr">
        <is>
          <t>(591) 679-68074</t>
        </is>
      </c>
      <c r="J22" s="28" t="inlineStr">
        <is>
          <t>No disponible públicamente</t>
        </is>
      </c>
      <c r="K22" s="18" t="inlineStr">
        <is>
          <t>https://www.minedu.gob.bo/files/documentos-normativos/VESFP/2024/reglamentos/GUIA-INSTITUTOS-2024-OCTUBRE.pdf#page=316</t>
        </is>
      </c>
      <c r="L22" s="35" t="inlineStr">
        <is>
          <t>VERIFICAR</t>
        </is>
      </c>
      <c r="M22" s="30" t="n"/>
    </row>
    <row r="23" ht="30" customHeight="1" s="182">
      <c r="A23" s="55" t="inlineStr">
        <is>
          <t>Bolivia</t>
        </is>
      </c>
      <c r="B23" s="15" t="inlineStr">
        <is>
          <t>Escuelas de gobierno y administración pública</t>
        </is>
      </c>
      <c r="C23" s="73" t="inlineStr">
        <is>
          <t>Escuelas de gobierno y administración pública</t>
        </is>
      </c>
      <c r="D23" s="73" t="inlineStr">
        <is>
          <t>Escuela de Gestión Pública Plurinacional (EGPP)</t>
        </is>
      </c>
      <c r="E23" s="73" t="n"/>
      <c r="F23" s="73" t="inlineStr">
        <is>
          <t>Unidad de Desarrollo del Servidor Público (UDSP): formación y capacitación</t>
        </is>
      </c>
      <c r="G23" s="18" t="inlineStr">
        <is>
          <t>https://egpp.gob.bo/oferta-academica/</t>
        </is>
      </c>
      <c r="H23" s="73" t="inlineStr">
        <is>
          <t>Mtr. Nelly María Balda Cabello, jefa de la UDSP</t>
        </is>
      </c>
      <c r="I23" s="73" t="inlineStr">
        <is>
          <t>591 2 2200353 (central institucional; no línea directa de la jefa)</t>
        </is>
      </c>
      <c r="J23" s="183" t="inlineStr">
        <is>
          <t>egpp.institucional@egpp.gob.bo</t>
        </is>
      </c>
      <c r="K23" s="183" t="inlineStr">
        <is>
          <t>https://egpp.gob.bo/oferta-academica/</t>
        </is>
      </c>
      <c r="L23" s="35" t="inlineStr">
        <is>
          <t>VERIFICAR</t>
        </is>
      </c>
      <c r="M23" s="184" t="inlineStr">
        <is>
          <t>Auditoría 08-oct-2026: Texto movido desde celda de email: "egpp.institucional@egpp.gob.bo (correo institucional general)" | Auditoría 08-oct-2026: Texto movido desde fuente: "| https://egpp.gob.bo/unidad-de-desarrollo-del-servidor-publico-udsp/ | https://egpp.gob.bo/nomina-de-autoridades/ | https://egpp.gob.bo/direcciones/ | https://egpp.gob.bo/sistema-de-gestion-integrado-parte-2/ | https://egpp.gob.bo/resena-historica-de-la-egpp/"</t>
        </is>
      </c>
    </row>
    <row r="24" ht="30" customHeight="1" s="182">
      <c r="A24" s="55" t="inlineStr">
        <is>
          <t>Bolivia</t>
        </is>
      </c>
      <c r="B24" s="15" t="inlineStr">
        <is>
          <t>Sindicatos y confederaciones de trabajadores</t>
        </is>
      </c>
      <c r="C24" s="73" t="inlineStr">
        <is>
          <t>Central obrera nacional</t>
        </is>
      </c>
      <c r="D24" s="73" t="inlineStr">
        <is>
          <t>Central Obrera Boliviana (COB)</t>
        </is>
      </c>
      <c r="E24" s="73" t="n"/>
      <c r="F24" s="73" t="inlineStr">
        <is>
          <t>Sede nacional</t>
        </is>
      </c>
      <c r="G24" s="18" t="inlineStr">
        <is>
          <t>https://cob.org.bo/centrales-obreras/</t>
        </is>
      </c>
      <c r="H24" s="28" t="inlineStr">
        <is>
          <t>No disponible públicamente</t>
        </is>
      </c>
      <c r="I24" s="41" t="inlineStr">
        <is>
          <t>591 2 2282805</t>
        </is>
      </c>
      <c r="J24" s="28" t="inlineStr">
        <is>
          <t>No disponible públicamente</t>
        </is>
      </c>
      <c r="K24" s="18" t="inlineStr">
        <is>
          <t>https://www.ilo.org/sites/default/files/wcmsp5/groups/public/%40americas/%40ro-lima/%40sro-lima/documents/publication/wcms_672892.pdf#page=8</t>
        </is>
      </c>
      <c r="L24" s="35" t="inlineStr">
        <is>
          <t>VERIFICAR</t>
        </is>
      </c>
      <c r="M24" s="30" t="n"/>
    </row>
    <row r="25" ht="30" customHeight="1" s="182">
      <c r="A25" s="55" t="inlineStr">
        <is>
          <t>Bolivia</t>
        </is>
      </c>
      <c r="B25" s="15" t="inlineStr">
        <is>
          <t>Sindicatos y confederaciones de trabajadores</t>
        </is>
      </c>
      <c r="C25" s="73" t="inlineStr">
        <is>
          <t>Federación minera</t>
        </is>
      </c>
      <c r="D25" s="73" t="inlineStr">
        <is>
          <t>Federación Sindical de Trabajadores Mineros de Bolivia (FSTMB)</t>
        </is>
      </c>
      <c r="E25" s="73" t="n"/>
      <c r="F25" s="73" t="inlineStr">
        <is>
          <t>SiDIS, sistema de documentación e información sindical</t>
        </is>
      </c>
      <c r="G25" s="18" t="inlineStr">
        <is>
          <t>https://sidisfstmb.wordpress.com/</t>
        </is>
      </c>
      <c r="H25" s="28" t="inlineStr">
        <is>
          <t>No disponible públicamente</t>
        </is>
      </c>
      <c r="I25" s="73" t="inlineStr">
        <is>
          <t>591 2 2488918</t>
        </is>
      </c>
      <c r="J25" s="73" t="inlineStr">
        <is>
          <t>sidis1986fstmb@hotmail.com</t>
        </is>
      </c>
      <c r="K25" s="183" t="inlineStr">
        <is>
          <t>https://sidisfstmb.wordpress.com/contacto/</t>
        </is>
      </c>
      <c r="L25" s="35" t="inlineStr">
        <is>
          <t>VERIFICAR</t>
        </is>
      </c>
      <c r="M25" s="184" t="inlineStr">
        <is>
          <t>Auditoría 08-oct-2026: Texto movido desde fuente: "| https://sidisfstmb.wordpress.com/"</t>
        </is>
      </c>
    </row>
    <row r="26" ht="30" customHeight="1" s="182">
      <c r="A26" s="55" t="inlineStr">
        <is>
          <t>Bolivia</t>
        </is>
      </c>
      <c r="B26" s="15" t="inlineStr">
        <is>
          <t>Sindicatos y confederaciones de trabajadores</t>
        </is>
      </c>
      <c r="C26" s="73" t="inlineStr">
        <is>
          <t>Confederación de docentes urbanos</t>
        </is>
      </c>
      <c r="D26" s="73" t="inlineStr">
        <is>
          <t>Confederación de Trabajadores de Educación Urbana de Bolivia (CTEUB)</t>
        </is>
      </c>
      <c r="E26" s="73" t="n"/>
      <c r="F26" s="73" t="inlineStr">
        <is>
          <t>Sede de la confederación</t>
        </is>
      </c>
      <c r="G26" s="18" t="inlineStr">
        <is>
          <t>http://www.cteub.org/</t>
        </is>
      </c>
      <c r="H26" s="28" t="inlineStr">
        <is>
          <t>No disponible públicamente</t>
        </is>
      </c>
      <c r="I26" s="73" t="inlineStr">
        <is>
          <t>591 2 2911597</t>
        </is>
      </c>
      <c r="J26" s="73" t="inlineStr">
        <is>
          <t>maestrosurbanoscteub@gmail.com; CTEUB_1@hotmail.com</t>
        </is>
      </c>
      <c r="K26" s="18" t="inlineStr">
        <is>
          <t>https://www.minedu.gob.bo/files/publicaciones/minedu/EncuentroPedagogico/dt-cteub.pdf</t>
        </is>
      </c>
      <c r="L26" s="35" t="inlineStr">
        <is>
          <t>VERIFICAR</t>
        </is>
      </c>
      <c r="M26" s="30" t="n"/>
    </row>
    <row r="27" ht="30" customHeight="1" s="182">
      <c r="A27" s="55" t="inlineStr">
        <is>
          <t>Bolivia</t>
        </is>
      </c>
      <c r="B27" s="15" t="inlineStr">
        <is>
          <t>Sindicatos y confederaciones de trabajadores</t>
        </is>
      </c>
      <c r="C27" s="73" t="inlineStr">
        <is>
          <t>Federación de trabajadoras del hogar</t>
        </is>
      </c>
      <c r="D27" s="73" t="inlineStr">
        <is>
          <t>Federación Nacional de Trabajadoras Asalariadas del Hogar de Bolivia (FENATRAHOB)</t>
        </is>
      </c>
      <c r="E27" s="73" t="n"/>
      <c r="F27" s="73" t="inlineStr">
        <is>
          <t>Sede de la federación</t>
        </is>
      </c>
      <c r="G27" s="18" t="inlineStr">
        <is>
          <t>https://fenatrahob.org.bo/</t>
        </is>
      </c>
      <c r="H27" s="28" t="inlineStr">
        <is>
          <t>No disponible públicamente</t>
        </is>
      </c>
      <c r="I27" s="73" t="inlineStr">
        <is>
          <t>591 2 2480010</t>
        </is>
      </c>
      <c r="J27" s="73" t="inlineStr">
        <is>
          <t>fenatrahob@fenatrahob.org.bo; fenatrahob@hotmail.com</t>
        </is>
      </c>
      <c r="K27" s="183" t="inlineStr">
        <is>
          <t>https://conlactraho.org/afiliada/federacion-nacional-de-trabajadoras-asalariadas-del-hogar-de-bolivia-fenatrahob/</t>
        </is>
      </c>
      <c r="L27" s="35" t="inlineStr">
        <is>
          <t>VERIFICAR</t>
        </is>
      </c>
      <c r="M27" s="184" t="inlineStr">
        <is>
          <t>Auditoría 08-oct-2026: Texto movido desde fuente: "| https://www.ilo.org/sites/default/files/wcmsp5/groups/public/%40ed_dialogue/%40actrav/documents/genericdocument/wcms_573102.pdf"</t>
        </is>
      </c>
    </row>
    <row r="28" ht="30" customHeight="1" s="182">
      <c r="A28" s="55" t="inlineStr">
        <is>
          <t>Bolivia</t>
        </is>
      </c>
      <c r="B28" s="15" t="inlineStr">
        <is>
          <t>Universidades públicas</t>
        </is>
      </c>
      <c r="C28" s="73" t="inlineStr">
        <is>
          <t>Universidades públicas</t>
        </is>
      </c>
      <c r="D28" s="73" t="inlineStr">
        <is>
          <t>Universidad Mayor, Real y Pontificia de San Francisco Xavier de Chuquisaca (USFX)</t>
        </is>
      </c>
      <c r="E28" s="73" t="n"/>
      <c r="F28" s="73" t="inlineStr">
        <is>
          <t>Rectorado</t>
        </is>
      </c>
      <c r="G28" s="18" t="inlineStr">
        <is>
          <t>https://usfx.bo/</t>
        </is>
      </c>
      <c r="H28" s="28" t="inlineStr">
        <is>
          <t>No disponible públicamente</t>
        </is>
      </c>
      <c r="I28" s="73" t="inlineStr">
        <is>
          <t>591 4 6441541 / 6453308</t>
        </is>
      </c>
      <c r="J28" s="73" t="inlineStr">
        <is>
          <t>rectorado@usfx.bo</t>
        </is>
      </c>
      <c r="K28" s="183" t="inlineStr">
        <is>
          <t>https://ceub.edu.bo/universidades-del-sistema/</t>
        </is>
      </c>
      <c r="L28" s="35" t="inlineStr">
        <is>
          <t>VERIFICAR</t>
        </is>
      </c>
      <c r="M28" s="184" t="inlineStr">
        <is>
          <t>Auditoría 08-oct-2026: Texto movido desde fuente: "| https://www.umsa.bo/es/web/deagec/sub-ceub | https://usfx.bo/"</t>
        </is>
      </c>
    </row>
    <row r="29" ht="30" customHeight="1" s="182">
      <c r="A29" s="55" t="inlineStr">
        <is>
          <t>Bolivia</t>
        </is>
      </c>
      <c r="B29" s="15" t="inlineStr">
        <is>
          <t>Universidades públicas</t>
        </is>
      </c>
      <c r="C29" s="73" t="inlineStr">
        <is>
          <t>Universidades públicas</t>
        </is>
      </c>
      <c r="D29" s="73" t="inlineStr">
        <is>
          <t>Universidad Mayor de San Andrés (UMSA)</t>
        </is>
      </c>
      <c r="E29" s="73" t="n"/>
      <c r="F29" s="73" t="inlineStr">
        <is>
          <t>Plataforma de informaciones</t>
        </is>
      </c>
      <c r="G29" s="18" t="inlineStr">
        <is>
          <t>https://www.umsa.bo/</t>
        </is>
      </c>
      <c r="H29" s="28" t="inlineStr">
        <is>
          <t>No disponible públicamente</t>
        </is>
      </c>
      <c r="I29" s="73" t="inlineStr">
        <is>
          <t>800-16-0013 / +591 2 2612298</t>
        </is>
      </c>
      <c r="J29" s="73" t="inlineStr">
        <is>
          <t>informate@umsa.bo</t>
        </is>
      </c>
      <c r="K29" s="183" t="inlineStr">
        <is>
          <t>https://ceub.edu.bo/universidades-del-sistema/</t>
        </is>
      </c>
      <c r="L29" s="35" t="inlineStr">
        <is>
          <t>VERIFICAR</t>
        </is>
      </c>
      <c r="M29" s="184" t="inlineStr">
        <is>
          <t>Auditoría 08-oct-2026: Texto movido desde fuente: "| https://www.umsa.bo/es/web/deagec/sub-ceub | https://www.umsa.bo/es/contactos"</t>
        </is>
      </c>
    </row>
    <row r="30" ht="30" customHeight="1" s="182">
      <c r="A30" s="55" t="inlineStr">
        <is>
          <t>Bolivia</t>
        </is>
      </c>
      <c r="B30" s="15" t="inlineStr">
        <is>
          <t>Universidades públicas</t>
        </is>
      </c>
      <c r="C30" s="73" t="inlineStr">
        <is>
          <t>Universidades públicas</t>
        </is>
      </c>
      <c r="D30" s="73" t="inlineStr">
        <is>
          <t>Universidad Mayor de San Simón (UMSS)</t>
        </is>
      </c>
      <c r="E30" s="73" t="n"/>
      <c r="F30" s="73" t="inlineStr">
        <is>
          <t>Información general</t>
        </is>
      </c>
      <c r="G30" s="18" t="inlineStr">
        <is>
          <t>https://www.umss.edu.bo/</t>
        </is>
      </c>
      <c r="H30" s="28" t="inlineStr">
        <is>
          <t>No disponible públicamente</t>
        </is>
      </c>
      <c r="I30" s="73" t="inlineStr">
        <is>
          <t>591 4 4525161</t>
        </is>
      </c>
      <c r="J30" s="73" t="inlineStr">
        <is>
          <t>informaciones@umss.edu.bo</t>
        </is>
      </c>
      <c r="K30" s="183" t="inlineStr">
        <is>
          <t>https://ceub.edu.bo/universidades-del-sistema/</t>
        </is>
      </c>
      <c r="L30" s="35" t="inlineStr">
        <is>
          <t>VERIFICAR</t>
        </is>
      </c>
      <c r="M30" s="184" t="inlineStr">
        <is>
          <t>Auditoría 08-oct-2026: Texto movido desde fuente: "| https://www.umsa.bo/es/web/deagec/sub-ceub | https://www.umss.edu.bo/contacto/"</t>
        </is>
      </c>
    </row>
    <row r="31" ht="30" customHeight="1" s="182">
      <c r="A31" s="55" t="inlineStr">
        <is>
          <t>Bolivia</t>
        </is>
      </c>
      <c r="B31" s="15" t="inlineStr">
        <is>
          <t>Universidades públicas</t>
        </is>
      </c>
      <c r="C31" s="73" t="inlineStr">
        <is>
          <t>Universidades públicas</t>
        </is>
      </c>
      <c r="D31" s="73" t="inlineStr">
        <is>
          <t>Universidad Autónoma Gabriel René Moreno (UAGRM)</t>
        </is>
      </c>
      <c r="E31" s="73" t="n"/>
      <c r="F31" s="73" t="inlineStr">
        <is>
          <t>Central telefónica institucional</t>
        </is>
      </c>
      <c r="G31" s="18" t="inlineStr">
        <is>
          <t>https://www.uagrm.edu.bo/</t>
        </is>
      </c>
      <c r="H31" s="28" t="inlineStr">
        <is>
          <t>No disponible públicamente</t>
        </is>
      </c>
      <c r="I31" s="73" t="inlineStr">
        <is>
          <t>591 3 3365533 / 3365544</t>
        </is>
      </c>
      <c r="J31" s="28" t="inlineStr">
        <is>
          <t>No disponible públicamente</t>
        </is>
      </c>
      <c r="K31" s="183" t="inlineStr">
        <is>
          <t>https://ceub.edu.bo/universidades-del-sistema/</t>
        </is>
      </c>
      <c r="L31" s="35" t="inlineStr">
        <is>
          <t>VERIFICAR</t>
        </is>
      </c>
      <c r="M31" s="184" t="inlineStr">
        <is>
          <t>Auditoría 08-oct-2026: Texto movido desde fuente: "| https://www.umsa.bo/es/web/deagec/sub-ceub | https://www.uagrm.edu.bo/unidades-administrativas/rectorado"</t>
        </is>
      </c>
    </row>
    <row r="32" ht="30" customHeight="1" s="182">
      <c r="A32" s="55" t="inlineStr">
        <is>
          <t>Bolivia</t>
        </is>
      </c>
      <c r="B32" s="15" t="inlineStr">
        <is>
          <t>Universidades públicas</t>
        </is>
      </c>
      <c r="C32" s="73" t="inlineStr">
        <is>
          <t>Universidades públicas</t>
        </is>
      </c>
      <c r="D32" s="73" t="inlineStr">
        <is>
          <t>Universidad Autónoma Tomás Frías (UATF)</t>
        </is>
      </c>
      <c r="E32" s="73" t="n"/>
      <c r="F32" s="73" t="inlineStr">
        <is>
          <t>Informaciones</t>
        </is>
      </c>
      <c r="G32" s="18" t="inlineStr">
        <is>
          <t>https://www.uatf.edu.bo/</t>
        </is>
      </c>
      <c r="H32" s="28" t="inlineStr">
        <is>
          <t>No disponible públicamente</t>
        </is>
      </c>
      <c r="I32" s="73" t="inlineStr">
        <is>
          <t>26227300 / 72377346 (como publica la UATF)</t>
        </is>
      </c>
      <c r="J32" s="73" t="inlineStr">
        <is>
          <t>informaciones@uatf.edu.bo</t>
        </is>
      </c>
      <c r="K32" s="183" t="inlineStr">
        <is>
          <t>https://ceub.edu.bo/universidades-del-sistema/</t>
        </is>
      </c>
      <c r="L32" s="35" t="inlineStr">
        <is>
          <t>VERIFICAR</t>
        </is>
      </c>
      <c r="M32" s="184" t="inlineStr">
        <is>
          <t>Auditoría 08-oct-2026: Texto movido desde fuente: "| https://www.umsa.bo/es/web/deagec/sub-ceub | https://uatf.edu.bo/facultades.php"</t>
        </is>
      </c>
    </row>
    <row r="33" ht="30" customHeight="1" s="182">
      <c r="A33" s="55" t="inlineStr">
        <is>
          <t>Bolivia</t>
        </is>
      </c>
      <c r="B33" s="15" t="inlineStr">
        <is>
          <t>Universidades públicas</t>
        </is>
      </c>
      <c r="C33" s="73" t="inlineStr">
        <is>
          <t>Universidades públicas</t>
        </is>
      </c>
      <c r="D33" s="73" t="inlineStr">
        <is>
          <t>Universidad Técnica de Oruro (UTO)</t>
        </is>
      </c>
      <c r="E33" s="73" t="n"/>
      <c r="F33" s="73" t="inlineStr">
        <is>
          <t>Rectorado / informaciones</t>
        </is>
      </c>
      <c r="G33" s="18" t="inlineStr">
        <is>
          <t>https://www.uto.edu.bo/</t>
        </is>
      </c>
      <c r="H33" s="28" t="inlineStr">
        <is>
          <t>No disponible públicamente</t>
        </is>
      </c>
      <c r="I33" s="73" t="inlineStr">
        <is>
          <t>591 2 52 42215 (Rectorado; según página de contactos)</t>
        </is>
      </c>
      <c r="J33" s="73" t="inlineStr">
        <is>
          <t>informaciones@uto.edu.bo</t>
        </is>
      </c>
      <c r="K33" s="183" t="inlineStr">
        <is>
          <t>https://ceub.edu.bo/universidades-del-sistema/</t>
        </is>
      </c>
      <c r="L33" s="35" t="inlineStr">
        <is>
          <t>VERIFICAR</t>
        </is>
      </c>
      <c r="M33" s="184" t="inlineStr">
        <is>
          <t>Auditoría 08-oct-2026: Texto movido desde fuente: "| https://www.umsa.bo/es/web/deagec/sub-ceub | https://www.uto.edu.bo/contactos/ | https://www.uto.edu.bo/guia-telefonica/"</t>
        </is>
      </c>
    </row>
    <row r="34" ht="30" customHeight="1" s="182">
      <c r="A34" s="55" t="inlineStr">
        <is>
          <t>Bolivia</t>
        </is>
      </c>
      <c r="B34" s="15" t="inlineStr">
        <is>
          <t>Universidades públicas</t>
        </is>
      </c>
      <c r="C34" s="73" t="inlineStr">
        <is>
          <t>Universidades públicas</t>
        </is>
      </c>
      <c r="D34" s="73" t="inlineStr">
        <is>
          <t>Universidad Autónoma Juan Misael Saracho (UAJMS)</t>
        </is>
      </c>
      <c r="E34" s="73" t="n"/>
      <c r="F34" s="73" t="inlineStr">
        <is>
          <t>Rectorado</t>
        </is>
      </c>
      <c r="G34" s="18" t="inlineStr">
        <is>
          <t>https://www.uajms.edu.bo/</t>
        </is>
      </c>
      <c r="H34" s="28" t="inlineStr">
        <is>
          <t>No disponible públicamente</t>
        </is>
      </c>
      <c r="I34" s="73" t="inlineStr">
        <is>
          <t>591 4 6643110</t>
        </is>
      </c>
      <c r="J34" s="73" t="inlineStr">
        <is>
          <t>rector@uajms.edu.bo</t>
        </is>
      </c>
      <c r="K34" s="183" t="inlineStr">
        <is>
          <t>https://ceub.edu.bo/universidades-del-sistema/</t>
        </is>
      </c>
      <c r="L34" s="35" t="inlineStr">
        <is>
          <t>VERIFICAR</t>
        </is>
      </c>
      <c r="M34" s="184" t="inlineStr">
        <is>
          <t>Auditoría 08-oct-2026: Texto movido desde fuente: "| https://www.umsa.bo/es/web/deagec/sub-ceub | https://www.uajms.edu.bo/contactenos/"</t>
        </is>
      </c>
    </row>
    <row r="35" ht="30" customHeight="1" s="182">
      <c r="A35" s="55" t="inlineStr">
        <is>
          <t>Bolivia</t>
        </is>
      </c>
      <c r="B35" s="15" t="inlineStr">
        <is>
          <t>Universidades públicas</t>
        </is>
      </c>
      <c r="C35" s="73" t="inlineStr">
        <is>
          <t>Universidades públicas</t>
        </is>
      </c>
      <c r="D35" s="73" t="inlineStr">
        <is>
          <t>Universidad Autónoma del Beni «José Ballivián» (UABJB)</t>
        </is>
      </c>
      <c r="E35" s="73" t="n"/>
      <c r="F35" s="73" t="inlineStr">
        <is>
          <t>Secretaría General (canal para apostilla)</t>
        </is>
      </c>
      <c r="G35" s="18" t="inlineStr">
        <is>
          <t>https://uabjb.edu.bo/</t>
        </is>
      </c>
      <c r="H35" s="28" t="inlineStr">
        <is>
          <t>No disponible públicamente</t>
        </is>
      </c>
      <c r="I35" s="73" t="inlineStr">
        <is>
          <t>No publicado para esta unidad</t>
        </is>
      </c>
      <c r="J35" s="73" t="inlineStr">
        <is>
          <t>secretaria_gral@uabjb.edu.bo</t>
        </is>
      </c>
      <c r="K35" s="183" t="inlineStr">
        <is>
          <t>https://ceub.edu.bo/universidades-del-sistema/</t>
        </is>
      </c>
      <c r="L35" s="35" t="inlineStr">
        <is>
          <t>VERIFICAR</t>
        </is>
      </c>
      <c r="M35" s="184" t="inlineStr">
        <is>
          <t>Auditoría 08-oct-2026: Texto movido desde fuente: "| https://www.umsa.bo/es/web/deagec/sub-ceub | https://www.uabjb.edu.bo/index.php/tramites-uab"</t>
        </is>
      </c>
    </row>
    <row r="36" ht="30" customHeight="1" s="182">
      <c r="A36" s="55" t="inlineStr">
        <is>
          <t>Bolivia</t>
        </is>
      </c>
      <c r="B36" s="15" t="inlineStr">
        <is>
          <t>Universidades públicas</t>
        </is>
      </c>
      <c r="C36" s="73" t="inlineStr">
        <is>
          <t>Universidades públicas</t>
        </is>
      </c>
      <c r="D36" s="73" t="inlineStr">
        <is>
          <t>Universidad Nacional Siglo XX (UNSXX)</t>
        </is>
      </c>
      <c r="E36" s="73" t="n"/>
      <c r="F36" s="73" t="inlineStr">
        <is>
          <t>Contacto institucional de sede central</t>
        </is>
      </c>
      <c r="G36" s="18" t="inlineStr">
        <is>
          <t>https://www.unsxx.bo/</t>
        </is>
      </c>
      <c r="H36" s="28" t="inlineStr">
        <is>
          <t>No disponible públicamente</t>
        </is>
      </c>
      <c r="I36" s="73" t="inlineStr">
        <is>
          <t>591 2 5820222</t>
        </is>
      </c>
      <c r="J36" s="73" t="inlineStr">
        <is>
          <t>No publicado</t>
        </is>
      </c>
      <c r="K36" s="183" t="inlineStr">
        <is>
          <t>https://ceub.edu.bo/universidades-del-sistema/</t>
        </is>
      </c>
      <c r="L36" s="35" t="inlineStr">
        <is>
          <t>VERIFICAR</t>
        </is>
      </c>
      <c r="M36" s="184" t="inlineStr">
        <is>
          <t>Auditoría 08-oct-2026: Texto movido desde fuente: "| https://www.umsa.bo/es/web/deagec/sub-ceub | https://www.unsxx.bo/"</t>
        </is>
      </c>
    </row>
    <row r="37" ht="30" customHeight="1" s="182">
      <c r="A37" s="55" t="inlineStr">
        <is>
          <t>Bolivia</t>
        </is>
      </c>
      <c r="B37" s="15" t="inlineStr">
        <is>
          <t>Universidades públicas</t>
        </is>
      </c>
      <c r="C37" s="73" t="inlineStr">
        <is>
          <t>Universidades públicas</t>
        </is>
      </c>
      <c r="D37" s="73" t="inlineStr">
        <is>
          <t>Universidad Amazónica de Pando (UAP)</t>
        </is>
      </c>
      <c r="E37" s="73" t="n"/>
      <c r="F37" s="73" t="inlineStr">
        <is>
          <t>Dirección de Educación Virtual</t>
        </is>
      </c>
      <c r="G37" s="18" t="inlineStr">
        <is>
          <t>https://uap.edu.bo/</t>
        </is>
      </c>
      <c r="H37" s="28" t="inlineStr">
        <is>
          <t>No disponible públicamente</t>
        </is>
      </c>
      <c r="I37" s="73" t="inlineStr">
        <is>
          <t>591 71876520 (contacto de Educación Virtual)</t>
        </is>
      </c>
      <c r="J37" s="73" t="inlineStr">
        <is>
          <t>dev@uap.edu.bo</t>
        </is>
      </c>
      <c r="K37" s="183" t="inlineStr">
        <is>
          <t>https://ceub.edu.bo/universidades-del-sistema/</t>
        </is>
      </c>
      <c r="L37" s="35" t="inlineStr">
        <is>
          <t>VERIFICAR</t>
        </is>
      </c>
      <c r="M37" s="184" t="inlineStr">
        <is>
          <t>Auditoría 08-oct-2026: Texto movido desde fuente: "| https://www.umsa.bo/es/web/deagec/sub-ceub | https://campusvirtual.uap.edu.bo/"</t>
        </is>
      </c>
    </row>
    <row r="38" ht="30" customHeight="1" s="182">
      <c r="A38" s="55" t="inlineStr">
        <is>
          <t>Bolivia</t>
        </is>
      </c>
      <c r="B38" s="15" t="inlineStr">
        <is>
          <t>Universidades públicas</t>
        </is>
      </c>
      <c r="C38" s="73" t="inlineStr">
        <is>
          <t>Universidades públicas</t>
        </is>
      </c>
      <c r="D38" s="73" t="inlineStr">
        <is>
          <t>Universidad Pública de El Alto (UPEA)</t>
        </is>
      </c>
      <c r="E38" s="73" t="n"/>
      <c r="F38" s="73" t="inlineStr">
        <is>
          <t>Unidad de Tecnologías de Información y Comunicación (UTIC)</t>
        </is>
      </c>
      <c r="G38" s="18" t="inlineStr">
        <is>
          <t>https://www.upea.edu.bo/</t>
        </is>
      </c>
      <c r="H38" s="28" t="inlineStr">
        <is>
          <t>No disponible públicamente</t>
        </is>
      </c>
      <c r="I38" s="41" t="inlineStr">
        <is>
          <t>591 2845800 (publicado por UPEA)</t>
        </is>
      </c>
      <c r="J38" s="73" t="inlineStr">
        <is>
          <t>utic@upea.edu.bo</t>
        </is>
      </c>
      <c r="K38" s="183" t="inlineStr">
        <is>
          <t>https://ceub.edu.bo/universidades-del-sistema/</t>
        </is>
      </c>
      <c r="L38" s="35" t="inlineStr">
        <is>
          <t>VERIFICAR</t>
        </is>
      </c>
      <c r="M38" s="184" t="inlineStr">
        <is>
          <t>Auditoría 08-oct-2026: Texto movido desde fuente: "| https://www.umsa.bo/es/web/deagec/sub-ceub | https://www.upea.edu.bo/Carreras | https://utic.upea.bo/"</t>
        </is>
      </c>
    </row>
    <row r="39" ht="30" customHeight="1" s="182"/>
    <row r="40" ht="15.75" customHeight="1" s="182"/>
    <row r="41" ht="15.75" customHeight="1" s="182"/>
    <row r="42" ht="15.75" customHeight="1" s="182"/>
    <row r="43" ht="15.75" customHeight="1" s="182"/>
    <row r="44" ht="15.75" customHeight="1" s="182"/>
    <row r="45" ht="15.75" customHeight="1" s="182"/>
    <row r="46" ht="15.75" customHeight="1" s="182"/>
    <row r="47" ht="15.75" customHeight="1" s="182"/>
    <row r="48" ht="15.75" customHeight="1" s="182"/>
    <row r="49" ht="15.75" customHeight="1" s="182"/>
    <row r="50" ht="15.75" customHeight="1" s="182"/>
    <row r="51" ht="15.75" customHeight="1" s="182"/>
    <row r="52" ht="15.75" customHeight="1" s="182"/>
    <row r="53" ht="15.75" customHeight="1" s="182"/>
    <row r="54" ht="15.75" customHeight="1" s="182"/>
    <row r="55" ht="15.75" customHeight="1" s="182"/>
    <row r="56" ht="15.75" customHeight="1" s="182"/>
    <row r="57" ht="15.75" customHeight="1" s="182"/>
    <row r="58" ht="15.75" customHeight="1" s="182"/>
    <row r="59" ht="15.75" customHeight="1" s="182"/>
    <row r="60" ht="15.75" customHeight="1" s="182"/>
    <row r="61" ht="15.75" customHeight="1" s="182"/>
    <row r="62" ht="15.75" customHeight="1" s="182"/>
    <row r="63" ht="15.75" customHeight="1" s="182"/>
    <row r="64" ht="15.75" customHeight="1" s="182"/>
    <row r="65" ht="15.75" customHeight="1" s="182"/>
    <row r="66" ht="15.75" customHeight="1" s="182"/>
    <row r="67" ht="15.75" customHeight="1" s="182"/>
    <row r="68" ht="15.75" customHeight="1" s="182"/>
    <row r="69" ht="15.75" customHeight="1" s="182"/>
    <row r="70" ht="15.75" customHeight="1" s="182"/>
    <row r="71" ht="15.75" customHeight="1" s="182"/>
    <row r="72" ht="15.75" customHeight="1" s="182"/>
    <row r="73" ht="15.75" customHeight="1" s="182"/>
    <row r="74" ht="15.75" customHeight="1" s="182"/>
    <row r="75" ht="15.75" customHeight="1" s="182"/>
    <row r="76" ht="15.75" customHeight="1" s="182"/>
    <row r="77" ht="15.75" customHeight="1" s="182"/>
    <row r="78" ht="15.75" customHeight="1" s="182"/>
    <row r="79" ht="15.75" customHeight="1" s="182"/>
    <row r="80" ht="15.75" customHeight="1" s="182"/>
    <row r="81" ht="15.75" customHeight="1" s="182"/>
    <row r="82" ht="15.75" customHeight="1" s="182"/>
    <row r="83" ht="15.75" customHeight="1" s="182"/>
    <row r="84" ht="15.75" customHeight="1" s="182"/>
    <row r="85" ht="15.75" customHeight="1" s="182"/>
    <row r="86" ht="15.75" customHeight="1" s="182"/>
    <row r="87" ht="15.75" customHeight="1" s="182"/>
    <row r="88" ht="15.75" customHeight="1" s="182"/>
    <row r="89" ht="15.75" customHeight="1" s="182"/>
    <row r="90" ht="15.75" customHeight="1" s="182"/>
    <row r="91" ht="15.75" customHeight="1" s="182"/>
    <row r="92" ht="15.75" customHeight="1" s="182"/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</sheetData>
  <autoFilter ref="$A$1:$M$38"/>
  <dataValidations count="1">
    <dataValidation sqref="E2:E38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K3" r:id="rId4"/>
    <hyperlink xmlns:r="http://schemas.openxmlformats.org/officeDocument/2006/relationships" ref="G4" r:id="rId5"/>
    <hyperlink xmlns:r="http://schemas.openxmlformats.org/officeDocument/2006/relationships" ref="K4" r:id="rId6"/>
    <hyperlink xmlns:r="http://schemas.openxmlformats.org/officeDocument/2006/relationships" ref="K5" r:id="rId7"/>
    <hyperlink xmlns:r="http://schemas.openxmlformats.org/officeDocument/2006/relationships" ref="G6" r:id="rId8"/>
    <hyperlink xmlns:r="http://schemas.openxmlformats.org/officeDocument/2006/relationships" ref="K6" r:id="rId9"/>
    <hyperlink xmlns:r="http://schemas.openxmlformats.org/officeDocument/2006/relationships" ref="K7" r:id="rId10"/>
    <hyperlink xmlns:r="http://schemas.openxmlformats.org/officeDocument/2006/relationships" ref="G8" r:id="rId11"/>
    <hyperlink xmlns:r="http://schemas.openxmlformats.org/officeDocument/2006/relationships" ref="K8" r:id="rId12"/>
    <hyperlink xmlns:r="http://schemas.openxmlformats.org/officeDocument/2006/relationships" ref="G9" r:id="rId13"/>
    <hyperlink xmlns:r="http://schemas.openxmlformats.org/officeDocument/2006/relationships" ref="K9" r:id="rId14"/>
    <hyperlink xmlns:r="http://schemas.openxmlformats.org/officeDocument/2006/relationships" ref="G10" r:id="rId15"/>
    <hyperlink xmlns:r="http://schemas.openxmlformats.org/officeDocument/2006/relationships" ref="K10" r:id="rId16"/>
    <hyperlink xmlns:r="http://schemas.openxmlformats.org/officeDocument/2006/relationships" ref="K11" location="page=181" r:id="rId17"/>
    <hyperlink xmlns:r="http://schemas.openxmlformats.org/officeDocument/2006/relationships" ref="K12" location="page=181" r:id="rId18"/>
    <hyperlink xmlns:r="http://schemas.openxmlformats.org/officeDocument/2006/relationships" ref="K13" location="page=215" r:id="rId19"/>
    <hyperlink xmlns:r="http://schemas.openxmlformats.org/officeDocument/2006/relationships" ref="G14" r:id="rId20"/>
    <hyperlink xmlns:r="http://schemas.openxmlformats.org/officeDocument/2006/relationships" ref="K15" location="page=228" r:id="rId21"/>
    <hyperlink xmlns:r="http://schemas.openxmlformats.org/officeDocument/2006/relationships" ref="K16" location="page=230" r:id="rId22"/>
    <hyperlink xmlns:r="http://schemas.openxmlformats.org/officeDocument/2006/relationships" ref="K17" location="page=258" r:id="rId23"/>
    <hyperlink xmlns:r="http://schemas.openxmlformats.org/officeDocument/2006/relationships" ref="G18" r:id="rId24"/>
    <hyperlink xmlns:r="http://schemas.openxmlformats.org/officeDocument/2006/relationships" ref="K19" location="page=313" r:id="rId25"/>
    <hyperlink xmlns:r="http://schemas.openxmlformats.org/officeDocument/2006/relationships" ref="K20" location="page=313" r:id="rId26"/>
    <hyperlink xmlns:r="http://schemas.openxmlformats.org/officeDocument/2006/relationships" ref="K21" location="page=314" r:id="rId27"/>
    <hyperlink xmlns:r="http://schemas.openxmlformats.org/officeDocument/2006/relationships" ref="K22" location="page=316" r:id="rId28"/>
    <hyperlink xmlns:r="http://schemas.openxmlformats.org/officeDocument/2006/relationships" ref="G23" r:id="rId29"/>
    <hyperlink xmlns:r="http://schemas.openxmlformats.org/officeDocument/2006/relationships" ref="G24" r:id="rId30"/>
    <hyperlink xmlns:r="http://schemas.openxmlformats.org/officeDocument/2006/relationships" ref="K24" location="page=8" r:id="rId31"/>
    <hyperlink xmlns:r="http://schemas.openxmlformats.org/officeDocument/2006/relationships" ref="G25" r:id="rId32"/>
    <hyperlink xmlns:r="http://schemas.openxmlformats.org/officeDocument/2006/relationships" ref="G26" r:id="rId33"/>
    <hyperlink xmlns:r="http://schemas.openxmlformats.org/officeDocument/2006/relationships" ref="K26" r:id="rId34"/>
    <hyperlink xmlns:r="http://schemas.openxmlformats.org/officeDocument/2006/relationships" ref="G27" r:id="rId35"/>
    <hyperlink xmlns:r="http://schemas.openxmlformats.org/officeDocument/2006/relationships" ref="G28" r:id="rId36"/>
    <hyperlink xmlns:r="http://schemas.openxmlformats.org/officeDocument/2006/relationships" ref="G29" r:id="rId37"/>
    <hyperlink xmlns:r="http://schemas.openxmlformats.org/officeDocument/2006/relationships" ref="G30" r:id="rId38"/>
    <hyperlink xmlns:r="http://schemas.openxmlformats.org/officeDocument/2006/relationships" ref="G31" r:id="rId39"/>
    <hyperlink xmlns:r="http://schemas.openxmlformats.org/officeDocument/2006/relationships" ref="G32" r:id="rId40"/>
    <hyperlink xmlns:r="http://schemas.openxmlformats.org/officeDocument/2006/relationships" ref="G33" r:id="rId41"/>
    <hyperlink xmlns:r="http://schemas.openxmlformats.org/officeDocument/2006/relationships" ref="G34" r:id="rId42"/>
    <hyperlink xmlns:r="http://schemas.openxmlformats.org/officeDocument/2006/relationships" ref="G35" r:id="rId43"/>
    <hyperlink xmlns:r="http://schemas.openxmlformats.org/officeDocument/2006/relationships" ref="G36" r:id="rId44"/>
    <hyperlink xmlns:r="http://schemas.openxmlformats.org/officeDocument/2006/relationships" ref="G37" r:id="rId45"/>
    <hyperlink xmlns:r="http://schemas.openxmlformats.org/officeDocument/2006/relationships" ref="G38" r:id="rId46"/>
  </hyperlinks>
  <pageMargins left="0.75" right="0.75" top="1" bottom="1" header="0" footer="0"/>
  <pageSetup orientation="landscape"/>
  <tableParts count="1">
    <tablePart xmlns:r="http://schemas.openxmlformats.org/officeDocument/2006/relationships" r:id="rId4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País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 ht="30" customHeight="1" s="182">
      <c r="A2" s="55" t="inlineStr">
        <is>
          <t>Honduras</t>
        </is>
      </c>
      <c r="B2" s="15" t="inlineStr">
        <is>
          <t>Asociaciones de seguridad social</t>
        </is>
      </c>
      <c r="C2" s="73" t="inlineStr">
        <is>
          <t>Asociaciones de seguridad social (entidad pública)</t>
        </is>
      </c>
      <c r="D2" s="73" t="inlineStr">
        <is>
          <t>Instituto Hondureño de Seguridad Social (IHSS)</t>
        </is>
      </c>
      <c r="E2" s="73" t="n"/>
      <c r="F2" s="73" t="inlineStr">
        <is>
          <t>Contacto institucional</t>
        </is>
      </c>
      <c r="G2" s="18" t="inlineStr">
        <is>
          <t>https://www.ihss.hn/</t>
        </is>
      </c>
      <c r="H2" s="28" t="inlineStr">
        <is>
          <t>No publicado para este canal</t>
        </is>
      </c>
      <c r="I2" s="73" t="inlineStr">
        <is>
          <t>504 2263-4621</t>
        </is>
      </c>
      <c r="J2" s="28" t="inlineStr">
        <is>
          <t>No publicado en la página de contacto consultada</t>
        </is>
      </c>
      <c r="K2" s="33" t="inlineStr">
        <is>
          <t>https://www.ihss.hn/contacto/</t>
        </is>
      </c>
      <c r="L2" s="51" t="inlineStr">
        <is>
          <t>CONFIRMADO</t>
        </is>
      </c>
      <c r="M2" s="30" t="n"/>
    </row>
    <row r="3" ht="30" customHeight="1" s="182">
      <c r="A3" s="55" t="inlineStr">
        <is>
          <t>Honduras</t>
        </is>
      </c>
      <c r="B3" s="15" t="inlineStr">
        <is>
          <t>Escuelas de gobierno y administración pública</t>
        </is>
      </c>
      <c r="C3" s="73" t="inlineStr">
        <is>
          <t>Escuelas de gobierno y administración pública</t>
        </is>
      </c>
      <c r="D3" s="73" t="inlineStr">
        <is>
          <t>Escuela de Alta Gerencia Pública (EAGP)</t>
        </is>
      </c>
      <c r="E3" s="73" t="n"/>
      <c r="F3" s="73" t="inlineStr">
        <is>
          <t>Dirección Ejecutiva (órgano previsto en el reglamento; canal directo no verificado)</t>
        </is>
      </c>
      <c r="G3" s="183" t="inlineStr">
        <is>
          <t>https://www.eagp.gob.hn/?p=1770</t>
        </is>
      </c>
      <c r="H3" s="81" t="inlineStr">
        <is>
          <t>no disponible públicamente</t>
        </is>
      </c>
      <c r="I3" s="81" t="inlineStr">
        <is>
          <t>no disponible públicamente</t>
        </is>
      </c>
      <c r="J3" s="81" t="inlineStr">
        <is>
          <t>no disponible públicamente</t>
        </is>
      </c>
      <c r="K3" s="33" t="inlineStr">
        <is>
          <t>http://www.eagp.gob.hn/</t>
        </is>
      </c>
      <c r="L3" s="186" t="inlineStr">
        <is>
          <t>VERIFICADO CON OBSERVACIONES</t>
        </is>
      </c>
      <c r="M3" s="184" t="inlineStr">
        <is>
          <t>Página caída | Auditoría 08-oct-2026: Texto movido desde web: "(enlace proporcionado, inaccesible al consultar)"</t>
        </is>
      </c>
    </row>
    <row r="4" ht="30" customHeight="1" s="182">
      <c r="A4" s="55" t="inlineStr">
        <is>
          <t>Honduras</t>
        </is>
      </c>
      <c r="B4" s="15" t="inlineStr">
        <is>
          <t>Organizaciones juveniles</t>
        </is>
      </c>
      <c r="C4" s="73" t="inlineStr">
        <is>
          <t>Organizaciones juveniles (enlace público)</t>
        </is>
      </c>
      <c r="D4" s="73" t="inlineStr">
        <is>
          <t>Instituto Nacional de la Juventud (INJUVE)</t>
        </is>
      </c>
      <c r="E4" s="73" t="n"/>
      <c r="F4" s="73" t="inlineStr">
        <is>
          <t>Dirección Técnica (consultas para participar en actividades)</t>
        </is>
      </c>
      <c r="G4" s="18" t="inlineStr">
        <is>
          <t>https://www.injuve.gob.hn/</t>
        </is>
      </c>
      <c r="H4" s="28" t="inlineStr">
        <is>
          <t>No se publica una persona de contacto para este canal</t>
        </is>
      </c>
      <c r="I4" s="73" t="inlineStr">
        <is>
          <t>504 2242-7890</t>
        </is>
      </c>
      <c r="J4" s="73" t="inlineStr">
        <is>
          <t>direcciontecnica@injuve.gob.hn</t>
        </is>
      </c>
      <c r="K4" s="183" t="inlineStr">
        <is>
          <t>https://www.injuve.gob.hn/preguntas</t>
        </is>
      </c>
      <c r="L4" s="51" t="inlineStr">
        <is>
          <t>CONFIRMADO</t>
        </is>
      </c>
      <c r="M4" s="184" t="inlineStr">
        <is>
          <t>Auditoría 08-oct-2026: Texto movido desde fuente: "| https://www.injuve.gob.hn/"</t>
        </is>
      </c>
    </row>
    <row r="5" ht="30" customHeight="1" s="182">
      <c r="A5" s="55" t="inlineStr">
        <is>
          <t>Honduras</t>
        </is>
      </c>
      <c r="B5" s="15" t="inlineStr">
        <is>
          <t>Universidades públicas</t>
        </is>
      </c>
      <c r="C5" s="73" t="inlineStr">
        <is>
          <t>Universidades públicas</t>
        </is>
      </c>
      <c r="D5" s="73" t="inlineStr">
        <is>
          <t>Universidad Nacional Autónoma de Honduras (UNAH)</t>
        </is>
      </c>
      <c r="E5" s="73" t="n"/>
      <c r="F5" s="73" t="inlineStr">
        <is>
          <t>Atención institucional</t>
        </is>
      </c>
      <c r="G5" s="18" t="inlineStr">
        <is>
          <t>https://www.unah.edu.hn/</t>
        </is>
      </c>
      <c r="H5" s="28" t="inlineStr">
        <is>
          <t xml:space="preserve">No disponible públicamente </t>
        </is>
      </c>
      <c r="I5" s="73" t="inlineStr">
        <is>
          <t>504 2216-6100 / 2216-5100 / 2216-3000 / 2216-7000</t>
        </is>
      </c>
      <c r="J5" s="73" t="inlineStr">
        <is>
          <t>info@unah.edu.hn</t>
        </is>
      </c>
      <c r="K5" s="183" t="inlineStr">
        <is>
          <t>https://des.unah.edu.hn/sistema-de-educacion-superior/instituciones/publicas/</t>
        </is>
      </c>
      <c r="L5" s="51" t="inlineStr">
        <is>
          <t>CONFIRMADO</t>
        </is>
      </c>
      <c r="M5" s="184" t="inlineStr">
        <is>
          <t>Auditoría 08-oct-2026: Texto movido desde fuente: "| https://www.unah.edu.hn/"</t>
        </is>
      </c>
    </row>
    <row r="6" ht="30" customHeight="1" s="182">
      <c r="A6" s="55" t="inlineStr">
        <is>
          <t>Honduras</t>
        </is>
      </c>
      <c r="B6" s="15" t="inlineStr">
        <is>
          <t>Universidades públicas</t>
        </is>
      </c>
      <c r="C6" s="73" t="inlineStr">
        <is>
          <t>Universidades públicas</t>
        </is>
      </c>
      <c r="D6" s="73" t="inlineStr">
        <is>
          <t>Universidad Pedagógica Nacional Francisco Morazán (UPNFM)</t>
        </is>
      </c>
      <c r="E6" s="73" t="n"/>
      <c r="F6" s="73" t="inlineStr">
        <is>
          <t>Atención institucional</t>
        </is>
      </c>
      <c r="G6" s="18" t="inlineStr">
        <is>
          <t>https://www.upnfm.edu.hn/</t>
        </is>
      </c>
      <c r="H6" s="28" t="inlineStr">
        <is>
          <t xml:space="preserve">No disponible públicamente </t>
        </is>
      </c>
      <c r="I6" s="73" t="inlineStr">
        <is>
          <t>504 2239-8842 / 2235-8349 / 2239-8002 / 2235-6062</t>
        </is>
      </c>
      <c r="J6" s="183" t="inlineStr">
        <is>
          <t>info@upnfm.edu.hn</t>
        </is>
      </c>
      <c r="K6" s="18" t="inlineStr">
        <is>
          <t>https://www.upnfm.edu.hn/</t>
        </is>
      </c>
      <c r="L6" s="51" t="inlineStr">
        <is>
          <t>CONFIRMADO</t>
        </is>
      </c>
      <c r="M6" s="30" t="n"/>
    </row>
    <row r="7" ht="30" customHeight="1" s="182">
      <c r="A7" s="55" t="inlineStr">
        <is>
          <t>Honduras</t>
        </is>
      </c>
      <c r="B7" s="15" t="inlineStr">
        <is>
          <t>Universidades públicas</t>
        </is>
      </c>
      <c r="C7" s="73" t="inlineStr">
        <is>
          <t>Universidades públicas</t>
        </is>
      </c>
      <c r="D7" s="73" t="inlineStr">
        <is>
          <t>Universidad Nacional de Agricultura (UNAG)</t>
        </is>
      </c>
      <c r="E7" s="73" t="n"/>
      <c r="F7" s="73" t="inlineStr">
        <is>
          <t>Atención institucional</t>
        </is>
      </c>
      <c r="G7" s="18" t="inlineStr">
        <is>
          <t>https://unag.edu.hn/</t>
        </is>
      </c>
      <c r="H7" s="28" t="inlineStr">
        <is>
          <t xml:space="preserve">No disponible públicamente </t>
        </is>
      </c>
      <c r="I7" s="28" t="inlineStr">
        <is>
          <t xml:space="preserve">No disponible públicamente </t>
        </is>
      </c>
      <c r="J7" s="73" t="inlineStr">
        <is>
          <t>info@unag.edu.hn</t>
        </is>
      </c>
      <c r="K7" s="18" t="inlineStr">
        <is>
          <t>https://unag.edu.hn/</t>
        </is>
      </c>
      <c r="L7" s="51" t="inlineStr">
        <is>
          <t>CONFIRMADO</t>
        </is>
      </c>
      <c r="M7" s="30" t="n"/>
    </row>
    <row r="8" ht="30" customHeight="1" s="182">
      <c r="A8" s="55" t="inlineStr">
        <is>
          <t>Honduras</t>
        </is>
      </c>
      <c r="B8" s="15" t="inlineStr">
        <is>
          <t>Universidades públicas</t>
        </is>
      </c>
      <c r="C8" s="73" t="inlineStr">
        <is>
          <t>Universidades públicas</t>
        </is>
      </c>
      <c r="D8" s="73" t="inlineStr">
        <is>
          <t>Universidad de Defensa de Honduras (UDH)</t>
        </is>
      </c>
      <c r="E8" s="73" t="n"/>
      <c r="F8" s="73" t="inlineStr">
        <is>
          <t>Admisiones</t>
        </is>
      </c>
      <c r="G8" s="18" t="inlineStr">
        <is>
          <t>https://udh.edu.hn/</t>
        </is>
      </c>
      <c r="H8" s="28" t="inlineStr">
        <is>
          <t xml:space="preserve">No disponible públicamente </t>
        </is>
      </c>
      <c r="I8" s="73" t="inlineStr">
        <is>
          <t>504 8751-9740</t>
        </is>
      </c>
      <c r="J8" s="73" t="inlineStr">
        <is>
          <t>admisiones@udh.edu.hn/ dci@udh.edu.hn</t>
        </is>
      </c>
      <c r="K8" s="33" t="inlineStr">
        <is>
          <t>https://udh.edu.hn/</t>
        </is>
      </c>
      <c r="L8" s="51" t="inlineStr">
        <is>
          <t>CONFIRMADO</t>
        </is>
      </c>
      <c r="M8" s="30" t="n"/>
    </row>
    <row r="9" ht="30" customHeight="1" s="182">
      <c r="A9" s="55" t="inlineStr">
        <is>
          <t>Honduras</t>
        </is>
      </c>
      <c r="B9" s="15" t="inlineStr">
        <is>
          <t>Universidades públicas</t>
        </is>
      </c>
      <c r="C9" s="73" t="inlineStr">
        <is>
          <t>Universidades públicas</t>
        </is>
      </c>
      <c r="D9" s="73" t="inlineStr">
        <is>
          <t>Universidad Nacional de Ciencias Forestales (UNACIFOR)</t>
        </is>
      </c>
      <c r="E9" s="73" t="n"/>
      <c r="F9" s="73" t="inlineStr">
        <is>
          <t>Admisiones</t>
        </is>
      </c>
      <c r="G9" s="18" t="inlineStr">
        <is>
          <t>https://unacifor.edu.hn/</t>
        </is>
      </c>
      <c r="H9" s="28" t="inlineStr">
        <is>
          <t xml:space="preserve">No disponible públicamente </t>
        </is>
      </c>
      <c r="I9" s="73" t="inlineStr">
        <is>
          <t>504 2758-0630</t>
        </is>
      </c>
      <c r="J9" s="73" t="inlineStr">
        <is>
          <t>dir.protocoloycomunicaciones@unacifor.edu.hn/ secretaria_registro@unacifor.edu.hn</t>
        </is>
      </c>
      <c r="K9" s="18" t="inlineStr">
        <is>
          <t>https://unacifor.edu.hn/</t>
        </is>
      </c>
      <c r="L9" s="51" t="inlineStr">
        <is>
          <t>CONFIRMADO</t>
        </is>
      </c>
      <c r="M9" s="30" t="n"/>
    </row>
    <row r="10" ht="30" customHeight="1" s="182">
      <c r="A10" s="55" t="inlineStr">
        <is>
          <t>Honduras</t>
        </is>
      </c>
      <c r="B10" s="15" t="inlineStr">
        <is>
          <t>Universidades públicas</t>
        </is>
      </c>
      <c r="C10" s="73" t="inlineStr">
        <is>
          <t>Universidades públicas</t>
        </is>
      </c>
      <c r="D10" s="73" t="inlineStr">
        <is>
          <t>Universidad Nacional de la Policía de Honduras (UNPH)</t>
        </is>
      </c>
      <c r="E10" s="73" t="n"/>
      <c r="F10" s="73" t="inlineStr">
        <is>
          <t>Información de posgrados / admisiones</t>
        </is>
      </c>
      <c r="G10" s="18" t="inlineStr">
        <is>
          <t>https://unph.edu.hn/</t>
        </is>
      </c>
      <c r="H10" s="28" t="inlineStr">
        <is>
          <t xml:space="preserve">No disponible públicamente </t>
        </is>
      </c>
      <c r="I10" s="28" t="inlineStr">
        <is>
          <t xml:space="preserve">No disponible públicamente </t>
        </is>
      </c>
      <c r="J10" s="28" t="inlineStr">
        <is>
          <t xml:space="preserve">No disponible públicamente </t>
        </is>
      </c>
      <c r="K10" s="18" t="inlineStr">
        <is>
          <t>https://unph.edu.hn/</t>
        </is>
      </c>
      <c r="L10" s="186" t="inlineStr">
        <is>
          <t>VERIFICADO CON OBSERVACIONES</t>
        </is>
      </c>
      <c r="M10" s="30" t="inlineStr">
        <is>
          <t xml:space="preserve">Página caída </t>
        </is>
      </c>
    </row>
    <row r="11" ht="30" customHeight="1" s="182"/>
    <row r="12" ht="15.75" customHeight="1" s="182"/>
    <row r="13" ht="15.75" customHeight="1" s="182"/>
    <row r="14" ht="15.75" customHeight="1" s="182"/>
    <row r="15" ht="15.75" customHeight="1" s="182"/>
    <row r="16" ht="15.75" customHeight="1" s="182"/>
    <row r="17" ht="15.75" customHeight="1" s="182"/>
    <row r="18" ht="15.75" customHeight="1" s="182"/>
    <row r="19" ht="15.75" customHeight="1" s="182"/>
    <row r="20" ht="15.75" customHeight="1" s="182"/>
    <row r="21" ht="15.75" customHeight="1" s="182"/>
    <row r="22" ht="15.75" customHeight="1" s="182"/>
    <row r="23" ht="15.75" customHeight="1" s="182"/>
    <row r="24" ht="15.75" customHeight="1" s="182"/>
    <row r="25" ht="15.75" customHeight="1" s="182"/>
    <row r="26" ht="15.75" customHeight="1" s="182"/>
    <row r="27" ht="15.75" customHeight="1" s="182"/>
    <row r="28" ht="15.75" customHeight="1" s="182"/>
    <row r="29" ht="15.75" customHeight="1" s="182"/>
    <row r="30" ht="15.75" customHeight="1" s="182"/>
    <row r="31" ht="15.75" customHeight="1" s="182"/>
    <row r="32" ht="15.75" customHeight="1" s="182"/>
    <row r="33" ht="15.75" customHeight="1" s="182"/>
    <row r="34" ht="15.75" customHeight="1" s="182"/>
    <row r="35" ht="15.75" customHeight="1" s="182"/>
    <row r="36" ht="15.75" customHeight="1" s="182"/>
    <row r="37" ht="15.75" customHeight="1" s="182"/>
    <row r="38" ht="15.75" customHeight="1" s="182"/>
    <row r="39" ht="15.75" customHeight="1" s="182"/>
    <row r="40" ht="15.75" customHeight="1" s="182"/>
    <row r="41" ht="15.75" customHeight="1" s="182"/>
    <row r="42" ht="15.75" customHeight="1" s="182"/>
    <row r="43" ht="15.75" customHeight="1" s="182"/>
    <row r="44" ht="15.75" customHeight="1" s="182"/>
    <row r="45" ht="15.75" customHeight="1" s="182"/>
    <row r="46" ht="15.75" customHeight="1" s="182"/>
    <row r="47" ht="15.75" customHeight="1" s="182"/>
    <row r="48" ht="15.75" customHeight="1" s="182"/>
    <row r="49" ht="15.75" customHeight="1" s="182"/>
    <row r="50" ht="15.75" customHeight="1" s="182"/>
    <row r="51" ht="15.75" customHeight="1" s="182"/>
    <row r="52" ht="15.75" customHeight="1" s="182"/>
    <row r="53" ht="15.75" customHeight="1" s="182"/>
    <row r="54" ht="15.75" customHeight="1" s="182"/>
    <row r="55" ht="15.75" customHeight="1" s="182"/>
    <row r="56" ht="15.75" customHeight="1" s="182"/>
    <row r="57" ht="15.75" customHeight="1" s="182"/>
    <row r="58" ht="15.75" customHeight="1" s="182"/>
    <row r="59" ht="15.75" customHeight="1" s="182"/>
    <row r="60" ht="15.75" customHeight="1" s="182"/>
    <row r="61" ht="15.75" customHeight="1" s="182"/>
    <row r="62" ht="15.75" customHeight="1" s="182"/>
    <row r="63" ht="15.75" customHeight="1" s="182"/>
    <row r="64" ht="15.75" customHeight="1" s="182"/>
    <row r="65" ht="15.75" customHeight="1" s="182"/>
    <row r="66" ht="15.75" customHeight="1" s="182"/>
    <row r="67" ht="15.75" customHeight="1" s="182"/>
    <row r="68" ht="15.75" customHeight="1" s="182"/>
    <row r="69" ht="15.75" customHeight="1" s="182"/>
    <row r="70" ht="15.75" customHeight="1" s="182"/>
    <row r="71" ht="15.75" customHeight="1" s="182"/>
    <row r="72" ht="15.75" customHeight="1" s="182"/>
    <row r="73" ht="15.75" customHeight="1" s="182"/>
    <row r="74" ht="15.75" customHeight="1" s="182"/>
    <row r="75" ht="15.75" customHeight="1" s="182"/>
    <row r="76" ht="15.75" customHeight="1" s="182"/>
    <row r="77" ht="15.75" customHeight="1" s="182"/>
    <row r="78" ht="15.75" customHeight="1" s="182"/>
    <row r="79" ht="15.75" customHeight="1" s="182"/>
    <row r="80" ht="15.75" customHeight="1" s="182"/>
    <row r="81" ht="15.75" customHeight="1" s="182"/>
    <row r="82" ht="15.75" customHeight="1" s="182"/>
    <row r="83" ht="15.75" customHeight="1" s="182"/>
    <row r="84" ht="15.75" customHeight="1" s="182"/>
    <row r="85" ht="15.75" customHeight="1" s="182"/>
    <row r="86" ht="15.75" customHeight="1" s="182"/>
    <row r="87" ht="15.75" customHeight="1" s="182"/>
    <row r="88" ht="15.75" customHeight="1" s="182"/>
    <row r="89" ht="15.75" customHeight="1" s="182"/>
    <row r="90" ht="15.75" customHeight="1" s="182"/>
    <row r="91" ht="15.75" customHeight="1" s="182"/>
    <row r="92" ht="15.75" customHeight="1" s="182"/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</sheetData>
  <autoFilter ref="$A$1:$M$10"/>
  <dataValidations count="1">
    <dataValidation sqref="E2:E10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K3" r:id="rId3"/>
    <hyperlink xmlns:r="http://schemas.openxmlformats.org/officeDocument/2006/relationships" ref="G4" r:id="rId4"/>
    <hyperlink xmlns:r="http://schemas.openxmlformats.org/officeDocument/2006/relationships" ref="G5" r:id="rId5"/>
    <hyperlink xmlns:r="http://schemas.openxmlformats.org/officeDocument/2006/relationships" ref="G6" r:id="rId6"/>
    <hyperlink xmlns:r="http://schemas.openxmlformats.org/officeDocument/2006/relationships" ref="K6" r:id="rId7"/>
    <hyperlink xmlns:r="http://schemas.openxmlformats.org/officeDocument/2006/relationships" ref="G7" r:id="rId8"/>
    <hyperlink xmlns:r="http://schemas.openxmlformats.org/officeDocument/2006/relationships" ref="K7" r:id="rId9"/>
    <hyperlink xmlns:r="http://schemas.openxmlformats.org/officeDocument/2006/relationships" ref="G8" r:id="rId10"/>
    <hyperlink xmlns:r="http://schemas.openxmlformats.org/officeDocument/2006/relationships" ref="K8" r:id="rId11"/>
    <hyperlink xmlns:r="http://schemas.openxmlformats.org/officeDocument/2006/relationships" ref="G9" r:id="rId12"/>
    <hyperlink xmlns:r="http://schemas.openxmlformats.org/officeDocument/2006/relationships" ref="K9" r:id="rId13"/>
    <hyperlink xmlns:r="http://schemas.openxmlformats.org/officeDocument/2006/relationships" ref="G10" r:id="rId14"/>
    <hyperlink xmlns:r="http://schemas.openxmlformats.org/officeDocument/2006/relationships" ref="K10" r:id="rId15"/>
  </hyperlinks>
  <pageMargins left="0.75" right="0.75" top="1" bottom="1" header="0" footer="0"/>
  <pageSetup orientation="landscape"/>
  <tableParts count="1">
    <tablePart xmlns:r="http://schemas.openxmlformats.org/officeDocument/2006/relationships" r:id="rId16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País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>Notas de revisión)</t>
        </is>
      </c>
    </row>
    <row r="2" ht="30" customHeight="1" s="182">
      <c r="A2" s="42" t="inlineStr">
        <is>
          <t>Panamá</t>
        </is>
      </c>
      <c r="B2" s="15" t="inlineStr">
        <is>
          <t>Asociaciones de seguridad social</t>
        </is>
      </c>
      <c r="C2" s="73" t="inlineStr">
        <is>
          <t xml:space="preserve">Caja de seguro social principal </t>
        </is>
      </c>
      <c r="D2" s="73" t="inlineStr">
        <is>
          <t>Caja de Seguro Social (CSS)</t>
        </is>
      </c>
      <c r="E2" s="73" t="n"/>
      <c r="F2" s="28" t="inlineStr">
        <is>
          <t>No disponible en fuente oficial</t>
        </is>
      </c>
      <c r="G2" s="18" t="inlineStr">
        <is>
          <t>https://www.css.gob.pa/contacto/</t>
        </is>
      </c>
      <c r="H2" s="28" t="inlineStr">
        <is>
          <t>No disponible en fuente oficial</t>
        </is>
      </c>
      <c r="I2" s="73" t="inlineStr">
        <is>
          <t>6997 2539</t>
        </is>
      </c>
      <c r="J2" s="28" t="inlineStr">
        <is>
          <t>No disponible en fuente oficial</t>
        </is>
      </c>
      <c r="K2" s="18" t="inlineStr">
        <is>
          <t>https://www.css.gob.pa/contacto/</t>
        </is>
      </c>
      <c r="L2" s="51" t="inlineStr">
        <is>
          <t>CONFIRMADO</t>
        </is>
      </c>
      <c r="M2" s="30" t="n"/>
    </row>
    <row r="3" ht="30" customHeight="1" s="182">
      <c r="A3" s="42" t="inlineStr">
        <is>
          <t>Panamá</t>
        </is>
      </c>
      <c r="B3" s="15" t="inlineStr">
        <is>
          <t>Formación técnica pública</t>
        </is>
      </c>
      <c r="C3" s="73" t="inlineStr">
        <is>
          <t>INADEH</t>
        </is>
      </c>
      <c r="D3" s="73" t="inlineStr">
        <is>
          <t>INADEH – Centro de Formación Changuinola</t>
        </is>
      </c>
      <c r="E3" s="73" t="n"/>
      <c r="F3" s="73" t="inlineStr">
        <is>
          <t>Centro de formación / atención al público</t>
        </is>
      </c>
      <c r="G3" s="18" t="inlineStr">
        <is>
          <t>https://www.inadeh.edu.pa/</t>
        </is>
      </c>
      <c r="H3" s="28" t="inlineStr">
        <is>
          <t>No disponible en fuente oficial</t>
        </is>
      </c>
      <c r="I3" s="73" t="inlineStr">
        <is>
          <t>750-0781</t>
        </is>
      </c>
      <c r="J3" s="28" t="inlineStr">
        <is>
          <t>No disponible en fuente oficial</t>
        </is>
      </c>
      <c r="K3" s="18" t="inlineStr">
        <is>
          <t>https://www.inadeh.edu.pa/</t>
        </is>
      </c>
      <c r="L3" s="51" t="inlineStr">
        <is>
          <t>CONFIRMADO</t>
        </is>
      </c>
      <c r="M3" s="30" t="n"/>
    </row>
    <row r="4" ht="30" customHeight="1" s="182">
      <c r="A4" s="42" t="inlineStr">
        <is>
          <t>Panamá</t>
        </is>
      </c>
      <c r="B4" s="15" t="inlineStr">
        <is>
          <t>Formación técnica pública</t>
        </is>
      </c>
      <c r="C4" s="73" t="inlineStr">
        <is>
          <t>INADEH</t>
        </is>
      </c>
      <c r="D4" s="73" t="inlineStr">
        <is>
          <t>INADEH – Centro de Formación Chiriquí Grande</t>
        </is>
      </c>
      <c r="E4" s="73" t="n"/>
      <c r="F4" s="73" t="inlineStr">
        <is>
          <t>Centro de formación / atención al público</t>
        </is>
      </c>
      <c r="G4" s="18" t="inlineStr">
        <is>
          <t>https://www.inadeh.edu.pa/</t>
        </is>
      </c>
      <c r="H4" s="28" t="inlineStr">
        <is>
          <t>No disponible en fuente oficial</t>
        </is>
      </c>
      <c r="I4" s="73" t="inlineStr">
        <is>
          <t>750-1010</t>
        </is>
      </c>
      <c r="J4" s="28" t="inlineStr">
        <is>
          <t>No disponible en fuente oficial</t>
        </is>
      </c>
      <c r="K4" s="18" t="inlineStr">
        <is>
          <t>https://www.inadeh.edu.pa/</t>
        </is>
      </c>
      <c r="L4" s="51" t="inlineStr">
        <is>
          <t>CONFIRMADO</t>
        </is>
      </c>
      <c r="M4" s="30" t="n"/>
    </row>
    <row r="5" ht="30" customHeight="1" s="182">
      <c r="A5" s="42" t="inlineStr">
        <is>
          <t>Panamá</t>
        </is>
      </c>
      <c r="B5" s="15" t="inlineStr">
        <is>
          <t>Formación técnica pública</t>
        </is>
      </c>
      <c r="C5" s="73" t="inlineStr">
        <is>
          <t>INADEH</t>
        </is>
      </c>
      <c r="D5" s="73" t="inlineStr">
        <is>
          <t>INADEH – Centro de Formación David</t>
        </is>
      </c>
      <c r="E5" s="73" t="n"/>
      <c r="F5" s="73" t="inlineStr">
        <is>
          <t>Centro de formación / atención al público</t>
        </is>
      </c>
      <c r="G5" s="18" t="inlineStr">
        <is>
          <t>https://www.inadeh.edu.pa/</t>
        </is>
      </c>
      <c r="H5" s="28" t="inlineStr">
        <is>
          <t>No disponible en fuente oficial</t>
        </is>
      </c>
      <c r="I5" s="73" t="inlineStr">
        <is>
          <t>728-1953</t>
        </is>
      </c>
      <c r="J5" s="28" t="inlineStr">
        <is>
          <t>No disponible en fuente oficial</t>
        </is>
      </c>
      <c r="K5" s="18" t="inlineStr">
        <is>
          <t>https://www.inadeh.edu.pa/</t>
        </is>
      </c>
      <c r="L5" s="51" t="inlineStr">
        <is>
          <t>CONFIRMADO</t>
        </is>
      </c>
      <c r="M5" s="30" t="n"/>
    </row>
    <row r="6" ht="30" customHeight="1" s="182">
      <c r="A6" s="42" t="inlineStr">
        <is>
          <t>Panamá</t>
        </is>
      </c>
      <c r="B6" s="15" t="inlineStr">
        <is>
          <t>Formación técnica pública</t>
        </is>
      </c>
      <c r="C6" s="73" t="inlineStr">
        <is>
          <t>INADEH</t>
        </is>
      </c>
      <c r="D6" s="73" t="inlineStr">
        <is>
          <t>INADEH – Centro de Formación Santa Marta</t>
        </is>
      </c>
      <c r="E6" s="73" t="n"/>
      <c r="F6" s="73" t="inlineStr">
        <is>
          <t>Centro de formación / atención al público</t>
        </is>
      </c>
      <c r="G6" s="18" t="inlineStr">
        <is>
          <t>https://www.inadeh.edu.pa/</t>
        </is>
      </c>
      <c r="H6" s="28" t="inlineStr">
        <is>
          <t>No disponible en fuente oficial</t>
        </is>
      </c>
      <c r="I6" s="73" t="inlineStr">
        <is>
          <t>728-0334</t>
        </is>
      </c>
      <c r="J6" s="28" t="inlineStr">
        <is>
          <t>No disponible en fuente oficial</t>
        </is>
      </c>
      <c r="K6" s="18" t="inlineStr">
        <is>
          <t>https://www.inadeh.edu.pa/</t>
        </is>
      </c>
      <c r="L6" s="51" t="inlineStr">
        <is>
          <t>CONFIRMADO</t>
        </is>
      </c>
      <c r="M6" s="30" t="n"/>
    </row>
    <row r="7" ht="30" customHeight="1" s="182">
      <c r="A7" s="42" t="inlineStr">
        <is>
          <t>Panamá</t>
        </is>
      </c>
      <c r="B7" s="15" t="inlineStr">
        <is>
          <t>Formación técnica pública</t>
        </is>
      </c>
      <c r="C7" s="73" t="inlineStr">
        <is>
          <t>INADEH</t>
        </is>
      </c>
      <c r="D7" s="73" t="inlineStr">
        <is>
          <t>INADEH – Centro de Formación Las Lajas</t>
        </is>
      </c>
      <c r="E7" s="73" t="n"/>
      <c r="F7" s="73" t="inlineStr">
        <is>
          <t>Centro de formación / atención al público</t>
        </is>
      </c>
      <c r="G7" s="18" t="inlineStr">
        <is>
          <t>https://www.inadeh.edu.pa/</t>
        </is>
      </c>
      <c r="H7" s="28" t="inlineStr">
        <is>
          <t>No disponible en fuente oficial</t>
        </is>
      </c>
      <c r="I7" s="73" t="inlineStr">
        <is>
          <t>728-0811</t>
        </is>
      </c>
      <c r="J7" s="28" t="inlineStr">
        <is>
          <t>No disponible en fuente oficial</t>
        </is>
      </c>
      <c r="K7" s="18" t="inlineStr">
        <is>
          <t>https://www.inadeh.edu.pa/</t>
        </is>
      </c>
      <c r="L7" s="51" t="inlineStr">
        <is>
          <t>CONFIRMADO</t>
        </is>
      </c>
      <c r="M7" s="30" t="n"/>
    </row>
    <row r="8" ht="30" customHeight="1" s="182">
      <c r="A8" s="42" t="inlineStr">
        <is>
          <t>Panamá</t>
        </is>
      </c>
      <c r="B8" s="15" t="inlineStr">
        <is>
          <t>Formación técnica pública</t>
        </is>
      </c>
      <c r="C8" s="73" t="inlineStr">
        <is>
          <t>INADEH</t>
        </is>
      </c>
      <c r="D8" s="73" t="inlineStr">
        <is>
          <t>INADEH – Centro de Formación Penonomé</t>
        </is>
      </c>
      <c r="E8" s="73" t="n"/>
      <c r="F8" s="73" t="inlineStr">
        <is>
          <t>Centro de formación / atención al público</t>
        </is>
      </c>
      <c r="G8" s="18" t="inlineStr">
        <is>
          <t>https://www.inadeh.edu.pa/</t>
        </is>
      </c>
      <c r="H8" s="28" t="inlineStr">
        <is>
          <t>No disponible en fuente oficial</t>
        </is>
      </c>
      <c r="I8" s="73" t="inlineStr">
        <is>
          <t>906-0527</t>
        </is>
      </c>
      <c r="J8" s="28" t="inlineStr">
        <is>
          <t>No disponible en fuente oficial</t>
        </is>
      </c>
      <c r="K8" s="18" t="inlineStr">
        <is>
          <t>https://www.inadeh.edu.pa/</t>
        </is>
      </c>
      <c r="L8" s="51" t="inlineStr">
        <is>
          <t>CONFIRMADO</t>
        </is>
      </c>
      <c r="M8" s="30" t="n"/>
    </row>
    <row r="9" ht="30" customHeight="1" s="182">
      <c r="A9" s="42" t="inlineStr">
        <is>
          <t>Panamá</t>
        </is>
      </c>
      <c r="B9" s="15" t="inlineStr">
        <is>
          <t>Formación técnica pública</t>
        </is>
      </c>
      <c r="C9" s="73" t="inlineStr">
        <is>
          <t>INADEH</t>
        </is>
      </c>
      <c r="D9" s="73" t="inlineStr">
        <is>
          <t>INADEH – Centro de Formación Guna Yala – Isla Mirya</t>
        </is>
      </c>
      <c r="E9" s="73" t="n"/>
      <c r="F9" s="73" t="inlineStr">
        <is>
          <t>Centro de formación / atención al público</t>
        </is>
      </c>
      <c r="G9" s="18" t="inlineStr">
        <is>
          <t>https://www.inadeh.edu.pa/</t>
        </is>
      </c>
      <c r="H9" s="28" t="inlineStr">
        <is>
          <t>No disponible en fuente oficial</t>
        </is>
      </c>
      <c r="I9" s="73" t="inlineStr">
        <is>
          <t>6121-0796</t>
        </is>
      </c>
      <c r="J9" s="28" t="inlineStr">
        <is>
          <t>No disponible en fuente oficial</t>
        </is>
      </c>
      <c r="K9" s="18" t="inlineStr">
        <is>
          <t>https://www.inadeh.edu.pa/</t>
        </is>
      </c>
      <c r="L9" s="51" t="inlineStr">
        <is>
          <t>CONFIRMADO</t>
        </is>
      </c>
      <c r="M9" s="30" t="n"/>
    </row>
    <row r="10" ht="30" customHeight="1" s="182">
      <c r="A10" s="42" t="inlineStr">
        <is>
          <t>Panamá</t>
        </is>
      </c>
      <c r="B10" s="15" t="inlineStr">
        <is>
          <t>Formación técnica pública</t>
        </is>
      </c>
      <c r="C10" s="73" t="inlineStr">
        <is>
          <t>INADEH</t>
        </is>
      </c>
      <c r="D10" s="73" t="inlineStr">
        <is>
          <t>INADEH – Centro de Formación Ngäbe Buglé</t>
        </is>
      </c>
      <c r="E10" s="73" t="n"/>
      <c r="F10" s="73" t="inlineStr">
        <is>
          <t>Centro de formación / atención al público</t>
        </is>
      </c>
      <c r="G10" s="18" t="inlineStr">
        <is>
          <t>https://www.inadeh.edu.pa/</t>
        </is>
      </c>
      <c r="H10" s="28" t="inlineStr">
        <is>
          <t>No disponible en fuente oficial</t>
        </is>
      </c>
      <c r="I10" s="73" t="inlineStr">
        <is>
          <t>538-2497</t>
        </is>
      </c>
      <c r="J10" s="28" t="inlineStr">
        <is>
          <t>No publicado (formulario web disponible)</t>
        </is>
      </c>
      <c r="K10" s="18" t="inlineStr">
        <is>
          <t>https://www.inadeh.edu.pa/</t>
        </is>
      </c>
      <c r="L10" s="51" t="inlineStr">
        <is>
          <t>CONFIRMADO</t>
        </is>
      </c>
      <c r="M10" s="30" t="n"/>
    </row>
    <row r="11" ht="30" customHeight="1" s="182">
      <c r="A11" s="42" t="inlineStr">
        <is>
          <t>Panamá</t>
        </is>
      </c>
      <c r="B11" s="15" t="inlineStr">
        <is>
          <t>Formación técnica pública</t>
        </is>
      </c>
      <c r="C11" s="73" t="inlineStr">
        <is>
          <t>INADEH</t>
        </is>
      </c>
      <c r="D11" s="73" t="inlineStr">
        <is>
          <t>INADEH – Centro de Formación Sagrada Resurrección</t>
        </is>
      </c>
      <c r="E11" s="73" t="n"/>
      <c r="F11" s="73" t="inlineStr">
        <is>
          <t>Centro de formación / atención al público</t>
        </is>
      </c>
      <c r="G11" s="18" t="inlineStr">
        <is>
          <t>https://www.inadeh.edu.pa/</t>
        </is>
      </c>
      <c r="H11" s="28" t="inlineStr">
        <is>
          <t>No disponible en fuente oficial</t>
        </is>
      </c>
      <c r="I11" s="73" t="inlineStr">
        <is>
          <t>475-5114</t>
        </is>
      </c>
      <c r="J11" s="28" t="inlineStr">
        <is>
          <t>No publicado (formulario web disponible)</t>
        </is>
      </c>
      <c r="K11" s="18" t="inlineStr">
        <is>
          <t>https://www.inadeh.edu.pa/</t>
        </is>
      </c>
      <c r="L11" s="51" t="inlineStr">
        <is>
          <t>CONFIRMADO</t>
        </is>
      </c>
      <c r="M11" s="30" t="n"/>
    </row>
    <row r="12" ht="30" customHeight="1" s="182">
      <c r="A12" s="42" t="inlineStr">
        <is>
          <t>Panamá</t>
        </is>
      </c>
      <c r="B12" s="15" t="inlineStr">
        <is>
          <t>Formación técnica pública</t>
        </is>
      </c>
      <c r="C12" s="73" t="inlineStr">
        <is>
          <t>INADEH</t>
        </is>
      </c>
      <c r="D12" s="73" t="inlineStr">
        <is>
          <t>INADEH – Centro de Formación Arimae</t>
        </is>
      </c>
      <c r="E12" s="73" t="n"/>
      <c r="F12" s="73" t="inlineStr">
        <is>
          <t>Centro de formación / atención al público</t>
        </is>
      </c>
      <c r="G12" s="18" t="inlineStr">
        <is>
          <t>https://www.inadeh.edu.pa/</t>
        </is>
      </c>
      <c r="H12" s="28" t="inlineStr">
        <is>
          <t>No disponible en fuente oficial</t>
        </is>
      </c>
      <c r="I12" s="73" t="inlineStr">
        <is>
          <t>278-0142</t>
        </is>
      </c>
      <c r="J12" s="28" t="inlineStr">
        <is>
          <t>No publicado (formulario web disponible)</t>
        </is>
      </c>
      <c r="K12" s="18" t="inlineStr">
        <is>
          <t>https://www.inadeh.edu.pa/</t>
        </is>
      </c>
      <c r="L12" s="51" t="inlineStr">
        <is>
          <t>CONFIRMADO</t>
        </is>
      </c>
      <c r="M12" s="30" t="n"/>
    </row>
    <row r="13" ht="30" customHeight="1" s="182">
      <c r="A13" s="42" t="inlineStr">
        <is>
          <t>Panamá</t>
        </is>
      </c>
      <c r="B13" s="15" t="inlineStr">
        <is>
          <t>Formación técnica pública</t>
        </is>
      </c>
      <c r="C13" s="73" t="inlineStr">
        <is>
          <t>INADEH</t>
        </is>
      </c>
      <c r="D13" s="73" t="inlineStr">
        <is>
          <t>INADEH – Centro de Formación Chitré</t>
        </is>
      </c>
      <c r="E13" s="73" t="n"/>
      <c r="F13" s="73" t="inlineStr">
        <is>
          <t>Centro de formación / atención al público</t>
        </is>
      </c>
      <c r="G13" s="18" t="inlineStr">
        <is>
          <t>https://www.inadeh.edu.pa/</t>
        </is>
      </c>
      <c r="H13" s="28" t="inlineStr">
        <is>
          <t>No disponible en fuente oficial</t>
        </is>
      </c>
      <c r="I13" s="73" t="inlineStr">
        <is>
          <t>913-0239/28</t>
        </is>
      </c>
      <c r="J13" s="28" t="inlineStr">
        <is>
          <t>No publicado (formulario web disponible)</t>
        </is>
      </c>
      <c r="K13" s="18" t="inlineStr">
        <is>
          <t>https://www.inadeh.edu.pa/</t>
        </is>
      </c>
      <c r="L13" s="51" t="inlineStr">
        <is>
          <t>CONFIRMADO</t>
        </is>
      </c>
      <c r="M13" s="30" t="n"/>
    </row>
    <row r="14" ht="30" customHeight="1" s="182">
      <c r="A14" s="42" t="inlineStr">
        <is>
          <t>Panamá</t>
        </is>
      </c>
      <c r="B14" s="15" t="inlineStr">
        <is>
          <t>Formación técnica pública</t>
        </is>
      </c>
      <c r="C14" s="73" t="inlineStr">
        <is>
          <t>INADEH</t>
        </is>
      </c>
      <c r="D14" s="73" t="inlineStr">
        <is>
          <t>INADEH – Centro de Formación Pesé</t>
        </is>
      </c>
      <c r="E14" s="73" t="n"/>
      <c r="F14" s="73" t="inlineStr">
        <is>
          <t>Centro de formación / atención al público</t>
        </is>
      </c>
      <c r="G14" s="18" t="inlineStr">
        <is>
          <t>https://www.inadeh.edu.pa/</t>
        </is>
      </c>
      <c r="H14" s="28" t="inlineStr">
        <is>
          <t>No disponible en fuente oficial</t>
        </is>
      </c>
      <c r="I14" s="73" t="inlineStr">
        <is>
          <t>913-0246</t>
        </is>
      </c>
      <c r="J14" s="28" t="inlineStr">
        <is>
          <t>No publicado (formulario web disponible)</t>
        </is>
      </c>
      <c r="K14" s="18" t="inlineStr">
        <is>
          <t>https://www.inadeh.edu.pa/</t>
        </is>
      </c>
      <c r="L14" s="51" t="inlineStr">
        <is>
          <t>CONFIRMADO</t>
        </is>
      </c>
      <c r="M14" s="30" t="n"/>
    </row>
    <row r="15" ht="30" customHeight="1" s="182">
      <c r="A15" s="42" t="inlineStr">
        <is>
          <t>Panamá</t>
        </is>
      </c>
      <c r="B15" s="15" t="inlineStr">
        <is>
          <t>Formación técnica pública</t>
        </is>
      </c>
      <c r="C15" s="73" t="inlineStr">
        <is>
          <t>INADEH</t>
        </is>
      </c>
      <c r="D15" s="73" t="inlineStr">
        <is>
          <t>INADEH – Centro de Formación Guararé</t>
        </is>
      </c>
      <c r="E15" s="73" t="n"/>
      <c r="F15" s="73" t="inlineStr">
        <is>
          <t>Centro de formación / atención al público</t>
        </is>
      </c>
      <c r="G15" s="18" t="inlineStr">
        <is>
          <t>https://www.inadeh.edu.pa/</t>
        </is>
      </c>
      <c r="H15" s="28" t="inlineStr">
        <is>
          <t>No disponible en fuente oficial</t>
        </is>
      </c>
      <c r="I15" s="73" t="inlineStr">
        <is>
          <t>926-0219</t>
        </is>
      </c>
      <c r="J15" s="28" t="inlineStr">
        <is>
          <t>No publicado (formulario web disponible)</t>
        </is>
      </c>
      <c r="K15" s="18" t="inlineStr">
        <is>
          <t>https://www.inadeh.edu.pa/</t>
        </is>
      </c>
      <c r="L15" s="51" t="inlineStr">
        <is>
          <t>CONFIRMADO</t>
        </is>
      </c>
      <c r="M15" s="30" t="n"/>
    </row>
    <row r="16" ht="30" customHeight="1" s="182">
      <c r="A16" s="42" t="inlineStr">
        <is>
          <t>Panamá</t>
        </is>
      </c>
      <c r="B16" s="15" t="inlineStr">
        <is>
          <t>Formación técnica pública</t>
        </is>
      </c>
      <c r="C16" s="73" t="inlineStr">
        <is>
          <t>INADEH</t>
        </is>
      </c>
      <c r="D16" s="73" t="inlineStr">
        <is>
          <t>INADEH – Centro de Formación La Chorrera</t>
        </is>
      </c>
      <c r="E16" s="73" t="n"/>
      <c r="F16" s="73" t="inlineStr">
        <is>
          <t>Centro de formación / atención al público</t>
        </is>
      </c>
      <c r="G16" s="18" t="inlineStr">
        <is>
          <t>https://www.inadeh.edu.pa/</t>
        </is>
      </c>
      <c r="H16" s="28" t="inlineStr">
        <is>
          <t>No disponible en fuente oficial</t>
        </is>
      </c>
      <c r="I16" s="73" t="inlineStr">
        <is>
          <t>346-0106</t>
        </is>
      </c>
      <c r="J16" s="28" t="inlineStr">
        <is>
          <t>No publicado (formulario web disponible)</t>
        </is>
      </c>
      <c r="K16" s="18" t="inlineStr">
        <is>
          <t>https://www.inadeh.edu.pa/</t>
        </is>
      </c>
      <c r="L16" s="51" t="inlineStr">
        <is>
          <t>CONFIRMADO</t>
        </is>
      </c>
      <c r="M16" s="30" t="n"/>
    </row>
    <row r="17" ht="30" customHeight="1" s="182">
      <c r="A17" s="42" t="inlineStr">
        <is>
          <t>Panamá</t>
        </is>
      </c>
      <c r="B17" s="15" t="inlineStr">
        <is>
          <t>Formación técnica pública</t>
        </is>
      </c>
      <c r="C17" s="73" t="inlineStr">
        <is>
          <t>INADEH</t>
        </is>
      </c>
      <c r="D17" s="73" t="inlineStr">
        <is>
          <t>INADEH – Centro de Formación Tocumen</t>
        </is>
      </c>
      <c r="E17" s="73" t="n"/>
      <c r="F17" s="73" t="inlineStr">
        <is>
          <t>Centro de formación / atención al público</t>
        </is>
      </c>
      <c r="G17" s="18" t="inlineStr">
        <is>
          <t>https://www.inadeh.edu.pa/</t>
        </is>
      </c>
      <c r="H17" s="28" t="inlineStr">
        <is>
          <t>No disponible en fuente oficial</t>
        </is>
      </c>
      <c r="I17" s="73" t="inlineStr">
        <is>
          <t>538-2300</t>
        </is>
      </c>
      <c r="J17" s="28" t="inlineStr">
        <is>
          <t>No publicado (formulario web disponible)</t>
        </is>
      </c>
      <c r="K17" s="18" t="inlineStr">
        <is>
          <t>https://www.inadeh.edu.pa/</t>
        </is>
      </c>
      <c r="L17" s="51" t="inlineStr">
        <is>
          <t>CONFIRMADO</t>
        </is>
      </c>
      <c r="M17" s="30" t="n"/>
    </row>
    <row r="18" ht="30" customHeight="1" s="182">
      <c r="A18" s="42" t="inlineStr">
        <is>
          <t>Panamá</t>
        </is>
      </c>
      <c r="B18" s="15" t="inlineStr">
        <is>
          <t>Formación técnica pública</t>
        </is>
      </c>
      <c r="C18" s="73" t="inlineStr">
        <is>
          <t>INADEH</t>
        </is>
      </c>
      <c r="D18" s="73" t="inlineStr">
        <is>
          <t>INADEH – Centro de Formación Los Pueblos</t>
        </is>
      </c>
      <c r="E18" s="73" t="n"/>
      <c r="F18" s="73" t="inlineStr">
        <is>
          <t>Centro de formación / atención al público</t>
        </is>
      </c>
      <c r="G18" s="18" t="inlineStr">
        <is>
          <t>https://www.inadeh.edu.pa/</t>
        </is>
      </c>
      <c r="H18" s="28" t="inlineStr">
        <is>
          <t>No disponible en fuente oficial</t>
        </is>
      </c>
      <c r="I18" s="73" t="inlineStr">
        <is>
          <t>538-2620</t>
        </is>
      </c>
      <c r="J18" s="28" t="inlineStr">
        <is>
          <t>No publicado (formulario web disponible)</t>
        </is>
      </c>
      <c r="K18" s="18" t="inlineStr">
        <is>
          <t>https://www.inadeh.edu.pa/</t>
        </is>
      </c>
      <c r="L18" s="51" t="inlineStr">
        <is>
          <t>CONFIRMADO</t>
        </is>
      </c>
      <c r="M18" s="30" t="n"/>
    </row>
    <row r="19" ht="30" customHeight="1" s="182">
      <c r="A19" s="42" t="inlineStr">
        <is>
          <t>Panamá</t>
        </is>
      </c>
      <c r="B19" s="15" t="inlineStr">
        <is>
          <t>Formación técnica pública</t>
        </is>
      </c>
      <c r="C19" s="73" t="inlineStr">
        <is>
          <t>INADEH</t>
        </is>
      </c>
      <c r="D19" s="73" t="inlineStr">
        <is>
          <t>INADEH – Centro de Formación Chepo</t>
        </is>
      </c>
      <c r="E19" s="73" t="n"/>
      <c r="F19" s="73" t="inlineStr">
        <is>
          <t>Centro de formación / atención al público</t>
        </is>
      </c>
      <c r="G19" s="18" t="inlineStr">
        <is>
          <t>https://www.inadeh.edu.pa/</t>
        </is>
      </c>
      <c r="H19" s="28" t="inlineStr">
        <is>
          <t>No disponible en fuente oficial</t>
        </is>
      </c>
      <c r="I19" s="28" t="inlineStr">
        <is>
          <t>519-1234</t>
        </is>
      </c>
      <c r="J19" s="28" t="inlineStr">
        <is>
          <t>No publicado (formulario web disponible)</t>
        </is>
      </c>
      <c r="K19" s="18" t="inlineStr">
        <is>
          <t>https://www.inadeh.edu.pa/</t>
        </is>
      </c>
      <c r="L19" s="51" t="inlineStr">
        <is>
          <t>CONFIRMADO</t>
        </is>
      </c>
      <c r="M19" s="30" t="n"/>
    </row>
    <row r="20" ht="30" customHeight="1" s="182">
      <c r="A20" s="42" t="inlineStr">
        <is>
          <t>Panamá</t>
        </is>
      </c>
      <c r="B20" s="15" t="inlineStr">
        <is>
          <t>Formación técnica pública</t>
        </is>
      </c>
      <c r="C20" s="73" t="inlineStr">
        <is>
          <t>INADEH</t>
        </is>
      </c>
      <c r="D20" s="73" t="inlineStr">
        <is>
          <t>INADEH – Centro de Formación El Chorrillo</t>
        </is>
      </c>
      <c r="E20" s="73" t="n"/>
      <c r="F20" s="73" t="inlineStr">
        <is>
          <t>Centro de formación / atención al público</t>
        </is>
      </c>
      <c r="G20" s="18" t="inlineStr">
        <is>
          <t>https://www.inadeh.edu.pa/</t>
        </is>
      </c>
      <c r="H20" s="28" t="inlineStr">
        <is>
          <t>No disponible en fuente oficial</t>
        </is>
      </c>
      <c r="I20" s="73" t="inlineStr">
        <is>
          <t>538-2550</t>
        </is>
      </c>
      <c r="J20" s="28" t="inlineStr">
        <is>
          <t>No publicado (formulario web disponible)</t>
        </is>
      </c>
      <c r="K20" s="18" t="inlineStr">
        <is>
          <t>https://www.inadeh.edu.pa/</t>
        </is>
      </c>
      <c r="L20" s="51" t="inlineStr">
        <is>
          <t>CONFIRMADO</t>
        </is>
      </c>
      <c r="M20" s="30" t="n"/>
    </row>
    <row r="21" ht="30" customHeight="1" s="182">
      <c r="A21" s="42" t="inlineStr">
        <is>
          <t>Panamá</t>
        </is>
      </c>
      <c r="B21" s="15" t="inlineStr">
        <is>
          <t>Formación técnica pública</t>
        </is>
      </c>
      <c r="C21" s="73" t="inlineStr">
        <is>
          <t>INADEH</t>
        </is>
      </c>
      <c r="D21" s="73" t="inlineStr">
        <is>
          <t>INADEH – Centro de Formación Centro India</t>
        </is>
      </c>
      <c r="E21" s="73" t="n"/>
      <c r="F21" s="73" t="inlineStr">
        <is>
          <t>Centro de formación / atención al público</t>
        </is>
      </c>
      <c r="G21" s="18" t="inlineStr">
        <is>
          <t>https://www.inadeh.edu.pa/</t>
        </is>
      </c>
      <c r="H21" s="28" t="inlineStr">
        <is>
          <t>No disponible en fuente oficial</t>
        </is>
      </c>
      <c r="I21" s="28" t="inlineStr">
        <is>
          <t>520-4060</t>
        </is>
      </c>
      <c r="J21" s="28" t="inlineStr">
        <is>
          <t>No publicado (formulario web disponible)</t>
        </is>
      </c>
      <c r="K21" s="18" t="inlineStr">
        <is>
          <t>https://www.inadeh.edu.pa/</t>
        </is>
      </c>
      <c r="L21" s="51" t="inlineStr">
        <is>
          <t>CONFIRMADO</t>
        </is>
      </c>
      <c r="M21" s="30" t="n"/>
    </row>
    <row r="22" ht="30" customHeight="1" s="182">
      <c r="A22" s="42" t="inlineStr">
        <is>
          <t>Panamá</t>
        </is>
      </c>
      <c r="B22" s="15" t="inlineStr">
        <is>
          <t>Formación técnica pública</t>
        </is>
      </c>
      <c r="C22" s="73" t="inlineStr">
        <is>
          <t>INADEH</t>
        </is>
      </c>
      <c r="D22" s="73" t="inlineStr">
        <is>
          <t>INADEH – Centro de Formación Alpha Santamaría</t>
        </is>
      </c>
      <c r="E22" s="73" t="n"/>
      <c r="F22" s="73" t="inlineStr">
        <is>
          <t>Centro de formación / atención al público</t>
        </is>
      </c>
      <c r="G22" s="18" t="inlineStr">
        <is>
          <t>https://www.inadeh.edu.pa/</t>
        </is>
      </c>
      <c r="H22" s="28" t="inlineStr">
        <is>
          <t>No disponible en fuente oficial</t>
        </is>
      </c>
      <c r="I22" s="73" t="inlineStr">
        <is>
          <t>520-4675</t>
        </is>
      </c>
      <c r="J22" s="28" t="inlineStr">
        <is>
          <t>No publicado (formulario web disponible)</t>
        </is>
      </c>
      <c r="K22" s="18" t="inlineStr">
        <is>
          <t>https://www.inadeh.edu.pa/</t>
        </is>
      </c>
      <c r="L22" s="51" t="inlineStr">
        <is>
          <t>CONFIRMADO</t>
        </is>
      </c>
      <c r="M22" s="30" t="n"/>
    </row>
    <row r="23" ht="30" customHeight="1" s="182">
      <c r="A23" s="42" t="inlineStr">
        <is>
          <t>Panamá</t>
        </is>
      </c>
      <c r="B23" s="15" t="inlineStr">
        <is>
          <t>Formación técnica pública</t>
        </is>
      </c>
      <c r="C23" s="73" t="inlineStr">
        <is>
          <t>INADEH</t>
        </is>
      </c>
      <c r="D23" s="73" t="inlineStr">
        <is>
          <t>INADEH – Centro de Formación Santiago</t>
        </is>
      </c>
      <c r="E23" s="73" t="n"/>
      <c r="F23" s="28" t="inlineStr">
        <is>
          <t>Centro de formación / atención al público</t>
        </is>
      </c>
      <c r="G23" s="18" t="inlineStr">
        <is>
          <t>https://www.inadeh.edu.pa/</t>
        </is>
      </c>
      <c r="H23" s="28" t="inlineStr">
        <is>
          <t>No disponible en fuente oficial</t>
        </is>
      </c>
      <c r="I23" s="28" t="inlineStr">
        <is>
          <t>935-0354</t>
        </is>
      </c>
      <c r="J23" s="28" t="inlineStr">
        <is>
          <t>No publicado (formulario web disponible)</t>
        </is>
      </c>
      <c r="K23" s="18" t="inlineStr">
        <is>
          <t>https://www.inadeh.edu.pa/</t>
        </is>
      </c>
      <c r="L23" s="51" t="inlineStr">
        <is>
          <t>CONFIRMADO</t>
        </is>
      </c>
      <c r="M23" s="30" t="n"/>
    </row>
    <row r="24" ht="30" customHeight="1" s="182">
      <c r="A24" s="42" t="inlineStr">
        <is>
          <t>Panamá</t>
        </is>
      </c>
      <c r="B24" s="15" t="inlineStr">
        <is>
          <t>Formación técnica pública</t>
        </is>
      </c>
      <c r="C24" s="73" t="inlineStr">
        <is>
          <t>INADEH</t>
        </is>
      </c>
      <c r="D24" s="73" t="inlineStr">
        <is>
          <t>INADEH – Centro de Formación El Bongo</t>
        </is>
      </c>
      <c r="E24" s="73" t="n"/>
      <c r="F24" s="73" t="inlineStr">
        <is>
          <t>Centro de formación / atención al público</t>
        </is>
      </c>
      <c r="G24" s="18" t="inlineStr">
        <is>
          <t>https://www.inadeh.edu.pa/</t>
        </is>
      </c>
      <c r="H24" s="28" t="inlineStr">
        <is>
          <t>No disponible en fuente oficial</t>
        </is>
      </c>
      <c r="I24" s="73" t="inlineStr">
        <is>
          <t>238-2354</t>
        </is>
      </c>
      <c r="J24" s="28" t="inlineStr">
        <is>
          <t>No publicado (formulario web disponible)</t>
        </is>
      </c>
      <c r="K24" s="18" t="inlineStr">
        <is>
          <t>https://www.inadeh.edu.pa/</t>
        </is>
      </c>
      <c r="L24" s="51" t="inlineStr">
        <is>
          <t>CONFIRMADO</t>
        </is>
      </c>
      <c r="M24" s="30" t="n"/>
    </row>
    <row r="25" ht="30" customHeight="1" s="182">
      <c r="A25" s="42" t="inlineStr">
        <is>
          <t>Panamá</t>
        </is>
      </c>
      <c r="B25" s="15" t="inlineStr">
        <is>
          <t>Formación técnica pública</t>
        </is>
      </c>
      <c r="C25" s="73" t="inlineStr">
        <is>
          <t>INADEH</t>
        </is>
      </c>
      <c r="D25" s="73" t="inlineStr">
        <is>
          <t>INADEH – Centro de Formación Soná</t>
        </is>
      </c>
      <c r="E25" s="73" t="n"/>
      <c r="F25" s="73" t="inlineStr">
        <is>
          <t>Centro de formación / atención al público</t>
        </is>
      </c>
      <c r="G25" s="18" t="inlineStr">
        <is>
          <t>https://www.inadeh.edu.pa/</t>
        </is>
      </c>
      <c r="H25" s="28" t="inlineStr">
        <is>
          <t>No disponible en fuente oficial</t>
        </is>
      </c>
      <c r="I25" s="28" t="inlineStr">
        <is>
          <t>935-0604</t>
        </is>
      </c>
      <c r="J25" s="28" t="inlineStr">
        <is>
          <t>No publicado (formulario web disponible)</t>
        </is>
      </c>
      <c r="K25" s="18" t="inlineStr">
        <is>
          <t>https://www.inadeh.edu.pa/</t>
        </is>
      </c>
      <c r="L25" s="51" t="inlineStr">
        <is>
          <t>CONFIRMADO</t>
        </is>
      </c>
      <c r="M25" s="30" t="n"/>
    </row>
    <row r="26" ht="30" customHeight="1" s="182">
      <c r="A26" s="42" t="inlineStr">
        <is>
          <t>Panamá</t>
        </is>
      </c>
      <c r="B26" s="15" t="inlineStr">
        <is>
          <t>Universidades públicas</t>
        </is>
      </c>
      <c r="C26" s="73" t="inlineStr">
        <is>
          <t xml:space="preserve">Públicas </t>
        </is>
      </c>
      <c r="D26" s="73" t="inlineStr">
        <is>
          <t>Universidad de Panamá</t>
        </is>
      </c>
      <c r="E26" s="73" t="n"/>
      <c r="F26" s="73" t="inlineStr">
        <is>
          <t>Secretaría General</t>
        </is>
      </c>
      <c r="G26" s="18" t="inlineStr">
        <is>
          <t>https://www.up.ac.pa/</t>
        </is>
      </c>
      <c r="H26" s="28" t="inlineStr">
        <is>
          <t>No disponible en fuente oficial</t>
        </is>
      </c>
      <c r="I26" s="73" t="inlineStr">
        <is>
          <t>(507) 523-5000</t>
        </is>
      </c>
      <c r="J26" s="73" t="inlineStr">
        <is>
          <t>secretaria.general@up.ac.pa</t>
        </is>
      </c>
      <c r="K26" s="185" t="inlineStr">
        <is>
          <t>https://www.up.ac.pa/contactenos</t>
        </is>
      </c>
      <c r="L26" s="51" t="inlineStr">
        <is>
          <t>CONFIRMADO</t>
        </is>
      </c>
      <c r="M26" s="30" t="n"/>
    </row>
    <row r="27" ht="30" customHeight="1" s="182">
      <c r="A27" s="42" t="inlineStr">
        <is>
          <t>Panamá</t>
        </is>
      </c>
      <c r="B27" s="15" t="inlineStr">
        <is>
          <t>Universidades públicas</t>
        </is>
      </c>
      <c r="C27" s="73" t="inlineStr">
        <is>
          <t xml:space="preserve">Públicas </t>
        </is>
      </c>
      <c r="D27" s="73" t="inlineStr">
        <is>
          <t>Universidad Tecnológica de Panamá</t>
        </is>
      </c>
      <c r="E27" s="73" t="n"/>
      <c r="F27" s="73" t="inlineStr">
        <is>
          <t>Secretaría General</t>
        </is>
      </c>
      <c r="G27" s="18" t="inlineStr">
        <is>
          <t>https://utp.ac.pa/</t>
        </is>
      </c>
      <c r="H27" s="28" t="inlineStr">
        <is>
          <t>No disponible en fuente oficial</t>
        </is>
      </c>
      <c r="I27" s="73" t="inlineStr">
        <is>
          <t>(507) 560-3000</t>
        </is>
      </c>
      <c r="J27" s="73" t="inlineStr">
        <is>
          <t>secretaria.general@utp.ac.pa</t>
        </is>
      </c>
      <c r="K27" s="187" t="inlineStr">
        <is>
          <t>https://utp.ac.pa/contacto</t>
        </is>
      </c>
      <c r="L27" s="51" t="inlineStr">
        <is>
          <t>CONFIRMADO</t>
        </is>
      </c>
      <c r="M27" s="184" t="inlineStr">
        <is>
          <t>Auditoría 08-oct-2026: Texto movido desde fuente: "| https://utp.ac.pa/sites/default/files/documentos/2026/pdf/utp-sg-copia-documentos.pdf"</t>
        </is>
      </c>
    </row>
    <row r="28" ht="30" customHeight="1" s="182">
      <c r="A28" s="42" t="inlineStr">
        <is>
          <t>Panamá</t>
        </is>
      </c>
      <c r="B28" s="15" t="inlineStr">
        <is>
          <t>Universidades públicas</t>
        </is>
      </c>
      <c r="C28" s="73" t="inlineStr">
        <is>
          <t xml:space="preserve">Públicas </t>
        </is>
      </c>
      <c r="D28" s="73" t="inlineStr">
        <is>
          <t>Universidad Autónoma de Chiriquí</t>
        </is>
      </c>
      <c r="E28" s="73" t="n"/>
      <c r="F28" s="73" t="inlineStr">
        <is>
          <t>Admisión / contacto institucional</t>
        </is>
      </c>
      <c r="G28" s="18" t="inlineStr">
        <is>
          <t>https://www.unachi.ac.pa/</t>
        </is>
      </c>
      <c r="H28" s="28" t="inlineStr">
        <is>
          <t>No disponible en fuente oficial</t>
        </is>
      </c>
      <c r="I28" s="73" t="inlineStr">
        <is>
          <t>(507) 728-4900</t>
        </is>
      </c>
      <c r="J28" s="73" t="inlineStr">
        <is>
          <t>info@unachi.ac.pa</t>
        </is>
      </c>
      <c r="K28" s="183" t="inlineStr">
        <is>
          <t>https://coneaupa.edu.pa/universidades-oficiales/</t>
        </is>
      </c>
      <c r="L28" s="51" t="inlineStr">
        <is>
          <t>CONFIRMADO</t>
        </is>
      </c>
      <c r="M28" s="184" t="inlineStr">
        <is>
          <t>Auditoría 08-oct-2026: Texto movido desde fuente: "| https://www.unachi.ac.pa/nosotros/contactenos"</t>
        </is>
      </c>
    </row>
    <row r="29" ht="30" customHeight="1" s="182">
      <c r="A29" s="42" t="inlineStr">
        <is>
          <t>Panamá</t>
        </is>
      </c>
      <c r="B29" s="15" t="inlineStr">
        <is>
          <t>Universidades públicas</t>
        </is>
      </c>
      <c r="C29" s="73" t="inlineStr">
        <is>
          <t xml:space="preserve">Públicas </t>
        </is>
      </c>
      <c r="D29" s="73" t="inlineStr">
        <is>
          <t>Universidad Especializada de Las Américas (UDELAS)</t>
        </is>
      </c>
      <c r="E29" s="73" t="n"/>
      <c r="F29" s="73" t="inlineStr">
        <is>
          <t>Admisión primer ingreso</t>
        </is>
      </c>
      <c r="G29" s="18" t="inlineStr">
        <is>
          <t>https://www.udelas.ac.pa/</t>
        </is>
      </c>
      <c r="H29" s="28" t="inlineStr">
        <is>
          <t>No disponible en fuente oficial</t>
        </is>
      </c>
      <c r="I29" s="73" t="inlineStr">
        <is>
          <t>(507) 501-1011</t>
        </is>
      </c>
      <c r="J29" s="73" t="inlineStr">
        <is>
          <t>admision.orientacion@udelas.ac.pa</t>
        </is>
      </c>
      <c r="K29" s="18" t="inlineStr">
        <is>
          <t>https://www.udelas.ac.pa/directorio-telefonico/</t>
        </is>
      </c>
      <c r="L29" s="51" t="inlineStr">
        <is>
          <t>CONFIRMADO</t>
        </is>
      </c>
      <c r="M29" s="30" t="n"/>
    </row>
    <row r="30" ht="30" customHeight="1" s="182">
      <c r="A30" s="42" t="inlineStr">
        <is>
          <t>Panamá</t>
        </is>
      </c>
      <c r="B30" s="15" t="inlineStr">
        <is>
          <t>Universidades públicas</t>
        </is>
      </c>
      <c r="C30" s="73" t="inlineStr">
        <is>
          <t xml:space="preserve">Públicas </t>
        </is>
      </c>
      <c r="D30" s="73" t="inlineStr">
        <is>
          <t>Universidad Marítima Internacional de Panamá (UMIP)</t>
        </is>
      </c>
      <c r="E30" s="73" t="n"/>
      <c r="F30" s="73" t="inlineStr">
        <is>
          <t>Contacto institucional</t>
        </is>
      </c>
      <c r="G30" s="18" t="inlineStr">
        <is>
          <t>https://www.umip.ac.pa/</t>
        </is>
      </c>
      <c r="H30" s="28" t="inlineStr">
        <is>
          <t>No disponible en fuente oficial</t>
        </is>
      </c>
      <c r="I30" s="73" t="inlineStr">
        <is>
          <t>(507) 520-0121</t>
        </is>
      </c>
      <c r="J30" s="73" t="inlineStr">
        <is>
          <t>info@umip.ac.pa</t>
        </is>
      </c>
      <c r="K30" s="18" t="inlineStr">
        <is>
          <t>https://www.umip.ac.pa/facina.php</t>
        </is>
      </c>
      <c r="L30" s="51" t="inlineStr">
        <is>
          <t>CONFIRMADO</t>
        </is>
      </c>
      <c r="M30" s="30" t="n"/>
    </row>
    <row r="31" ht="30" customHeight="1" s="182">
      <c r="A31" s="42" t="inlineStr">
        <is>
          <t>Panamá</t>
        </is>
      </c>
      <c r="B31" s="15" t="inlineStr">
        <is>
          <t>Universidades públicas</t>
        </is>
      </c>
      <c r="C31" s="73" t="inlineStr">
        <is>
          <t xml:space="preserve">Públicas </t>
        </is>
      </c>
      <c r="D31" s="73" t="inlineStr">
        <is>
          <t>Universidad Autónoma de los Pueblos Indígenas (UAPI)</t>
        </is>
      </c>
      <c r="E31" s="73" t="n"/>
      <c r="F31" s="73" t="inlineStr">
        <is>
          <t>No verificada: sitio institucional suspendido al 28-09-2026</t>
        </is>
      </c>
      <c r="G31" s="183" t="inlineStr">
        <is>
          <t>https://uapi.ac.pa/</t>
        </is>
      </c>
      <c r="H31" s="28" t="inlineStr">
        <is>
          <t>No disponible públicamente</t>
        </is>
      </c>
      <c r="I31" s="28" t="inlineStr">
        <is>
          <t>No disponible públicamente</t>
        </is>
      </c>
      <c r="J31" s="28" t="inlineStr">
        <is>
          <t>No disponible públicamente</t>
        </is>
      </c>
      <c r="K31" s="73" t="n"/>
      <c r="L31" s="186" t="inlineStr">
        <is>
          <t>VERIFICADO CON OBSERVACIONES</t>
        </is>
      </c>
      <c r="M31" s="184" t="inlineStr">
        <is>
          <t>Página oficial caida | Auditoría 08-oct-2026: Texto movido desde web: "(sin acceso al verificar)"</t>
        </is>
      </c>
    </row>
    <row r="32" ht="30" customHeight="1" s="182"/>
    <row r="33" ht="30" customHeight="1" s="182"/>
    <row r="34" ht="15.75" customHeight="1" s="182"/>
    <row r="35" ht="15.75" customHeight="1" s="182"/>
    <row r="36" ht="15.75" customHeight="1" s="182"/>
    <row r="37" ht="15.75" customHeight="1" s="182"/>
    <row r="38" ht="15.75" customHeight="1" s="182"/>
    <row r="39" ht="15.75" customHeight="1" s="182"/>
    <row r="40" ht="15.75" customHeight="1" s="182"/>
    <row r="41" ht="15.75" customHeight="1" s="182"/>
    <row r="42" ht="15.75" customHeight="1" s="182"/>
    <row r="43" ht="15.75" customHeight="1" s="182"/>
    <row r="44" ht="15.75" customHeight="1" s="182"/>
    <row r="45" ht="15.75" customHeight="1" s="182"/>
    <row r="46" ht="15.75" customHeight="1" s="182"/>
    <row r="47" ht="15.75" customHeight="1" s="182"/>
    <row r="48" ht="15.75" customHeight="1" s="182"/>
    <row r="49" ht="15.75" customHeight="1" s="182"/>
    <row r="50" ht="15.75" customHeight="1" s="182"/>
    <row r="51" ht="15.75" customHeight="1" s="182"/>
    <row r="52" ht="15.75" customHeight="1" s="182"/>
    <row r="53" ht="15.75" customHeight="1" s="182"/>
    <row r="54" ht="15.75" customHeight="1" s="182"/>
    <row r="55" ht="15.75" customHeight="1" s="182"/>
    <row r="56" ht="15.75" customHeight="1" s="182"/>
    <row r="57" ht="15.75" customHeight="1" s="182"/>
    <row r="58" ht="15.75" customHeight="1" s="182"/>
    <row r="59" ht="15.75" customHeight="1" s="182"/>
    <row r="60" ht="15.75" customHeight="1" s="182"/>
    <row r="61" ht="15.75" customHeight="1" s="182"/>
    <row r="62" ht="15.75" customHeight="1" s="182"/>
    <row r="63" ht="15.75" customHeight="1" s="182"/>
    <row r="64" ht="15.75" customHeight="1" s="182"/>
    <row r="65" ht="15.75" customHeight="1" s="182"/>
    <row r="66" ht="15.75" customHeight="1" s="182"/>
    <row r="67" ht="15.75" customHeight="1" s="182"/>
    <row r="68" ht="15.75" customHeight="1" s="182"/>
    <row r="69" ht="15.75" customHeight="1" s="182"/>
    <row r="70" ht="15.75" customHeight="1" s="182"/>
    <row r="71" ht="15.75" customHeight="1" s="182"/>
    <row r="72" ht="15.75" customHeight="1" s="182"/>
    <row r="73" ht="15.75" customHeight="1" s="182"/>
    <row r="74" ht="15.75" customHeight="1" s="182"/>
    <row r="75" ht="15.75" customHeight="1" s="182"/>
    <row r="76" ht="15.75" customHeight="1" s="182"/>
    <row r="77" ht="15.75" customHeight="1" s="182"/>
    <row r="78" ht="15.75" customHeight="1" s="182"/>
    <row r="79" ht="15.75" customHeight="1" s="182"/>
    <row r="80" ht="15.75" customHeight="1" s="182"/>
    <row r="81" ht="15.75" customHeight="1" s="182"/>
    <row r="82" ht="15.75" customHeight="1" s="182"/>
    <row r="83" ht="15.75" customHeight="1" s="182"/>
    <row r="84" ht="15.75" customHeight="1" s="182"/>
    <row r="85" ht="15.75" customHeight="1" s="182"/>
    <row r="86" ht="15.75" customHeight="1" s="182"/>
    <row r="87" ht="15.75" customHeight="1" s="182"/>
    <row r="88" ht="15.75" customHeight="1" s="182"/>
    <row r="89" ht="15.75" customHeight="1" s="182"/>
    <row r="90" ht="15.75" customHeight="1" s="182"/>
    <row r="91" ht="15.75" customHeight="1" s="182"/>
    <row r="92" ht="15.75" customHeight="1" s="182"/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</sheetData>
  <autoFilter ref="$A$1:$M$31"/>
  <dataValidations count="1">
    <dataValidation sqref="E2:E31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K3" r:id="rId4"/>
    <hyperlink xmlns:r="http://schemas.openxmlformats.org/officeDocument/2006/relationships" ref="G4" r:id="rId5"/>
    <hyperlink xmlns:r="http://schemas.openxmlformats.org/officeDocument/2006/relationships" ref="K4" r:id="rId6"/>
    <hyperlink xmlns:r="http://schemas.openxmlformats.org/officeDocument/2006/relationships" ref="G5" r:id="rId7"/>
    <hyperlink xmlns:r="http://schemas.openxmlformats.org/officeDocument/2006/relationships" ref="K5" r:id="rId8"/>
    <hyperlink xmlns:r="http://schemas.openxmlformats.org/officeDocument/2006/relationships" ref="G6" r:id="rId9"/>
    <hyperlink xmlns:r="http://schemas.openxmlformats.org/officeDocument/2006/relationships" ref="K6" r:id="rId10"/>
    <hyperlink xmlns:r="http://schemas.openxmlformats.org/officeDocument/2006/relationships" ref="G7" r:id="rId11"/>
    <hyperlink xmlns:r="http://schemas.openxmlformats.org/officeDocument/2006/relationships" ref="K7" r:id="rId12"/>
    <hyperlink xmlns:r="http://schemas.openxmlformats.org/officeDocument/2006/relationships" ref="G8" r:id="rId13"/>
    <hyperlink xmlns:r="http://schemas.openxmlformats.org/officeDocument/2006/relationships" ref="K8" r:id="rId14"/>
    <hyperlink xmlns:r="http://schemas.openxmlformats.org/officeDocument/2006/relationships" ref="G9" r:id="rId15"/>
    <hyperlink xmlns:r="http://schemas.openxmlformats.org/officeDocument/2006/relationships" ref="K9" r:id="rId16"/>
    <hyperlink xmlns:r="http://schemas.openxmlformats.org/officeDocument/2006/relationships" ref="G10" r:id="rId17"/>
    <hyperlink xmlns:r="http://schemas.openxmlformats.org/officeDocument/2006/relationships" ref="K10" r:id="rId18"/>
    <hyperlink xmlns:r="http://schemas.openxmlformats.org/officeDocument/2006/relationships" ref="G11" r:id="rId19"/>
    <hyperlink xmlns:r="http://schemas.openxmlformats.org/officeDocument/2006/relationships" ref="K11" r:id="rId20"/>
    <hyperlink xmlns:r="http://schemas.openxmlformats.org/officeDocument/2006/relationships" ref="G12" r:id="rId21"/>
    <hyperlink xmlns:r="http://schemas.openxmlformats.org/officeDocument/2006/relationships" ref="K12" r:id="rId22"/>
    <hyperlink xmlns:r="http://schemas.openxmlformats.org/officeDocument/2006/relationships" ref="G13" r:id="rId23"/>
    <hyperlink xmlns:r="http://schemas.openxmlformats.org/officeDocument/2006/relationships" ref="K13" r:id="rId24"/>
    <hyperlink xmlns:r="http://schemas.openxmlformats.org/officeDocument/2006/relationships" ref="G14" r:id="rId25"/>
    <hyperlink xmlns:r="http://schemas.openxmlformats.org/officeDocument/2006/relationships" ref="K14" r:id="rId26"/>
    <hyperlink xmlns:r="http://schemas.openxmlformats.org/officeDocument/2006/relationships" ref="G15" r:id="rId27"/>
    <hyperlink xmlns:r="http://schemas.openxmlformats.org/officeDocument/2006/relationships" ref="K15" r:id="rId28"/>
    <hyperlink xmlns:r="http://schemas.openxmlformats.org/officeDocument/2006/relationships" ref="G16" r:id="rId29"/>
    <hyperlink xmlns:r="http://schemas.openxmlformats.org/officeDocument/2006/relationships" ref="K16" r:id="rId30"/>
    <hyperlink xmlns:r="http://schemas.openxmlformats.org/officeDocument/2006/relationships" ref="G17" r:id="rId31"/>
    <hyperlink xmlns:r="http://schemas.openxmlformats.org/officeDocument/2006/relationships" ref="K17" r:id="rId32"/>
    <hyperlink xmlns:r="http://schemas.openxmlformats.org/officeDocument/2006/relationships" ref="G18" r:id="rId33"/>
    <hyperlink xmlns:r="http://schemas.openxmlformats.org/officeDocument/2006/relationships" ref="K18" r:id="rId34"/>
    <hyperlink xmlns:r="http://schemas.openxmlformats.org/officeDocument/2006/relationships" ref="G19" r:id="rId35"/>
    <hyperlink xmlns:r="http://schemas.openxmlformats.org/officeDocument/2006/relationships" ref="K19" r:id="rId36"/>
    <hyperlink xmlns:r="http://schemas.openxmlformats.org/officeDocument/2006/relationships" ref="G20" r:id="rId37"/>
    <hyperlink xmlns:r="http://schemas.openxmlformats.org/officeDocument/2006/relationships" ref="K20" r:id="rId38"/>
    <hyperlink xmlns:r="http://schemas.openxmlformats.org/officeDocument/2006/relationships" ref="G21" r:id="rId39"/>
    <hyperlink xmlns:r="http://schemas.openxmlformats.org/officeDocument/2006/relationships" ref="K21" r:id="rId40"/>
    <hyperlink xmlns:r="http://schemas.openxmlformats.org/officeDocument/2006/relationships" ref="G22" r:id="rId41"/>
    <hyperlink xmlns:r="http://schemas.openxmlformats.org/officeDocument/2006/relationships" ref="K22" r:id="rId42"/>
    <hyperlink xmlns:r="http://schemas.openxmlformats.org/officeDocument/2006/relationships" ref="G23" r:id="rId43"/>
    <hyperlink xmlns:r="http://schemas.openxmlformats.org/officeDocument/2006/relationships" ref="K23" r:id="rId44"/>
    <hyperlink xmlns:r="http://schemas.openxmlformats.org/officeDocument/2006/relationships" ref="G24" r:id="rId45"/>
    <hyperlink xmlns:r="http://schemas.openxmlformats.org/officeDocument/2006/relationships" ref="K24" r:id="rId46"/>
    <hyperlink xmlns:r="http://schemas.openxmlformats.org/officeDocument/2006/relationships" ref="G25" r:id="rId47"/>
    <hyperlink xmlns:r="http://schemas.openxmlformats.org/officeDocument/2006/relationships" ref="K25" r:id="rId48"/>
    <hyperlink xmlns:r="http://schemas.openxmlformats.org/officeDocument/2006/relationships" ref="G26" r:id="rId49"/>
    <hyperlink xmlns:r="http://schemas.openxmlformats.org/officeDocument/2006/relationships" ref="K26" r:id="rId50"/>
    <hyperlink xmlns:r="http://schemas.openxmlformats.org/officeDocument/2006/relationships" ref="G27" r:id="rId51"/>
    <hyperlink xmlns:r="http://schemas.openxmlformats.org/officeDocument/2006/relationships" ref="K27" r:id="rId52"/>
    <hyperlink xmlns:r="http://schemas.openxmlformats.org/officeDocument/2006/relationships" ref="G28" r:id="rId53"/>
    <hyperlink xmlns:r="http://schemas.openxmlformats.org/officeDocument/2006/relationships" ref="G29" r:id="rId54"/>
    <hyperlink xmlns:r="http://schemas.openxmlformats.org/officeDocument/2006/relationships" ref="K29" r:id="rId55"/>
    <hyperlink xmlns:r="http://schemas.openxmlformats.org/officeDocument/2006/relationships" ref="G30" r:id="rId56"/>
    <hyperlink xmlns:r="http://schemas.openxmlformats.org/officeDocument/2006/relationships" ref="K30" r:id="rId57"/>
  </hyperlinks>
  <pageMargins left="0.75" right="0.75" top="1" bottom="1" header="0" footer="0"/>
  <pageSetup orientation="landscape"/>
  <tableParts count="1">
    <tablePart xmlns:r="http://schemas.openxmlformats.org/officeDocument/2006/relationships" r:id="rId58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1"/>
  <sheetViews>
    <sheetView showGridLines="0" workbookViewId="0">
      <selection activeCell="A1" sqref="A1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54" customHeight="1" s="182">
      <c r="A1" s="8" t="inlineStr">
        <is>
          <t>País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>Notas de revisión</t>
        </is>
      </c>
    </row>
    <row r="2" ht="30" customHeight="1" s="182">
      <c r="A2" s="42" t="inlineStr">
        <is>
          <t>México</t>
        </is>
      </c>
      <c r="B2" s="15" t="inlineStr">
        <is>
          <t>Asociaciones de seguridad social</t>
        </is>
      </c>
      <c r="C2" s="73" t="inlineStr">
        <is>
          <t>Seguridad social militares activos y retirados (salud, pensiones, vivienda)</t>
        </is>
      </c>
      <c r="D2" s="73" t="inlineStr">
        <is>
          <t>Instituto de Seguridad Social para las Fuerzas Armadas Mexicanas (ISSFAM)</t>
        </is>
      </c>
      <c r="E2" s="73" t="n"/>
      <c r="F2" s="73" t="inlineStr">
        <is>
          <t>Trabajo Social / Atención a Derechohabientes</t>
        </is>
      </c>
      <c r="G2" s="33" t="inlineStr">
        <is>
          <t>https://www.gob.mx/issfam</t>
        </is>
      </c>
      <c r="H2" s="28" t="inlineStr">
        <is>
          <t>No disponible en fuente oficial</t>
        </is>
      </c>
      <c r="I2" s="183" t="inlineStr">
        <is>
          <t>+52 55 2122 0601 / 800 147 7326</t>
        </is>
      </c>
      <c r="J2" s="183" t="inlineStr">
        <is>
          <t>informes@issfam.gob.mx / trabajosocial@issfam.gob.mx</t>
        </is>
      </c>
      <c r="K2" s="187" t="inlineStr">
        <is>
          <t>https://www.gob.mx/cms/uploads/attachment/file/779825/Aviso_Privacidad_Integral_Movil.pdf</t>
        </is>
      </c>
      <c r="L2" s="188" t="inlineStr">
        <is>
          <t>CORREGIDO</t>
        </is>
      </c>
      <c r="M2" s="184" t="inlineStr">
        <is>
          <t>Auditoría 08-oct-2026: Fuente anterior apuntaba al ISSSTE.</t>
        </is>
      </c>
    </row>
    <row r="3" ht="30" customHeight="1" s="182">
      <c r="A3" s="42" t="inlineStr">
        <is>
          <t>México</t>
        </is>
      </c>
      <c r="B3" s="15" t="inlineStr">
        <is>
          <t>Asociaciones de seguridad social</t>
        </is>
      </c>
      <c r="C3" s="73" t="inlineStr">
        <is>
          <t>AFORE del sector público</t>
        </is>
      </c>
      <c r="D3" s="73" t="inlineStr">
        <is>
          <t>PENSIONISSSTE</t>
        </is>
      </c>
      <c r="E3" s="73" t="n"/>
      <c r="F3" s="33" t="inlineStr">
        <is>
          <t>Mesa de ayuda gob.mx</t>
        </is>
      </c>
      <c r="G3" s="36" t="inlineStr">
        <is>
          <t>https://www.pensionissste.gob.mx</t>
        </is>
      </c>
      <c r="H3" s="28" t="inlineStr">
        <is>
          <t>No disponible en fuente oficial</t>
        </is>
      </c>
      <c r="I3" s="73" t="inlineStr">
        <is>
          <t xml:space="preserve"> 55 5062-0500</t>
        </is>
      </c>
      <c r="J3" s="73" t="inlineStr">
        <is>
          <t>atencion@pensionissste.gob.mx</t>
        </is>
      </c>
      <c r="K3" s="18" t="inlineStr">
        <is>
          <t>https://www.gob.mx/pensionissste</t>
        </is>
      </c>
      <c r="L3" s="51" t="inlineStr">
        <is>
          <t>CONFIRMADO</t>
        </is>
      </c>
      <c r="M3" s="30" t="n"/>
    </row>
    <row r="4" ht="30" customHeight="1" s="182">
      <c r="A4" s="42" t="inlineStr">
        <is>
          <t>México</t>
        </is>
      </c>
      <c r="B4" s="15" t="inlineStr">
        <is>
          <t>Asociaciones de seguridad social</t>
        </is>
      </c>
      <c r="C4" s="73" t="inlineStr">
        <is>
          <t>Salud y pensiones (sector público)</t>
        </is>
      </c>
      <c r="D4" s="73" t="inlineStr">
        <is>
          <t>Instituto de Seguridad y Servicios Sociales de los Trabajadores del Estado (ISSSTE)</t>
        </is>
      </c>
      <c r="E4" s="73" t="n"/>
      <c r="F4" s="73" t="inlineStr">
        <is>
          <t>Portal gob.mx</t>
        </is>
      </c>
      <c r="G4" s="36" t="inlineStr">
        <is>
          <t>https://www.gob.mx/issste</t>
        </is>
      </c>
      <c r="H4" s="28" t="inlineStr">
        <is>
          <t>No disponible en fuente oficial</t>
        </is>
      </c>
      <c r="I4" s="73" t="inlineStr">
        <is>
          <t>51409617</t>
        </is>
      </c>
      <c r="J4" s="183" t="inlineStr">
        <is>
          <t>atencionciudadana@issste.gob.mx</t>
        </is>
      </c>
      <c r="K4" s="18" t="inlineStr">
        <is>
          <t>https://www.gob.mx/issste</t>
        </is>
      </c>
      <c r="L4" s="35" t="inlineStr">
        <is>
          <t>VERIFICAR</t>
        </is>
      </c>
      <c r="M4" s="184" t="inlineStr">
        <is>
          <t>Auditoría 08-oct-2026: Texto movido desde celda de email: "atencionciudadana@issste.gob.mx(no es idoneo pero no se encontro otro)"</t>
        </is>
      </c>
    </row>
    <row r="5" ht="30" customHeight="1" s="182">
      <c r="A5" s="42" t="inlineStr">
        <is>
          <t>México</t>
        </is>
      </c>
      <c r="B5" s="15" t="inlineStr">
        <is>
          <t>Asociaciones de seguridad social</t>
        </is>
      </c>
      <c r="C5" s="73" t="inlineStr">
        <is>
          <t>Fondo de vivienda (sector privado)</t>
        </is>
      </c>
      <c r="D5" s="73" t="inlineStr">
        <is>
          <t>Instituto del Fondo Nacional de la Vivienda para los Trabajadores (INFONAVIT)</t>
        </is>
      </c>
      <c r="E5" s="73" t="n"/>
      <c r="F5" s="73" t="inlineStr">
        <is>
          <t>INFONATEL (call center)</t>
        </is>
      </c>
      <c r="G5" s="18" t="inlineStr">
        <is>
          <t>https://www.infonavit.org.mx</t>
        </is>
      </c>
      <c r="H5" s="28" t="inlineStr">
        <is>
          <t>No disponible en fuente oficial</t>
        </is>
      </c>
      <c r="I5" s="73" t="inlineStr">
        <is>
          <t>559 171 5050 / 800 008 3900</t>
        </is>
      </c>
      <c r="J5" s="28" t="inlineStr">
        <is>
          <t>No especificado en portal</t>
        </is>
      </c>
      <c r="K5" s="18" t="inlineStr">
        <is>
          <t>https://portalmx.infonavit.org.mx/wps/portal/infonavitmx/mx2/contactanos/!ut/p/z1/lZBbb4JAEIV_Da_M4eKy-LaR0KoRIVal-9JgQ1cSYA2g_P3S1Be8NOm8zeT7ciaHJKUk6-xSqKwrdJ2Vw_4u2Qd7AV5nrhWtvXCGJJywzQox8ObQfgzwHRdIIj-yl8yxF8Ij-S__Hvjx8WQEBl-OI24_YFfA9wPXWnLYsRUByS6xgnngYQL3CvwRsiCpSn347UPUB4crkk3-lTd5Y56b4XzsulM7NWCg73tTaa3K3PzUlYFHylG3HaVjkk7VNkURV3veim8hsLP6/dz/d5/L2dBISEvZ0FBIS9nQSEh/</t>
        </is>
      </c>
      <c r="L5" s="35" t="inlineStr">
        <is>
          <t>VERIFICAR</t>
        </is>
      </c>
      <c r="M5" s="30" t="n"/>
    </row>
    <row r="6" ht="30" customHeight="1" s="182">
      <c r="A6" s="42" t="inlineStr">
        <is>
          <t>México</t>
        </is>
      </c>
      <c r="B6" s="15" t="inlineStr">
        <is>
          <t>Asociaciones de seguridad social</t>
        </is>
      </c>
      <c r="C6" s="73" t="inlineStr">
        <is>
          <t>Regulación de pensiones (AFORE)</t>
        </is>
      </c>
      <c r="D6" s="73" t="inlineStr">
        <is>
          <t>Comisión Nacional del Sistema de Ahorro para el Retiro (CONSAR)</t>
        </is>
      </c>
      <c r="E6" s="73" t="n"/>
      <c r="F6" s="73" t="inlineStr">
        <is>
          <t>Portal gob.mx</t>
        </is>
      </c>
      <c r="G6" s="18" t="inlineStr">
        <is>
          <t>https://www.gob.mx/consar</t>
        </is>
      </c>
      <c r="H6" s="28" t="inlineStr">
        <is>
          <t>No disponible en fuente oficial</t>
        </is>
      </c>
      <c r="I6" s="73" t="inlineStr">
        <is>
          <t>55 13 28 5000</t>
        </is>
      </c>
      <c r="J6" s="28" t="inlineStr">
        <is>
          <t>No especificado en portal</t>
        </is>
      </c>
      <c r="K6" s="36" t="inlineStr">
        <is>
          <t>https://www.gob.mx/consar</t>
        </is>
      </c>
      <c r="L6" s="51" t="inlineStr">
        <is>
          <t>CONFIRMADO</t>
        </is>
      </c>
      <c r="M6" s="30" t="n"/>
    </row>
    <row r="7" ht="30" customHeight="1" s="182">
      <c r="A7" s="42" t="inlineStr">
        <is>
          <t>México</t>
        </is>
      </c>
      <c r="B7" s="15" t="inlineStr">
        <is>
          <t>Asociaciones de seguridad social</t>
        </is>
      </c>
      <c r="C7" s="73" t="inlineStr">
        <is>
          <t>Regulación de seguros y fianzas</t>
        </is>
      </c>
      <c r="D7" s="73" t="inlineStr">
        <is>
          <t>Comisión Nacional de Seguros y Fianzas (CNSF)</t>
        </is>
      </c>
      <c r="E7" s="73" t="n"/>
      <c r="F7" s="73" t="inlineStr">
        <is>
          <t>Mesa de Ayuda</t>
        </is>
      </c>
      <c r="G7" s="18" t="inlineStr">
        <is>
          <t>https://www.gob.mx/cnsf</t>
        </is>
      </c>
      <c r="H7" s="28" t="inlineStr">
        <is>
          <t>No disponible en fuente oficial</t>
        </is>
      </c>
      <c r="I7" s="73" t="inlineStr">
        <is>
          <t>(55) 5724 7400</t>
        </is>
      </c>
      <c r="J7" s="73" t="inlineStr">
        <is>
          <t>buzon@cnsf.gob.mx</t>
        </is>
      </c>
      <c r="K7" s="18" t="inlineStr">
        <is>
          <t>https://www.gob.mx/cnsf</t>
        </is>
      </c>
      <c r="L7" s="51" t="inlineStr">
        <is>
          <t>CONFIRMADO</t>
        </is>
      </c>
      <c r="M7" s="30" t="n"/>
    </row>
    <row r="8" ht="30" customHeight="1" s="182">
      <c r="A8" s="42" t="inlineStr">
        <is>
          <t>México</t>
        </is>
      </c>
      <c r="B8" s="15" t="inlineStr">
        <is>
          <t>Organizaciones juveniles</t>
        </is>
      </c>
      <c r="C8" s="73" t="inlineStr">
        <is>
          <t>ONG de juventud (red nacional de voluntariado)</t>
        </is>
      </c>
      <c r="D8" s="73" t="inlineStr">
        <is>
          <t>TECHO México, A.C.</t>
        </is>
      </c>
      <c r="E8" s="73" t="n"/>
      <c r="F8" s="73" t="inlineStr">
        <is>
          <t>Oficina central CDMX</t>
        </is>
      </c>
      <c r="G8" s="36" t="inlineStr">
        <is>
          <t>https://mexico.techo.org</t>
        </is>
      </c>
      <c r="H8" s="28" t="inlineStr">
        <is>
          <t>no disponible públicamente</t>
        </is>
      </c>
      <c r="I8" s="73" t="inlineStr">
        <is>
          <t>952 325 6330</t>
        </is>
      </c>
      <c r="J8" s="73" t="inlineStr">
        <is>
          <t>equipos.mexico@techo.org</t>
        </is>
      </c>
      <c r="K8" s="187" t="inlineStr">
        <is>
          <t>https://mexico.techo.org/contacto</t>
        </is>
      </c>
      <c r="L8" s="51" t="inlineStr">
        <is>
          <t>CONFIRMADO</t>
        </is>
      </c>
      <c r="M8" s="30" t="n"/>
    </row>
    <row r="9" ht="30" customHeight="1" s="182">
      <c r="A9" s="42" t="inlineStr">
        <is>
          <t>México</t>
        </is>
      </c>
      <c r="B9" s="15" t="inlineStr">
        <is>
          <t>Organizaciones juveniles</t>
        </is>
      </c>
      <c r="C9" s="73" t="inlineStr">
        <is>
          <t xml:space="preserve">Organización de partcipación ciudadana </t>
        </is>
      </c>
      <c r="D9" s="73" t="inlineStr">
        <is>
          <t>Ollin, A.C.</t>
        </is>
      </c>
      <c r="E9" s="73" t="n"/>
      <c r="F9" s="73" t="inlineStr">
        <is>
          <t>Oficina central CDMX</t>
        </is>
      </c>
      <c r="G9" s="18" t="inlineStr">
        <is>
          <t>https://ollinac.org</t>
        </is>
      </c>
      <c r="H9" s="28" t="inlineStr">
        <is>
          <t>no disponible públicamente</t>
        </is>
      </c>
      <c r="I9" s="73" t="inlineStr">
        <is>
          <t>(55) 6726 4444</t>
        </is>
      </c>
      <c r="J9" s="73" t="inlineStr">
        <is>
          <t>info@ollinac.org</t>
        </is>
      </c>
      <c r="K9" s="73" t="inlineStr">
        <is>
          <t>ollinac.org/contacto — sitio oficial</t>
        </is>
      </c>
      <c r="L9" s="51" t="inlineStr">
        <is>
          <t>CONFIRMADO</t>
        </is>
      </c>
      <c r="M9" s="30" t="n"/>
    </row>
    <row r="10" ht="30" customHeight="1" s="182">
      <c r="A10" s="42" t="inlineStr">
        <is>
          <t>México</t>
        </is>
      </c>
      <c r="B10" s="15" t="inlineStr">
        <is>
          <t>Escuelas de gobierno y administración pública</t>
        </is>
      </c>
      <c r="C10" s="73" t="inlineStr">
        <is>
          <t>Privada — escuela de gobierno universitaria</t>
        </is>
      </c>
      <c r="D10" s="73" t="inlineStr">
        <is>
          <t>Instituto Nacional de Administración Pública (INAP) / ENAPROG</t>
        </is>
      </c>
      <c r="E10" s="73" t="n"/>
      <c r="F10" s="73" t="inlineStr">
        <is>
          <t>Contacto INAP</t>
        </is>
      </c>
      <c r="G10" s="18" t="inlineStr">
        <is>
          <t>https://inap.mx/oferta-academica/</t>
        </is>
      </c>
      <c r="H10" s="73" t="inlineStr">
        <is>
          <t>Mtro. Armando Alfonzo Jiménez (Sec ejecutivo)</t>
        </is>
      </c>
      <c r="I10" s="73" t="inlineStr">
        <is>
          <t>55 5081 2600</t>
        </is>
      </c>
      <c r="J10" s="73" t="inlineStr">
        <is>
          <t>contacto@inap.org.mx</t>
        </is>
      </c>
      <c r="K10" s="18" t="inlineStr">
        <is>
          <t>https://inap.mx/</t>
        </is>
      </c>
      <c r="L10" s="51" t="inlineStr">
        <is>
          <t>CONFIRMADO</t>
        </is>
      </c>
      <c r="M10" s="30" t="inlineStr">
        <is>
          <t>Sin hallazgos.</t>
        </is>
      </c>
    </row>
    <row r="11" ht="30" customHeight="1" s="182">
      <c r="A11" s="42" t="inlineStr">
        <is>
          <t>México</t>
        </is>
      </c>
      <c r="B11" s="15" t="inlineStr">
        <is>
          <t>Formación técnica pública</t>
        </is>
      </c>
      <c r="C11" s="73" t="inlineStr">
        <is>
          <t>CONALEP Estatal</t>
        </is>
      </c>
      <c r="D11" s="73" t="inlineStr">
        <is>
          <t>Colegio de Educación Profesional Técnica del Estado de Aguascalientes</t>
        </is>
      </c>
      <c r="E11" s="73" t="n"/>
      <c r="F11" s="73" t="inlineStr">
        <is>
          <t>Dirección General / Estatal (contacto institucional principal)</t>
        </is>
      </c>
      <c r="G11" s="18" t="inlineStr">
        <is>
          <t>https://www.conalep.edu.mx/directorio-colegios-estatales</t>
        </is>
      </c>
      <c r="H11" s="73" t="inlineStr">
        <is>
          <t>Mtro. Braulio Paredes Martínez (Director Estatal)</t>
        </is>
      </c>
      <c r="I11" s="73" t="inlineStr">
        <is>
          <t>44 99 18 09 44 / 44 99 18 09 45</t>
        </is>
      </c>
      <c r="J11" s="73" t="inlineStr">
        <is>
          <t>bparedesm@ags.conalep.edu.mx</t>
        </is>
      </c>
      <c r="K11" s="18" t="inlineStr">
        <is>
          <t>https://www.conalep.edu.mx/directorio-colegios-estatales</t>
        </is>
      </c>
      <c r="L11" s="51" t="inlineStr">
        <is>
          <t>CONFIRMADO</t>
        </is>
      </c>
      <c r="M11" s="30" t="inlineStr">
        <is>
          <t>Sacadas tal cual el directorio</t>
        </is>
      </c>
    </row>
    <row r="12" ht="30" customHeight="1" s="182">
      <c r="A12" s="42" t="inlineStr">
        <is>
          <t>México</t>
        </is>
      </c>
      <c r="B12" s="15" t="inlineStr">
        <is>
          <t>Formación técnica pública</t>
        </is>
      </c>
      <c r="C12" s="73" t="inlineStr">
        <is>
          <t>CONALEP Estatal</t>
        </is>
      </c>
      <c r="D12" s="73" t="inlineStr">
        <is>
          <t>Colegio de Educación Profesional Técnica del Estado de Baja California</t>
        </is>
      </c>
      <c r="E12" s="73" t="n"/>
      <c r="F12" s="73" t="inlineStr">
        <is>
          <t>Dirección General / Estatal (contacto institucional principal)</t>
        </is>
      </c>
      <c r="G12" s="18" t="inlineStr">
        <is>
          <t>https://www.conalep.edu.mx/directorio-colegios-estatales</t>
        </is>
      </c>
      <c r="H12" s="73" t="inlineStr">
        <is>
          <t>Mtra. Melba Adriana Olvera Rodríguez (Directora Estatal)</t>
        </is>
      </c>
      <c r="I12" s="73" t="inlineStr">
        <is>
          <t>66 46 22 48 86 / 66 46 22 07 82 / 66 46 22 48 40</t>
        </is>
      </c>
      <c r="J12" s="73" t="inlineStr">
        <is>
          <t>molvera@bc.conalep.edu.mx/direst@bc.conalep.edu.mx</t>
        </is>
      </c>
      <c r="K12" s="18" t="inlineStr">
        <is>
          <t>https://www.conalep.edu.mx/directorio-colegios-estatales</t>
        </is>
      </c>
      <c r="L12" s="51" t="inlineStr">
        <is>
          <t>CONFIRMADO</t>
        </is>
      </c>
      <c r="M12" s="30" t="inlineStr">
        <is>
          <t>Sacadas tal cual el directorio</t>
        </is>
      </c>
    </row>
    <row r="13" ht="30" customHeight="1" s="182">
      <c r="A13" s="42" t="inlineStr">
        <is>
          <t>México</t>
        </is>
      </c>
      <c r="B13" s="15" t="inlineStr">
        <is>
          <t>Formación técnica pública</t>
        </is>
      </c>
      <c r="C13" s="73" t="inlineStr">
        <is>
          <t>CONALEP Estatal</t>
        </is>
      </c>
      <c r="D13" s="73" t="inlineStr">
        <is>
          <t>Colegio de Educación Profesional Técnica del Estado de Baja California Sur</t>
        </is>
      </c>
      <c r="E13" s="73" t="n"/>
      <c r="F13" s="73" t="inlineStr">
        <is>
          <t>Dirección General / Estatal (contacto institucional principal)</t>
        </is>
      </c>
      <c r="G13" s="18" t="inlineStr">
        <is>
          <t>https://www.conalep.edu.mx/directorio-colegios-estatales</t>
        </is>
      </c>
      <c r="H13" s="73" t="inlineStr">
        <is>
          <t>Lic. Sandra Lili Herrera Nagafuchi (Directora Estatal)</t>
        </is>
      </c>
      <c r="I13" s="73" t="inlineStr">
        <is>
          <t>61 21 25 75 99 / 61 21 23 35 07</t>
        </is>
      </c>
      <c r="J13" s="73" t="inlineStr">
        <is>
          <t>Sandra_herrera_bcs@bcs.conalep.edu.mx</t>
        </is>
      </c>
      <c r="K13" s="18" t="inlineStr">
        <is>
          <t>https://www.conalep.edu.mx/directorio-colegios-estatales</t>
        </is>
      </c>
      <c r="L13" s="51" t="inlineStr">
        <is>
          <t>CONFIRMADO</t>
        </is>
      </c>
      <c r="M13" s="30" t="inlineStr">
        <is>
          <t>Sacadas tal cual el directorio</t>
        </is>
      </c>
    </row>
    <row r="14" ht="30" customHeight="1" s="182">
      <c r="A14" s="42" t="inlineStr">
        <is>
          <t>México</t>
        </is>
      </c>
      <c r="B14" s="15" t="inlineStr">
        <is>
          <t>Formación técnica pública</t>
        </is>
      </c>
      <c r="C14" s="73" t="inlineStr">
        <is>
          <t>CONALEP Estatal</t>
        </is>
      </c>
      <c r="D14" s="73" t="inlineStr">
        <is>
          <t>Colegio de Educación Profesional Técnica del Estado de Campeche</t>
        </is>
      </c>
      <c r="E14" s="73" t="n"/>
      <c r="F14" s="73" t="inlineStr">
        <is>
          <t>Dirección General / Estatal (contacto institucional principal)</t>
        </is>
      </c>
      <c r="G14" s="18" t="inlineStr">
        <is>
          <t>https://www.conalep.edu.mx/directorio-colegios-estatales</t>
        </is>
      </c>
      <c r="H14" s="73" t="inlineStr">
        <is>
          <t>Mtra. Angélica Lara Pérez Ríos (Directora General)</t>
        </is>
      </c>
      <c r="I14" s="73" t="inlineStr">
        <is>
          <t>98 18 13 13 53 / 98 18 13 18 76</t>
        </is>
      </c>
      <c r="J14" s="73" t="inlineStr">
        <is>
          <t>direcciongeneral@cam.conalep.edu.mx</t>
        </is>
      </c>
      <c r="K14" s="18" t="inlineStr">
        <is>
          <t>https://www.conalep.edu.mx/directorio-colegios-estatales</t>
        </is>
      </c>
      <c r="L14" s="51" t="inlineStr">
        <is>
          <t>CONFIRMADO</t>
        </is>
      </c>
      <c r="M14" s="30" t="inlineStr">
        <is>
          <t>Sacadas tal cual el directorio</t>
        </is>
      </c>
    </row>
    <row r="15" ht="30" customHeight="1" s="182">
      <c r="A15" s="42" t="inlineStr">
        <is>
          <t>México</t>
        </is>
      </c>
      <c r="B15" s="15" t="inlineStr">
        <is>
          <t>Formación técnica pública</t>
        </is>
      </c>
      <c r="C15" s="73" t="inlineStr">
        <is>
          <t>CONALEP Estatal</t>
        </is>
      </c>
      <c r="D15" s="73" t="inlineStr">
        <is>
          <t>Colegio de Educación Profesional Técnica del Estado de Chiapas</t>
        </is>
      </c>
      <c r="E15" s="73" t="n"/>
      <c r="F15" s="73" t="inlineStr">
        <is>
          <t>Dirección General / Estatal (contacto institucional principal)</t>
        </is>
      </c>
      <c r="G15" s="18" t="inlineStr">
        <is>
          <t>https://www.conalep.edu.mx/directorio-colegios-estatales</t>
        </is>
      </c>
      <c r="H15" s="73" t="inlineStr">
        <is>
          <t>Mtro. Leonardo Omar León Alcázar (Director General)</t>
        </is>
      </c>
      <c r="I15" s="73" t="inlineStr">
        <is>
          <t>96 16 14 10 70 / 96 16 14 10 60</t>
        </is>
      </c>
      <c r="J15" s="73" t="inlineStr">
        <is>
          <t>director.general@chis.conalep.edu.mx/chiapas@chis.conalep.edu.mx</t>
        </is>
      </c>
      <c r="K15" s="18" t="inlineStr">
        <is>
          <t>https://www.conalep.edu.mx/directorio-colegios-estatales</t>
        </is>
      </c>
      <c r="L15" s="51" t="inlineStr">
        <is>
          <t>CONFIRMADO</t>
        </is>
      </c>
      <c r="M15" s="30" t="inlineStr">
        <is>
          <t>Sacadas tal cual el directorio</t>
        </is>
      </c>
    </row>
    <row r="16" ht="30" customHeight="1" s="182">
      <c r="A16" s="42" t="inlineStr">
        <is>
          <t>México</t>
        </is>
      </c>
      <c r="B16" s="15" t="inlineStr">
        <is>
          <t>Formación técnica pública</t>
        </is>
      </c>
      <c r="C16" s="73" t="inlineStr">
        <is>
          <t>CONALEP Estatal</t>
        </is>
      </c>
      <c r="D16" s="73" t="inlineStr">
        <is>
          <t>Colegio de Educación Profesional Técnica del Estado de Chihuahua</t>
        </is>
      </c>
      <c r="E16" s="73" t="n"/>
      <c r="F16" s="73" t="inlineStr">
        <is>
          <t>Dirección General / Estatal (contacto institucional principal)</t>
        </is>
      </c>
      <c r="G16" s="18" t="inlineStr">
        <is>
          <t>https://www.conalep.edu.mx/directorio-colegios-estatales</t>
        </is>
      </c>
      <c r="H16" s="73" t="inlineStr">
        <is>
          <t>Dr. Omar Bazán Flores (Director General)</t>
        </is>
      </c>
      <c r="I16" s="73" t="inlineStr">
        <is>
          <t>61 44 14 61 39 / 61 44 14 19 26 ext. 501</t>
        </is>
      </c>
      <c r="J16" s="73" t="inlineStr">
        <is>
          <t>dgechihuahua@chih.conalep.edu.mx</t>
        </is>
      </c>
      <c r="K16" s="18" t="inlineStr">
        <is>
          <t>https://www.conalep.edu.mx/directorio-colegios-estatales</t>
        </is>
      </c>
      <c r="L16" s="51" t="inlineStr">
        <is>
          <t>CONFIRMADO</t>
        </is>
      </c>
      <c r="M16" s="30" t="inlineStr">
        <is>
          <t>Sacadas tal cual el directorio</t>
        </is>
      </c>
    </row>
    <row r="17" ht="30" customHeight="1" s="182">
      <c r="A17" s="42" t="inlineStr">
        <is>
          <t>México</t>
        </is>
      </c>
      <c r="B17" s="15" t="inlineStr">
        <is>
          <t>Formación técnica pública</t>
        </is>
      </c>
      <c r="C17" s="73" t="inlineStr">
        <is>
          <t>CONALEP Estatal</t>
        </is>
      </c>
      <c r="D17" s="73" t="inlineStr">
        <is>
          <t>Colegio de Educación Profesional Técnica del Estado de Coahuila</t>
        </is>
      </c>
      <c r="E17" s="73" t="n"/>
      <c r="F17" s="73" t="inlineStr">
        <is>
          <t>Dirección General / Estatal (contacto institucional principal)</t>
        </is>
      </c>
      <c r="G17" s="18" t="inlineStr">
        <is>
          <t>https://www.conalep.edu.mx/directorio-colegios-estatales</t>
        </is>
      </c>
      <c r="H17" s="73" t="inlineStr">
        <is>
          <t>Ing. Alfio Vega de la Peña (Director Estatal)</t>
        </is>
      </c>
      <c r="I17" s="73" t="inlineStr">
        <is>
          <t>84 44 10 56 49 / 84 44 10 56 61 / 84 44 10 56 39</t>
        </is>
      </c>
      <c r="J17" s="73" t="inlineStr">
        <is>
          <t>alfio.vega@coah.conalep.edu.mx</t>
        </is>
      </c>
      <c r="K17" s="18" t="inlineStr">
        <is>
          <t>https://www.conalep.edu.mx/directorio-colegios-estatales</t>
        </is>
      </c>
      <c r="L17" s="51" t="inlineStr">
        <is>
          <t>CONFIRMADO</t>
        </is>
      </c>
      <c r="M17" s="30" t="inlineStr">
        <is>
          <t>Sacadas tal cual el directorio</t>
        </is>
      </c>
    </row>
    <row r="18" ht="30" customHeight="1" s="182">
      <c r="A18" s="42" t="inlineStr">
        <is>
          <t>México</t>
        </is>
      </c>
      <c r="B18" s="15" t="inlineStr">
        <is>
          <t>Formación técnica pública</t>
        </is>
      </c>
      <c r="C18" s="73" t="inlineStr">
        <is>
          <t>CONALEP Estatal</t>
        </is>
      </c>
      <c r="D18" s="73" t="inlineStr">
        <is>
          <t>Colegio de Educación Profesional Técnica del Estado de Colima</t>
        </is>
      </c>
      <c r="E18" s="73" t="n"/>
      <c r="F18" s="73" t="inlineStr">
        <is>
          <t>Dirección General / Estatal (contacto institucional principal)</t>
        </is>
      </c>
      <c r="G18" s="18" t="inlineStr">
        <is>
          <t>https://www.conalep.edu.mx/directorio-colegios-estatales</t>
        </is>
      </c>
      <c r="H18" s="73" t="inlineStr">
        <is>
          <t>Mtro. Hugo Trinidad Verduzco Amador (Director Estatal)</t>
        </is>
      </c>
      <c r="I18" s="73" t="inlineStr">
        <is>
          <t>31 23 14 38 88 / 31 23 13 27 80</t>
        </is>
      </c>
      <c r="J18" s="73" t="inlineStr">
        <is>
          <t>directorestatalcolima@col.conalep.edu.mx</t>
        </is>
      </c>
      <c r="K18" s="18" t="inlineStr">
        <is>
          <t>https://www.conalep.edu.mx/directorio-colegios-estatales</t>
        </is>
      </c>
      <c r="L18" s="51" t="inlineStr">
        <is>
          <t>CONFIRMADO</t>
        </is>
      </c>
      <c r="M18" s="30" t="inlineStr">
        <is>
          <t>Sacadas tal cual el directorio</t>
        </is>
      </c>
    </row>
    <row r="19" ht="30" customHeight="1" s="182">
      <c r="A19" s="42" t="inlineStr">
        <is>
          <t>México</t>
        </is>
      </c>
      <c r="B19" s="15" t="inlineStr">
        <is>
          <t>Formación técnica pública</t>
        </is>
      </c>
      <c r="C19" s="73" t="inlineStr">
        <is>
          <t>CONALEP Estatal</t>
        </is>
      </c>
      <c r="D19" s="73" t="inlineStr">
        <is>
          <t>Colegio de Educación Profesional Técnica del Estado de Durango</t>
        </is>
      </c>
      <c r="E19" s="73" t="n"/>
      <c r="F19" s="73" t="inlineStr">
        <is>
          <t>Dirección General / Estatal (contacto institucional principal)</t>
        </is>
      </c>
      <c r="G19" s="18" t="inlineStr">
        <is>
          <t>https://www.conalep.edu.mx/directorio-colegios-estatales</t>
        </is>
      </c>
      <c r="H19" s="73" t="inlineStr">
        <is>
          <t>Dr. Martín Atienzo Lazos (Director Estatal)</t>
        </is>
      </c>
      <c r="I19" s="73" t="inlineStr">
        <is>
          <t>61 88 17 12 68 / 61 88 17 96 26 / 61 88 29 34 64</t>
        </is>
      </c>
      <c r="J19" s="73" t="inlineStr">
        <is>
          <t>direccionestatal@dgo.conalep.edu.mx</t>
        </is>
      </c>
      <c r="K19" s="18" t="inlineStr">
        <is>
          <t>https://www.conalep.edu.mx/directorio-colegios-estatales</t>
        </is>
      </c>
      <c r="L19" s="51" t="inlineStr">
        <is>
          <t>CONFIRMADO</t>
        </is>
      </c>
      <c r="M19" s="30" t="inlineStr">
        <is>
          <t>Sacadas tal cual el directorio</t>
        </is>
      </c>
    </row>
    <row r="20" ht="30" customHeight="1" s="182">
      <c r="A20" s="42" t="inlineStr">
        <is>
          <t>México</t>
        </is>
      </c>
      <c r="B20" s="15" t="inlineStr">
        <is>
          <t>Formación técnica pública</t>
        </is>
      </c>
      <c r="C20" s="73" t="inlineStr">
        <is>
          <t>CONALEP Estatal</t>
        </is>
      </c>
      <c r="D20" s="73" t="inlineStr">
        <is>
          <t>Colegio de Educación Profesional Técnica del Estado de Guanajuato</t>
        </is>
      </c>
      <c r="E20" s="73" t="n"/>
      <c r="F20" s="73" t="inlineStr">
        <is>
          <t>Dirección General / Estatal (contacto institucional principal)</t>
        </is>
      </c>
      <c r="G20" s="18" t="inlineStr">
        <is>
          <t>https://www.conalep.edu.mx/directorio-colegios-estatales</t>
        </is>
      </c>
      <c r="H20" s="73" t="inlineStr">
        <is>
          <t>Mtro. Nicolás Gutiérrez Ortega (Director General)</t>
        </is>
      </c>
      <c r="I20" s="73" t="inlineStr">
        <is>
          <t>47 27 48 64 10 / 47 27 48 64 11 / 47 27 48 64 15</t>
        </is>
      </c>
      <c r="J20" s="73" t="inlineStr">
        <is>
          <t>direcciongeneral@gto.conalep.edu.mx</t>
        </is>
      </c>
      <c r="K20" s="18" t="inlineStr">
        <is>
          <t>https://www.conalep.edu.mx/directorio-colegios-estatales</t>
        </is>
      </c>
      <c r="L20" s="51" t="inlineStr">
        <is>
          <t>CONFIRMADO</t>
        </is>
      </c>
      <c r="M20" s="30" t="inlineStr">
        <is>
          <t>Sacadas tal cual el directorio</t>
        </is>
      </c>
    </row>
    <row r="21" ht="30" customHeight="1" s="182">
      <c r="A21" s="42" t="inlineStr">
        <is>
          <t>México</t>
        </is>
      </c>
      <c r="B21" s="15" t="inlineStr">
        <is>
          <t>Formación técnica pública</t>
        </is>
      </c>
      <c r="C21" s="73" t="inlineStr">
        <is>
          <t>CONALEP Estatal</t>
        </is>
      </c>
      <c r="D21" s="73" t="inlineStr">
        <is>
          <t>Colegio de Educación Profesional Técnica del Estado de Guerrero</t>
        </is>
      </c>
      <c r="E21" s="73" t="n"/>
      <c r="F21" s="73" t="inlineStr">
        <is>
          <t>Dirección General / Estatal (contacto institucional principal)</t>
        </is>
      </c>
      <c r="G21" s="18" t="inlineStr">
        <is>
          <t>https://www.conalep.edu.mx/directorio-colegios-estatales</t>
        </is>
      </c>
      <c r="H21" s="73" t="inlineStr">
        <is>
          <t>Lic. Víctor Alejandro Ocampo Dionicio (Director General)</t>
        </is>
      </c>
      <c r="I21" s="73" t="inlineStr">
        <is>
          <t>74 74 71 93 30 / 74 74 71 93 31 / 74 74 71 93 51</t>
        </is>
      </c>
      <c r="J21" s="73" t="inlineStr">
        <is>
          <t>dgguerrero@gro.conalep.edu.mx</t>
        </is>
      </c>
      <c r="K21" s="18" t="inlineStr">
        <is>
          <t>https://www.conalep.edu.mx/directorio-colegios-estatales</t>
        </is>
      </c>
      <c r="L21" s="51" t="inlineStr">
        <is>
          <t>CONFIRMADO</t>
        </is>
      </c>
      <c r="M21" s="30" t="inlineStr">
        <is>
          <t>Sacadas tal cual el directorio</t>
        </is>
      </c>
    </row>
    <row r="22" ht="30" customHeight="1" s="182">
      <c r="A22" s="42" t="inlineStr">
        <is>
          <t>México</t>
        </is>
      </c>
      <c r="B22" s="15" t="inlineStr">
        <is>
          <t>Formación técnica pública</t>
        </is>
      </c>
      <c r="C22" s="73" t="inlineStr">
        <is>
          <t>CONALEP Estatal</t>
        </is>
      </c>
      <c r="D22" s="73" t="inlineStr">
        <is>
          <t>Colegio de Educación Profesional Técnica del Estado de Hidalgo</t>
        </is>
      </c>
      <c r="E22" s="73" t="n"/>
      <c r="F22" s="73" t="inlineStr">
        <is>
          <t>Dirección General / Estatal (contacto institucional principal)</t>
        </is>
      </c>
      <c r="G22" s="18" t="inlineStr">
        <is>
          <t>https://www.conalep.edu.mx/directorio-colegios-estatales</t>
        </is>
      </c>
      <c r="H22" s="73" t="inlineStr">
        <is>
          <t>Ing. Abel Rojo Muñoz (Director General)</t>
        </is>
      </c>
      <c r="I22" s="73" t="inlineStr">
        <is>
          <t>77 17 18 61 68 / 77 17 18 61 78</t>
        </is>
      </c>
      <c r="J22" s="73" t="inlineStr">
        <is>
          <t>arojom@hgo.conalep.edu.mx</t>
        </is>
      </c>
      <c r="K22" s="18" t="inlineStr">
        <is>
          <t>https://www.conalep.edu.mx/directorio-colegios-estatales</t>
        </is>
      </c>
      <c r="L22" s="51" t="inlineStr">
        <is>
          <t>CONFIRMADO</t>
        </is>
      </c>
      <c r="M22" s="30" t="inlineStr">
        <is>
          <t>Sacadas tal cual el directorio</t>
        </is>
      </c>
    </row>
    <row r="23" ht="30" customHeight="1" s="182">
      <c r="A23" s="42" t="inlineStr">
        <is>
          <t>México</t>
        </is>
      </c>
      <c r="B23" s="15" t="inlineStr">
        <is>
          <t>Formación técnica pública</t>
        </is>
      </c>
      <c r="C23" s="73" t="inlineStr">
        <is>
          <t>CONALEP Estatal</t>
        </is>
      </c>
      <c r="D23" s="73" t="inlineStr">
        <is>
          <t>Colegio de Educación Profesional Técnica del Estado de Jalisco</t>
        </is>
      </c>
      <c r="E23" s="73" t="n"/>
      <c r="F23" s="73" t="inlineStr">
        <is>
          <t>Dirección General / Estatal (contacto institucional principal)</t>
        </is>
      </c>
      <c r="G23" s="18" t="inlineStr">
        <is>
          <t>https://www.conalep.edu.mx/directorio-colegios-estatales</t>
        </is>
      </c>
      <c r="H23" s="73" t="inlineStr">
        <is>
          <t>Mtro. Néstor Tello (Director General)</t>
        </is>
      </c>
      <c r="I23" s="73" t="inlineStr">
        <is>
          <t>33 31 34 16 30 / 33 31 34 16 53</t>
        </is>
      </c>
      <c r="J23" s="73" t="inlineStr">
        <is>
          <t>nestor.tello@conalepjalisco.edu.mx</t>
        </is>
      </c>
      <c r="K23" s="18" t="inlineStr">
        <is>
          <t>https://www.conalep.edu.mx/directorio-colegios-estatales</t>
        </is>
      </c>
      <c r="L23" s="51" t="inlineStr">
        <is>
          <t>CONFIRMADO</t>
        </is>
      </c>
      <c r="M23" s="30" t="inlineStr">
        <is>
          <t>Sacadas tal cual el directorio</t>
        </is>
      </c>
    </row>
    <row r="24" ht="30" customHeight="1" s="182">
      <c r="A24" s="42" t="inlineStr">
        <is>
          <t>México</t>
        </is>
      </c>
      <c r="B24" s="15" t="inlineStr">
        <is>
          <t>Formación técnica pública</t>
        </is>
      </c>
      <c r="C24" s="73" t="inlineStr">
        <is>
          <t>CONALEP Estatal</t>
        </is>
      </c>
      <c r="D24" s="73" t="inlineStr">
        <is>
          <t>Colegio de Educación Profesional Técnica del Estado de México</t>
        </is>
      </c>
      <c r="E24" s="73" t="n"/>
      <c r="F24" s="73" t="inlineStr">
        <is>
          <t>Dirección General / Estatal (contacto institucional principal)</t>
        </is>
      </c>
      <c r="G24" s="18" t="inlineStr">
        <is>
          <t>https://www.conalep.edu.mx/directorio-colegios-estatales</t>
        </is>
      </c>
      <c r="H24" s="73" t="inlineStr">
        <is>
          <t>Mtra. Margarita Camacho Gómez (Directora General)</t>
        </is>
      </c>
      <c r="I24" s="73" t="inlineStr">
        <is>
          <t>55 26 11 41 40 / 55 26 11 41 41 / 55 58 17 16 19 / 55 26 11 41 44</t>
        </is>
      </c>
      <c r="J24" s="73" t="inlineStr">
        <is>
          <t>direccion@conalepmex.edu.mx</t>
        </is>
      </c>
      <c r="K24" s="18" t="inlineStr">
        <is>
          <t>https://www.conalep.edu.mx/directorio-colegios-estatales</t>
        </is>
      </c>
      <c r="L24" s="51" t="inlineStr">
        <is>
          <t>CONFIRMADO</t>
        </is>
      </c>
      <c r="M24" s="30" t="inlineStr">
        <is>
          <t>Sacadas tal cual el directorio</t>
        </is>
      </c>
    </row>
    <row r="25" ht="30" customHeight="1" s="182">
      <c r="A25" s="42" t="inlineStr">
        <is>
          <t>México</t>
        </is>
      </c>
      <c r="B25" s="15" t="inlineStr">
        <is>
          <t>Formación técnica pública</t>
        </is>
      </c>
      <c r="C25" s="73" t="inlineStr">
        <is>
          <t>CONALEP Estatal</t>
        </is>
      </c>
      <c r="D25" s="73" t="inlineStr">
        <is>
          <t>Colegio de Educación Profesional Técnica del Estado de Michoacán</t>
        </is>
      </c>
      <c r="E25" s="73" t="n"/>
      <c r="F25" s="73" t="inlineStr">
        <is>
          <t>Dirección General / Estatal (contacto institucional principal)</t>
        </is>
      </c>
      <c r="G25" s="18" t="inlineStr">
        <is>
          <t>https://www.conalep.edu.mx/directorio-colegios-estatales</t>
        </is>
      </c>
      <c r="H25" s="73" t="inlineStr">
        <is>
          <t>Mtra. Andrea Guadalupe Guerra Zepeda (Directora General)</t>
        </is>
      </c>
      <c r="I25" s="73" t="inlineStr">
        <is>
          <t>44 33 24 60 18 / 44 31 13 61 00 / 44 31 13 61 02</t>
        </is>
      </c>
      <c r="J25" s="73" t="inlineStr">
        <is>
          <t>conalepmich@mich.conalep.edu.mx</t>
        </is>
      </c>
      <c r="K25" s="18" t="inlineStr">
        <is>
          <t>https://www.conalep.edu.mx/directorio-colegios-estatales</t>
        </is>
      </c>
      <c r="L25" s="51" t="inlineStr">
        <is>
          <t>CONFIRMADO</t>
        </is>
      </c>
      <c r="M25" s="30" t="inlineStr">
        <is>
          <t>Sacadas tal cual el directorio</t>
        </is>
      </c>
    </row>
    <row r="26" ht="30" customHeight="1" s="182">
      <c r="A26" s="42" t="inlineStr">
        <is>
          <t>México</t>
        </is>
      </c>
      <c r="B26" s="15" t="inlineStr">
        <is>
          <t>Formación técnica pública</t>
        </is>
      </c>
      <c r="C26" s="73" t="inlineStr">
        <is>
          <t>CONALEP Estatal</t>
        </is>
      </c>
      <c r="D26" s="73" t="inlineStr">
        <is>
          <t>Colegio de Educación Profesional Técnica del Estado de Morelos</t>
        </is>
      </c>
      <c r="E26" s="73" t="n"/>
      <c r="F26" s="73" t="inlineStr">
        <is>
          <t>Dirección General / Estatal (contacto institucional principal)</t>
        </is>
      </c>
      <c r="G26" s="18" t="inlineStr">
        <is>
          <t>https://www.conalep.edu.mx/directorio-colegios-estatales</t>
        </is>
      </c>
      <c r="H26" s="73" t="inlineStr">
        <is>
          <t>Arq. Rodrigo Luis Arredondo López (Director General)</t>
        </is>
      </c>
      <c r="I26" s="73" t="inlineStr">
        <is>
          <t>77 73 18 03 43 / 77 73 18 03 87 / 77 73 18 86 53</t>
        </is>
      </c>
      <c r="J26" s="73" t="inlineStr">
        <is>
          <t>rlarredondo@conalep.edu.mx</t>
        </is>
      </c>
      <c r="K26" s="18" t="inlineStr">
        <is>
          <t>https://www.conalep.edu.mx/directorio-colegios-estatales</t>
        </is>
      </c>
      <c r="L26" s="51" t="inlineStr">
        <is>
          <t>CONFIRMADO</t>
        </is>
      </c>
      <c r="M26" s="30" t="inlineStr">
        <is>
          <t>Sacadas tal cual el directorio</t>
        </is>
      </c>
    </row>
    <row r="27" ht="30" customHeight="1" s="182">
      <c r="A27" s="42" t="inlineStr">
        <is>
          <t>México</t>
        </is>
      </c>
      <c r="B27" s="15" t="inlineStr">
        <is>
          <t>Formación técnica pública</t>
        </is>
      </c>
      <c r="C27" s="73" t="inlineStr">
        <is>
          <t>CONALEP Estatal</t>
        </is>
      </c>
      <c r="D27" s="73" t="inlineStr">
        <is>
          <t>Colegio de Educación Profesional Técnica del Estado de Nayarit</t>
        </is>
      </c>
      <c r="E27" s="73" t="n"/>
      <c r="F27" s="73" t="inlineStr">
        <is>
          <t>Dirección General / Estatal (contacto institucional principal)</t>
        </is>
      </c>
      <c r="G27" s="18" t="inlineStr">
        <is>
          <t>https://www.conalep.edu.mx/directorio-colegios-estatales</t>
        </is>
      </c>
      <c r="H27" s="73" t="inlineStr">
        <is>
          <t>Ing. Hermilo Said López Velarde (Director General)</t>
        </is>
      </c>
      <c r="I27" s="73" t="inlineStr">
        <is>
          <t>31 11 33 48 69 / 31 11 33 48 74</t>
        </is>
      </c>
      <c r="J27" s="73" t="inlineStr">
        <is>
          <t>conalep_nayarit@nay.conalep.edu.mx</t>
        </is>
      </c>
      <c r="K27" s="18" t="inlineStr">
        <is>
          <t>https://www.conalep.edu.mx/directorio-colegios-estatales</t>
        </is>
      </c>
      <c r="L27" s="51" t="inlineStr">
        <is>
          <t>CONFIRMADO</t>
        </is>
      </c>
      <c r="M27" s="30" t="inlineStr">
        <is>
          <t>Sacadas tal cual el directorio</t>
        </is>
      </c>
    </row>
    <row r="28" ht="30" customHeight="1" s="182">
      <c r="A28" s="42" t="inlineStr">
        <is>
          <t>México</t>
        </is>
      </c>
      <c r="B28" s="15" t="inlineStr">
        <is>
          <t>Formación técnica pública</t>
        </is>
      </c>
      <c r="C28" s="73" t="inlineStr">
        <is>
          <t>CONALEP Estatal</t>
        </is>
      </c>
      <c r="D28" s="73" t="inlineStr">
        <is>
          <t>Colegio de Educación Profesional Técnica del Estado de Nuevo León</t>
        </is>
      </c>
      <c r="E28" s="73" t="n"/>
      <c r="F28" s="73" t="inlineStr">
        <is>
          <t>Dirección General / Estatal (contacto institucional principal)</t>
        </is>
      </c>
      <c r="G28" s="18" t="inlineStr">
        <is>
          <t>https://www.conalep.edu.mx/directorio-colegios-estatales</t>
        </is>
      </c>
      <c r="H28" s="73" t="inlineStr">
        <is>
          <t>Lic. Andrés Pintos Caballero (Director General)</t>
        </is>
      </c>
      <c r="I28" s="73" t="inlineStr">
        <is>
          <t>81 48 42 00 20</t>
        </is>
      </c>
      <c r="J28" s="73" t="inlineStr">
        <is>
          <t>direcciongeneral@nl.conalep.edu.mx</t>
        </is>
      </c>
      <c r="K28" s="18" t="inlineStr">
        <is>
          <t>https://www.conalep.edu.mx/directorio-colegios-estatales</t>
        </is>
      </c>
      <c r="L28" s="51" t="inlineStr">
        <is>
          <t>CONFIRMADO</t>
        </is>
      </c>
      <c r="M28" s="30" t="inlineStr">
        <is>
          <t>Sacadas tal cual el directorio</t>
        </is>
      </c>
    </row>
    <row r="29" ht="30" customHeight="1" s="182">
      <c r="A29" s="42" t="inlineStr">
        <is>
          <t>México</t>
        </is>
      </c>
      <c r="B29" s="15" t="inlineStr">
        <is>
          <t>Formación técnica pública</t>
        </is>
      </c>
      <c r="C29" s="73" t="inlineStr">
        <is>
          <t>CONALEP Estatal</t>
        </is>
      </c>
      <c r="D29" s="73" t="inlineStr">
        <is>
          <t>Colegio de Educación Profesional Técnica del Estado de Puebla</t>
        </is>
      </c>
      <c r="E29" s="73" t="n"/>
      <c r="F29" s="73" t="inlineStr">
        <is>
          <t>Dirección General / Estatal (contacto institucional principal)</t>
        </is>
      </c>
      <c r="G29" s="18" t="inlineStr">
        <is>
          <t>https://www.conalep.edu.mx/directorio-colegios-estatales</t>
        </is>
      </c>
      <c r="H29" s="73" t="inlineStr">
        <is>
          <t>Lic. Gonzalo Amador Juárez Uribe (Director General)</t>
        </is>
      </c>
      <c r="I29" s="73" t="inlineStr">
        <is>
          <t>22 22 31 47 75 / 22 22 31 47 76 / 22 22 31 47 77</t>
        </is>
      </c>
      <c r="J29" s="73" t="inlineStr">
        <is>
          <t>dir_gen.dg@pue.conalep.edu.mx</t>
        </is>
      </c>
      <c r="K29" s="18" t="inlineStr">
        <is>
          <t>https://www.conalep.edu.mx/directorio-colegios-estatales</t>
        </is>
      </c>
      <c r="L29" s="51" t="inlineStr">
        <is>
          <t>CONFIRMADO</t>
        </is>
      </c>
      <c r="M29" s="30" t="inlineStr">
        <is>
          <t>Sacadas tal cual el directorio</t>
        </is>
      </c>
    </row>
    <row r="30" ht="30" customHeight="1" s="182">
      <c r="A30" s="42" t="inlineStr">
        <is>
          <t>México</t>
        </is>
      </c>
      <c r="B30" s="15" t="inlineStr">
        <is>
          <t>Formación técnica pública</t>
        </is>
      </c>
      <c r="C30" s="73" t="inlineStr">
        <is>
          <t>CONALEP Estatal</t>
        </is>
      </c>
      <c r="D30" s="73" t="inlineStr">
        <is>
          <t>Colegio de Educación Profesional Técnica del Estado de Querétaro</t>
        </is>
      </c>
      <c r="E30" s="73" t="n"/>
      <c r="F30" s="73" t="inlineStr">
        <is>
          <t>Dirección General / Estatal (contacto institucional principal)</t>
        </is>
      </c>
      <c r="G30" s="18" t="inlineStr">
        <is>
          <t>https://www.conalep.edu.mx/directorio-colegios-estatales</t>
        </is>
      </c>
      <c r="H30" s="73" t="inlineStr">
        <is>
          <t>Mtro. José Carlos Arredondo Velázquez (Director General)</t>
        </is>
      </c>
      <c r="I30" s="73" t="inlineStr">
        <is>
          <t>44 22 42 00 20 / 44 22 16 26 63 / 44 22 15 74 87 / 44 22 42 30 49</t>
        </is>
      </c>
      <c r="J30" s="73" t="inlineStr">
        <is>
          <t>dg@qro.conalep.edu.mx</t>
        </is>
      </c>
      <c r="K30" s="18" t="inlineStr">
        <is>
          <t>https://www.conalep.edu.mx/directorio-colegios-estatales</t>
        </is>
      </c>
      <c r="L30" s="51" t="inlineStr">
        <is>
          <t>CONFIRMADO</t>
        </is>
      </c>
      <c r="M30" s="30" t="inlineStr">
        <is>
          <t>Sacadas tal cual el directorio</t>
        </is>
      </c>
    </row>
    <row r="31" ht="30" customHeight="1" s="182">
      <c r="A31" s="42" t="inlineStr">
        <is>
          <t>México</t>
        </is>
      </c>
      <c r="B31" s="15" t="inlineStr">
        <is>
          <t>Formación técnica pública</t>
        </is>
      </c>
      <c r="C31" s="73" t="inlineStr">
        <is>
          <t>CONALEP Estatal</t>
        </is>
      </c>
      <c r="D31" s="73" t="inlineStr">
        <is>
          <t>Colegio de Educación Profesional Técnica del Estado de Quintana Roo</t>
        </is>
      </c>
      <c r="E31" s="73" t="n"/>
      <c r="F31" s="73" t="inlineStr">
        <is>
          <t>Dirección General / Estatal (contacto institucional principal)</t>
        </is>
      </c>
      <c r="G31" s="18" t="inlineStr">
        <is>
          <t>https://www.conalep.edu.mx/directorio-colegios-estatales</t>
        </is>
      </c>
      <c r="H31" s="73" t="inlineStr">
        <is>
          <t>Mtro. Aníbal José Montalvo Pérez (Director General)</t>
        </is>
      </c>
      <c r="I31" s="73" t="inlineStr">
        <is>
          <t>98 31 29 32 72 / 98 31 54 41 72 / 98 31 29 32 73</t>
        </is>
      </c>
      <c r="J31" s="73" t="inlineStr">
        <is>
          <t>direcciongeneral@qroo.conalep.edu.mx</t>
        </is>
      </c>
      <c r="K31" s="18" t="inlineStr">
        <is>
          <t>https://www.conalep.edu.mx/directorio-colegios-estatales</t>
        </is>
      </c>
      <c r="L31" s="51" t="inlineStr">
        <is>
          <t>CONFIRMADO</t>
        </is>
      </c>
      <c r="M31" s="30" t="inlineStr">
        <is>
          <t>Sacadas tal cual el directorio</t>
        </is>
      </c>
    </row>
    <row r="32" ht="30" customHeight="1" s="182">
      <c r="A32" s="42" t="inlineStr">
        <is>
          <t>México</t>
        </is>
      </c>
      <c r="B32" s="15" t="inlineStr">
        <is>
          <t>Formación técnica pública</t>
        </is>
      </c>
      <c r="C32" s="73" t="inlineStr">
        <is>
          <t>CONALEP Estatal</t>
        </is>
      </c>
      <c r="D32" s="73" t="inlineStr">
        <is>
          <t>Colegio de Educación Profesional Técnica del Estado de San Luis Potosí</t>
        </is>
      </c>
      <c r="E32" s="73" t="n"/>
      <c r="F32" s="73" t="inlineStr">
        <is>
          <t>Dirección General / Estatal (contacto institucional principal)</t>
        </is>
      </c>
      <c r="G32" s="18" t="inlineStr">
        <is>
          <t>https://www.conalep.edu.mx/directorio-colegios-estatales</t>
        </is>
      </c>
      <c r="H32" s="73" t="inlineStr">
        <is>
          <t>Lic. María Patricia Álvarez Escobedo (Directora General)</t>
        </is>
      </c>
      <c r="I32" s="73" t="inlineStr">
        <is>
          <t>44 48 11 91 01 / 44 48 11 29 71 / 44 48 11 91 02</t>
        </is>
      </c>
      <c r="J32" s="73" t="inlineStr">
        <is>
          <t>direccion@slp.conalep.edu.mx</t>
        </is>
      </c>
      <c r="K32" s="18" t="inlineStr">
        <is>
          <t>https://www.conalep.edu.mx/directorio-colegios-estatales</t>
        </is>
      </c>
      <c r="L32" s="51" t="inlineStr">
        <is>
          <t>CONFIRMADO</t>
        </is>
      </c>
      <c r="M32" s="30" t="inlineStr">
        <is>
          <t>Sacadas tal cual el directorio</t>
        </is>
      </c>
    </row>
    <row r="33" ht="30" customHeight="1" s="182">
      <c r="A33" s="42" t="inlineStr">
        <is>
          <t>México</t>
        </is>
      </c>
      <c r="B33" s="15" t="inlineStr">
        <is>
          <t>Formación técnica pública</t>
        </is>
      </c>
      <c r="C33" s="73" t="inlineStr">
        <is>
          <t>CONALEP Estatal</t>
        </is>
      </c>
      <c r="D33" s="73" t="inlineStr">
        <is>
          <t>Colegio de Educación Profesional Técnica del Estado de Sinaloa</t>
        </is>
      </c>
      <c r="E33" s="73" t="n"/>
      <c r="F33" s="73" t="inlineStr">
        <is>
          <t>Dirección General / Estatal (contacto institucional principal)</t>
        </is>
      </c>
      <c r="G33" s="18" t="inlineStr">
        <is>
          <t>https://www.conalep.edu.mx/directorio-colegios-estatales</t>
        </is>
      </c>
      <c r="H33" s="73" t="inlineStr">
        <is>
          <t>M.C. Rigoberto Velázquez Elenes (Director General)</t>
        </is>
      </c>
      <c r="I33" s="73" t="inlineStr">
        <is>
          <t>66 77 58 11 00 / 66 77 58 11 01</t>
        </is>
      </c>
      <c r="J33" s="73" t="inlineStr">
        <is>
          <t>sinaloa@sin.conalep.edu.mx</t>
        </is>
      </c>
      <c r="K33" s="18" t="inlineStr">
        <is>
          <t>https://www.conalep.edu.mx/directorio-colegios-estatales</t>
        </is>
      </c>
      <c r="L33" s="51" t="inlineStr">
        <is>
          <t>CONFIRMADO</t>
        </is>
      </c>
      <c r="M33" s="30" t="inlineStr">
        <is>
          <t>Sacadas tal cual el directorio</t>
        </is>
      </c>
    </row>
    <row r="34" ht="30" customHeight="1" s="182">
      <c r="A34" s="42" t="inlineStr">
        <is>
          <t>México</t>
        </is>
      </c>
      <c r="B34" s="15" t="inlineStr">
        <is>
          <t>Formación técnica pública</t>
        </is>
      </c>
      <c r="C34" s="73" t="inlineStr">
        <is>
          <t>CONALEP Estatal</t>
        </is>
      </c>
      <c r="D34" s="73" t="inlineStr">
        <is>
          <t>Colegio de Educación Profesional Técnica del Estado de Sonora</t>
        </is>
      </c>
      <c r="E34" s="73" t="n"/>
      <c r="F34" s="73" t="inlineStr">
        <is>
          <t>Dirección General / Estatal (contacto institucional principal)</t>
        </is>
      </c>
      <c r="G34" s="18" t="inlineStr">
        <is>
          <t>https://www.conalep.edu.mx/directorio-colegios-estatales</t>
        </is>
      </c>
      <c r="H34" s="73" t="inlineStr">
        <is>
          <t>Lic. Luisa Cristina Rodríguez Ibarra (Directora General)</t>
        </is>
      </c>
      <c r="I34" s="73" t="inlineStr">
        <is>
          <t>66 22 12 15 20 / 66 22 89 37 58 / 66 22 89 37 50</t>
        </is>
      </c>
      <c r="J34" s="73" t="inlineStr">
        <is>
          <t>director@conalepsonora.edu.mx</t>
        </is>
      </c>
      <c r="K34" s="18" t="inlineStr">
        <is>
          <t>https://www.conalep.edu.mx/directorio-colegios-estatales</t>
        </is>
      </c>
      <c r="L34" s="51" t="inlineStr">
        <is>
          <t>CONFIRMADO</t>
        </is>
      </c>
      <c r="M34" s="30" t="inlineStr">
        <is>
          <t>Sacadas tal cual el directorio</t>
        </is>
      </c>
    </row>
    <row r="35" ht="30" customHeight="1" s="182">
      <c r="A35" s="42" t="inlineStr">
        <is>
          <t>México</t>
        </is>
      </c>
      <c r="B35" s="15" t="inlineStr">
        <is>
          <t>Formación técnica pública</t>
        </is>
      </c>
      <c r="C35" s="73" t="inlineStr">
        <is>
          <t>CONALEP Estatal</t>
        </is>
      </c>
      <c r="D35" s="73" t="inlineStr">
        <is>
          <t>Colegio de Educación Profesional Técnica del Estado de Tabasco</t>
        </is>
      </c>
      <c r="E35" s="73" t="n"/>
      <c r="F35" s="73" t="inlineStr">
        <is>
          <t>Dirección General / Estatal (contacto institucional principal)</t>
        </is>
      </c>
      <c r="G35" s="18" t="inlineStr">
        <is>
          <t>https://www.conalep.edu.mx/directorio-colegios-estatales</t>
        </is>
      </c>
      <c r="H35" s="73" t="inlineStr">
        <is>
          <t>Lic. Octavio Hernández Rodríguez (Director General)</t>
        </is>
      </c>
      <c r="I35" s="73" t="inlineStr">
        <is>
          <t>99 33 57 35 91 / 99 33 57 35 93</t>
        </is>
      </c>
      <c r="J35" s="73" t="inlineStr">
        <is>
          <t>secrepart@tab.conalep.edu.mx</t>
        </is>
      </c>
      <c r="K35" s="18" t="inlineStr">
        <is>
          <t>https://www.conalep.edu.mx/directorio-colegios-estatales</t>
        </is>
      </c>
      <c r="L35" s="51" t="inlineStr">
        <is>
          <t>CONFIRMADO</t>
        </is>
      </c>
      <c r="M35" s="30" t="inlineStr">
        <is>
          <t>Sacadas tal cual el directorio</t>
        </is>
      </c>
    </row>
    <row r="36" ht="30" customHeight="1" s="182">
      <c r="A36" s="42" t="inlineStr">
        <is>
          <t>México</t>
        </is>
      </c>
      <c r="B36" s="15" t="inlineStr">
        <is>
          <t>Formación técnica pública</t>
        </is>
      </c>
      <c r="C36" s="73" t="inlineStr">
        <is>
          <t>CONALEP Estatal</t>
        </is>
      </c>
      <c r="D36" s="73" t="inlineStr">
        <is>
          <t>Colegio de Educación Profesional Técnica del Estado de Tamaulipas</t>
        </is>
      </c>
      <c r="E36" s="73" t="n"/>
      <c r="F36" s="73" t="inlineStr">
        <is>
          <t>Dirección General / Estatal (contacto institucional principal)</t>
        </is>
      </c>
      <c r="G36" s="18" t="inlineStr">
        <is>
          <t>https://www.conalep.edu.mx/directorio-colegios-estatales</t>
        </is>
      </c>
      <c r="H36" s="73" t="inlineStr">
        <is>
          <t>Mtro. Fernando Arizpe Pedraza (Director General)</t>
        </is>
      </c>
      <c r="I36" s="73" t="inlineStr">
        <is>
          <t>83 41 12 00 55 / 83 41 12 00 58 / 83 41 12 00 59 / 83 41 12 00 60</t>
        </is>
      </c>
      <c r="J36" s="73" t="inlineStr">
        <is>
          <t>dg.conalep@tam.conalep.edu.mx</t>
        </is>
      </c>
      <c r="K36" s="18" t="inlineStr">
        <is>
          <t>https://www.conalep.edu.mx/directorio-colegios-estatales</t>
        </is>
      </c>
      <c r="L36" s="51" t="inlineStr">
        <is>
          <t>CONFIRMADO</t>
        </is>
      </c>
      <c r="M36" s="30" t="inlineStr">
        <is>
          <t>Sacadas tal cual el directorio</t>
        </is>
      </c>
    </row>
    <row r="37" ht="30" customHeight="1" s="182">
      <c r="A37" s="42" t="inlineStr">
        <is>
          <t>México</t>
        </is>
      </c>
      <c r="B37" s="15" t="inlineStr">
        <is>
          <t>Formación técnica pública</t>
        </is>
      </c>
      <c r="C37" s="73" t="inlineStr">
        <is>
          <t>CONALEP Estatal</t>
        </is>
      </c>
      <c r="D37" s="73" t="inlineStr">
        <is>
          <t>Colegio de Educación Profesional Técnica del Estado de Tlaxcala</t>
        </is>
      </c>
      <c r="E37" s="73" t="n"/>
      <c r="F37" s="73" t="inlineStr">
        <is>
          <t>Dirección General / Estatal (contacto institucional principal)</t>
        </is>
      </c>
      <c r="G37" s="18" t="inlineStr">
        <is>
          <t>https://www.conalep.edu.mx/directorio-colegios-estatales</t>
        </is>
      </c>
      <c r="H37" s="73" t="inlineStr">
        <is>
          <t>Dr. Blas Marvin Mora Olvera (Director General)</t>
        </is>
      </c>
      <c r="I37" s="73" t="inlineStr">
        <is>
          <t>24 64 66 26 00 / 24 64 66 26 02</t>
        </is>
      </c>
      <c r="J37" s="73" t="inlineStr">
        <is>
          <t>direccion.general@tlaxcala.conalep.edu.mx</t>
        </is>
      </c>
      <c r="K37" s="18" t="inlineStr">
        <is>
          <t>https://www.conalep.edu.mx/directorio-colegios-estatales</t>
        </is>
      </c>
      <c r="L37" s="51" t="inlineStr">
        <is>
          <t>CONFIRMADO</t>
        </is>
      </c>
      <c r="M37" s="30" t="inlineStr">
        <is>
          <t>Sacadas tal cual el directorio</t>
        </is>
      </c>
    </row>
    <row r="38" ht="30" customHeight="1" s="182">
      <c r="A38" s="42" t="inlineStr">
        <is>
          <t>México</t>
        </is>
      </c>
      <c r="B38" s="15" t="inlineStr">
        <is>
          <t>Formación técnica pública</t>
        </is>
      </c>
      <c r="C38" s="73" t="inlineStr">
        <is>
          <t>CONALEP Estatal</t>
        </is>
      </c>
      <c r="D38" s="73" t="inlineStr">
        <is>
          <t>Colegio de Educación Profesional Técnica del Estado de Veracruz</t>
        </is>
      </c>
      <c r="E38" s="73" t="n"/>
      <c r="F38" s="73" t="inlineStr">
        <is>
          <t>Dirección General / Estatal (contacto institucional principal)</t>
        </is>
      </c>
      <c r="G38" s="18" t="inlineStr">
        <is>
          <t>https://www.conalep.edu.mx/directorio-colegios-estatales</t>
        </is>
      </c>
      <c r="H38" s="73" t="inlineStr">
        <is>
          <t>M.T.I. Miguel Hernández Linares (Director General)</t>
        </is>
      </c>
      <c r="I38" s="73" t="inlineStr">
        <is>
          <t>22 88 18 50 13 / 22 88 18 47 73 / 22 88 18 48 55 / 22 88 18 45 77</t>
        </is>
      </c>
      <c r="J38" s="73" t="inlineStr">
        <is>
          <t>mhlinares@ver.conalep.edu.mx</t>
        </is>
      </c>
      <c r="K38" s="18" t="inlineStr">
        <is>
          <t>https://www.conalep.edu.mx/directorio-colegios-estatales</t>
        </is>
      </c>
      <c r="L38" s="51" t="inlineStr">
        <is>
          <t>CONFIRMADO</t>
        </is>
      </c>
      <c r="M38" s="30" t="inlineStr">
        <is>
          <t>Sacadas tal cual el directorio</t>
        </is>
      </c>
    </row>
    <row r="39" ht="30" customHeight="1" s="182">
      <c r="A39" s="42" t="inlineStr">
        <is>
          <t>México</t>
        </is>
      </c>
      <c r="B39" s="15" t="inlineStr">
        <is>
          <t>Formación técnica pública</t>
        </is>
      </c>
      <c r="C39" s="73" t="inlineStr">
        <is>
          <t>CONALEP Estatal</t>
        </is>
      </c>
      <c r="D39" s="73" t="inlineStr">
        <is>
          <t>Colegio de Educación Profesional Técnica del Estado de Yucatán</t>
        </is>
      </c>
      <c r="E39" s="73" t="n"/>
      <c r="F39" s="73" t="inlineStr">
        <is>
          <t>Dirección General / Estatal (contacto institucional principal)</t>
        </is>
      </c>
      <c r="G39" s="18" t="inlineStr">
        <is>
          <t>https://www.conalep.edu.mx/directorio-colegios-estatales</t>
        </is>
      </c>
      <c r="H39" s="73" t="inlineStr">
        <is>
          <t>Profr. Felipe de Jesús Duarte Ramírez (Director)</t>
        </is>
      </c>
      <c r="I39" s="73" t="inlineStr">
        <is>
          <t>99 99 25 78 81 / 99 99 25 78 85</t>
        </is>
      </c>
      <c r="J39" s="73" t="inlineStr">
        <is>
          <t>direccion@yuc.conalep.edu.mx</t>
        </is>
      </c>
      <c r="K39" s="18" t="inlineStr">
        <is>
          <t>https://www.conalep.edu.mx/directorio-colegios-estatales</t>
        </is>
      </c>
      <c r="L39" s="51" t="inlineStr">
        <is>
          <t>CONFIRMADO</t>
        </is>
      </c>
      <c r="M39" s="30" t="inlineStr">
        <is>
          <t>Sacadas tal cual el directorio</t>
        </is>
      </c>
    </row>
    <row r="40" ht="30" customHeight="1" s="182">
      <c r="A40" s="42" t="inlineStr">
        <is>
          <t>México</t>
        </is>
      </c>
      <c r="B40" s="15" t="inlineStr">
        <is>
          <t>Formación técnica pública</t>
        </is>
      </c>
      <c r="C40" s="73" t="inlineStr">
        <is>
          <t>CONALEP Estatal</t>
        </is>
      </c>
      <c r="D40" s="73" t="inlineStr">
        <is>
          <t>Colegio de Educación Profesional Técnica del Estado de Zacatecas</t>
        </is>
      </c>
      <c r="E40" s="73" t="n"/>
      <c r="F40" s="73" t="inlineStr">
        <is>
          <t>Dirección General / Estatal (contacto institucional principal)</t>
        </is>
      </c>
      <c r="G40" s="18" t="inlineStr">
        <is>
          <t>https://www.conalep.edu.mx/directorio-colegios-estatales</t>
        </is>
      </c>
      <c r="H40" s="73" t="inlineStr">
        <is>
          <t>Arq. Nieves Medellín Medellín (Director General)</t>
        </is>
      </c>
      <c r="I40" s="73" t="inlineStr">
        <is>
          <t>49 28 99 50 40 / 49 29 21 24 97 / 49 29 98 15 31</t>
        </is>
      </c>
      <c r="J40" s="73" t="inlineStr">
        <is>
          <t>direccion@zac.conalep.edu.mx</t>
        </is>
      </c>
      <c r="K40" s="18" t="inlineStr">
        <is>
          <t>https://www.conalep.edu.mx/directorio-colegios-estatales</t>
        </is>
      </c>
      <c r="L40" s="51" t="inlineStr">
        <is>
          <t>CONFIRMADO</t>
        </is>
      </c>
      <c r="M40" s="30" t="inlineStr">
        <is>
          <t>Sacadas tal cual el directorio</t>
        </is>
      </c>
    </row>
    <row r="41" ht="30" customHeight="1" s="182">
      <c r="A41" s="42" t="inlineStr">
        <is>
          <t>México</t>
        </is>
      </c>
      <c r="B41" s="15" t="inlineStr">
        <is>
          <t>Formación técnica pública</t>
        </is>
      </c>
      <c r="C41" s="73" t="inlineStr">
        <is>
          <t>CONALEP Estatal</t>
        </is>
      </c>
      <c r="D41" s="73" t="inlineStr">
        <is>
          <t>CONALEP Unidad de Operación Desconcentrada — Ciudad de México</t>
        </is>
      </c>
      <c r="E41" s="73" t="n"/>
      <c r="F41" s="73" t="inlineStr">
        <is>
          <t>Dirección General / Estatal (contacto institucional principal)</t>
        </is>
      </c>
      <c r="G41" s="18" t="inlineStr">
        <is>
          <t>https://www.conalep.edu.mx/directorio-colegios-estatales</t>
        </is>
      </c>
      <c r="H41" s="73" t="inlineStr">
        <is>
          <t>Mtro. Osiris Pasos Herrera (Titular)</t>
        </is>
      </c>
      <c r="I41" s="73" t="inlineStr">
        <is>
          <t>55 28 73 27 87 / 55 28 73 27 89 / 55 55 27 78 13 / 55 53 86 04 12 / 55 54 80 37 66 / 55 54 80 37 00</t>
        </is>
      </c>
      <c r="J41" s="73" t="inlineStr">
        <is>
          <t>osirisph@df.conalep.edu.mx</t>
        </is>
      </c>
      <c r="K41" s="18" t="inlineStr">
        <is>
          <t>https://www.conalep.edu.mx/directorio-colegios-estatales</t>
        </is>
      </c>
      <c r="L41" s="51" t="inlineStr">
        <is>
          <t>CONFIRMADO</t>
        </is>
      </c>
      <c r="M41" s="30" t="inlineStr">
        <is>
          <t>Sacadas tal cual el directorio</t>
        </is>
      </c>
    </row>
    <row r="42" ht="30" customHeight="1" s="182">
      <c r="A42" s="42" t="inlineStr">
        <is>
          <t>México</t>
        </is>
      </c>
      <c r="B42" s="15" t="inlineStr">
        <is>
          <t>Formación técnica pública</t>
        </is>
      </c>
      <c r="C42" s="73" t="inlineStr">
        <is>
          <t>CONALEP Estatal</t>
        </is>
      </c>
      <c r="D42" s="73" t="inlineStr">
        <is>
          <t>CONALEP Representación — Oaxaca</t>
        </is>
      </c>
      <c r="E42" s="73" t="n"/>
      <c r="F42" s="73" t="inlineStr">
        <is>
          <t>Dirección General / Estatal (contacto institucional principal)</t>
        </is>
      </c>
      <c r="G42" s="18" t="inlineStr">
        <is>
          <t>https://www.conalep.edu.mx/directorio-colegios-estatales</t>
        </is>
      </c>
      <c r="H42" s="73" t="inlineStr">
        <is>
          <t>Lic. Mariana González Ayala</t>
        </is>
      </c>
      <c r="I42" s="73" t="inlineStr">
        <is>
          <t>72 22 71 08 00 ext. 4101 / 4102</t>
        </is>
      </c>
      <c r="J42" s="73" t="inlineStr">
        <is>
          <t>mgonzalez.adm@oax.conalep.edu.mx</t>
        </is>
      </c>
      <c r="K42" s="18" t="inlineStr">
        <is>
          <t>https://www.conalep.edu.mx/directorio-colegios-estatales</t>
        </is>
      </c>
      <c r="L42" s="51" t="inlineStr">
        <is>
          <t>CONFIRMADO</t>
        </is>
      </c>
      <c r="M42" s="30" t="inlineStr">
        <is>
          <t>Sacadas tal cual el directorio</t>
        </is>
      </c>
    </row>
    <row r="43" ht="30" customHeight="1" s="182">
      <c r="A43" s="42" t="inlineStr">
        <is>
          <t>México</t>
        </is>
      </c>
      <c r="B43" s="15" t="inlineStr">
        <is>
          <t>Sindicatos y confederaciones de trabajadores</t>
        </is>
      </c>
      <c r="C43" s="73" t="inlineStr">
        <is>
          <t>Central nacional (la más grande y con más peso histórico/político, oficialista/corporativa)</t>
        </is>
      </c>
      <c r="D43" s="73" t="inlineStr">
        <is>
          <t>Confederación de Trabajadores de México (CTM)</t>
        </is>
      </c>
      <c r="E43" s="73" t="n"/>
      <c r="F43" s="73" t="inlineStr">
        <is>
          <t>Secretaría General / Escríbenos</t>
        </is>
      </c>
      <c r="G43" s="18" t="inlineStr">
        <is>
          <t>https://ctmoficial.org</t>
        </is>
      </c>
      <c r="H43" s="73" t="inlineStr">
        <is>
          <t>Mtro. Tereso Medina Ramírez (Secretario General)</t>
        </is>
      </c>
      <c r="I43" s="28" t="inlineStr">
        <is>
          <t>no disponible públicamente</t>
        </is>
      </c>
      <c r="J43" s="63" t="inlineStr">
        <is>
          <t>escribenos@ctmoficial.org</t>
        </is>
      </c>
      <c r="K43" s="185" t="inlineStr">
        <is>
          <t>https://ctmoficial.org/contacto</t>
        </is>
      </c>
      <c r="L43" s="51" t="inlineStr">
        <is>
          <t>CONFIRMADO</t>
        </is>
      </c>
      <c r="M43" s="30" t="inlineStr">
        <is>
          <t>Sin hallazgos.</t>
        </is>
      </c>
    </row>
    <row r="44" ht="30" customHeight="1" s="182">
      <c r="A44" s="42" t="inlineStr">
        <is>
          <t>México</t>
        </is>
      </c>
      <c r="B44" s="15" t="inlineStr">
        <is>
          <t>Sindicatos y confederaciones de trabajadores</t>
        </is>
      </c>
      <c r="C44" s="73" t="inlineStr">
        <is>
          <t>Central nacional (segunda fuerza histórica por tamaño de afiliados; también de origen oficialista/corporativo, pero organizativamente independiente de la CTM)</t>
        </is>
      </c>
      <c r="D44" s="73" t="inlineStr">
        <is>
          <t>Confederación Revolucionaria de Obreros y Campesinos (CROC)</t>
        </is>
      </c>
      <c r="E44" s="73" t="n"/>
      <c r="F44" s="73" t="inlineStr">
        <is>
          <t>Directorio estatal / sede nacional</t>
        </is>
      </c>
      <c r="G44" s="18" t="inlineStr">
        <is>
          <t>https://www.croc.org.mx</t>
        </is>
      </c>
      <c r="H44" s="73" t="inlineStr">
        <is>
          <t>Isaías González Cuevas (referencia en directorio nacional)</t>
        </is>
      </c>
      <c r="I44" s="73" t="inlineStr">
        <is>
          <t xml:space="preserve"> 52 55 5208 5444</t>
        </is>
      </c>
      <c r="J44" s="28" t="inlineStr">
        <is>
          <t>no disponible públicamente</t>
        </is>
      </c>
      <c r="K44" s="187" t="inlineStr">
        <is>
          <t>https://croc.org.mx</t>
        </is>
      </c>
      <c r="L44" s="51" t="inlineStr">
        <is>
          <t>CONFIRMADO</t>
        </is>
      </c>
      <c r="M44" s="30" t="inlineStr">
        <is>
          <t>Sin hallazgos.</t>
        </is>
      </c>
    </row>
    <row r="45" ht="30" customHeight="1" s="182">
      <c r="A45" s="42" t="inlineStr">
        <is>
          <t>México</t>
        </is>
      </c>
      <c r="B45" s="15" t="inlineStr">
        <is>
          <t>Sindicatos y confederaciones de trabajadores</t>
        </is>
      </c>
      <c r="C45" s="73" t="inlineStr">
        <is>
          <t>Central nacional (estructura histórica/menor — es la más antigua del país)</t>
        </is>
      </c>
      <c r="D45" s="73" t="inlineStr">
        <is>
          <t>Confederación Regional Obrera Mexicana (CROM)</t>
        </is>
      </c>
      <c r="E45" s="73" t="n"/>
      <c r="F45" s="73" t="inlineStr">
        <is>
          <t>Comité Central</t>
        </is>
      </c>
      <c r="G45" s="36" t="inlineStr">
        <is>
          <t>https://cc.crom.org.mx</t>
        </is>
      </c>
      <c r="H45" s="73" t="inlineStr">
        <is>
          <t>Rodolfo Gerardo González Guzmán (Secretario General)</t>
        </is>
      </c>
      <c r="I45" s="73" t="inlineStr">
        <is>
          <t>56 5566 4426</t>
        </is>
      </c>
      <c r="J45" s="64" t="inlineStr">
        <is>
          <t>contacto@crom.org.mx</t>
        </is>
      </c>
      <c r="K45" s="33" t="inlineStr">
        <is>
          <t>https://cc.crom.org.mx/</t>
        </is>
      </c>
      <c r="L45" s="51" t="inlineStr">
        <is>
          <t>CONFIRMADO</t>
        </is>
      </c>
      <c r="M45" s="30" t="inlineStr">
        <is>
          <t>Sin hallazgos.</t>
        </is>
      </c>
    </row>
    <row r="46" ht="30" customHeight="1" s="182">
      <c r="A46" s="42" t="inlineStr">
        <is>
          <t>México</t>
        </is>
      </c>
      <c r="B46" s="15" t="inlineStr">
        <is>
          <t>Sindicatos y confederaciones de trabajadores</t>
        </is>
      </c>
      <c r="C46" s="73" t="inlineStr">
        <is>
          <t>Central nacional (alternativa/independiente)</t>
        </is>
      </c>
      <c r="D46" s="73" t="inlineStr">
        <is>
          <t>Unión Nacional de Trabajadores (UNT)</t>
        </is>
      </c>
      <c r="E46" s="73" t="n"/>
      <c r="F46" s="28" t="inlineStr">
        <is>
          <t>no disponible públicamente</t>
        </is>
      </c>
      <c r="G46" s="73" t="inlineStr">
        <is>
          <t>unt.org.mx (dominio confirmado vía su página oficial de Facebook)</t>
        </is>
      </c>
      <c r="H46" s="28" t="inlineStr">
        <is>
          <t>no disponible públicamente</t>
        </is>
      </c>
      <c r="I46" s="28" t="inlineStr">
        <is>
          <t>no disponible públicamente</t>
        </is>
      </c>
      <c r="J46" s="28" t="inlineStr">
        <is>
          <t>no disponible públicamente</t>
        </is>
      </c>
      <c r="K46" s="185" t="inlineStr">
        <is>
          <t>https://facebook.com/UnionNacionaldeTrabajadores</t>
        </is>
      </c>
      <c r="L46" s="51" t="inlineStr">
        <is>
          <t>CONFIRMADO</t>
        </is>
      </c>
      <c r="M46" s="30" t="inlineStr">
        <is>
          <t xml:space="preserve">No existe página web ni forma de contactarlos </t>
        </is>
      </c>
    </row>
    <row r="47" ht="30" customHeight="1" s="182">
      <c r="A47" s="42" t="inlineStr">
        <is>
          <t>México</t>
        </is>
      </c>
      <c r="B47" s="15" t="inlineStr">
        <is>
          <t>Universidades públicas</t>
        </is>
      </c>
      <c r="C47" s="73" t="inlineStr">
        <is>
          <t xml:space="preserve">Universidad Pública Estatal </t>
        </is>
      </c>
      <c r="D47" s="73" t="inlineStr">
        <is>
          <t>Universidad Autónoma de Aguascalientes (UAA)</t>
        </is>
      </c>
      <c r="E47" s="73" t="n"/>
      <c r="F47" s="73" t="inlineStr">
        <is>
          <t>Dirección General de Difusión y Vinculación</t>
        </is>
      </c>
      <c r="G47" s="185" t="inlineStr">
        <is>
          <t>https://www.uaa.mx</t>
        </is>
      </c>
      <c r="H47" s="73" t="n"/>
      <c r="I47" s="73" t="inlineStr">
        <is>
          <t>449 910 7400 / 449 910 7431 (WhatsApp Vinculación)</t>
        </is>
      </c>
      <c r="J47" s="73" t="inlineStr">
        <is>
          <t>vinculacion@edu.uaa.mx</t>
        </is>
      </c>
      <c r="K47" s="189" t="inlineStr">
        <is>
          <t>https://uaa.mx/portal/noticias/uaa-impulsa-a-empresas-y-organizaciones-con-servicios-profesionales-de-comunicacion/</t>
        </is>
      </c>
      <c r="L47" s="35" t="inlineStr">
        <is>
          <t>CONFIRMADO</t>
        </is>
      </c>
      <c r="M47" s="30" t="n"/>
    </row>
    <row r="48" ht="30" customHeight="1" s="182">
      <c r="A48" s="42" t="inlineStr">
        <is>
          <t>México</t>
        </is>
      </c>
      <c r="B48" s="15" t="inlineStr">
        <is>
          <t>Universidades públicas</t>
        </is>
      </c>
      <c r="C48" s="73" t="inlineStr">
        <is>
          <t xml:space="preserve">Universidad Pública Estatal </t>
        </is>
      </c>
      <c r="D48" s="73" t="inlineStr">
        <is>
          <t>Universidad Autónoma de Baja California (UABC)</t>
        </is>
      </c>
      <c r="E48" s="73" t="n"/>
      <c r="F48" s="73" t="inlineStr">
        <is>
          <t>Coordinación General de Vinculación y Cooperación Académica</t>
        </is>
      </c>
      <c r="G48" s="190" t="inlineStr">
        <is>
          <t>https://www.uabc.mx</t>
        </is>
      </c>
      <c r="H48" s="28" t="inlineStr">
        <is>
          <t xml:space="preserve">Campus Mexicali M.D. Mariana Yáñez Ruíz. </t>
        </is>
      </c>
      <c r="I48" s="73" t="inlineStr">
        <is>
          <t xml:space="preserve">(686) 551 82 22 </t>
        </is>
      </c>
      <c r="J48" s="183" t="inlineStr">
        <is>
          <t>cooperaciontijuana@uabc.edu.mx / daecv.mxl@uabc.edu.mx</t>
        </is>
      </c>
      <c r="K48" s="68" t="inlineStr">
        <is>
          <t>uabc.mx/acerca-de-rectoria/ ; fundacionuabc.org ; https://www.uabc.mx/acerca-de-directorio/</t>
        </is>
      </c>
      <c r="L48" s="35" t="inlineStr">
        <is>
          <t>VERIFICADO CON OBSERVACIONES</t>
        </is>
      </c>
      <c r="M48" s="184" t="inlineStr">
        <is>
          <t>El teléfono de contacto aparece como Rectoría y en el último link está todo el directorio  + en facebook esa unidad muestra este número: +52 686 841 8257. El contacto del correo que se puso para Mexicali es Teléfonos.conmutador: 841 82 22 y 841 82 00 Ext. 43180, 43181. Además, el otro correo es sólo para la facultad de salud, sólo encontré correos por facultades | Auditoría 08-oct-2026: Texto movido desde celda de email: "cooperaciontijuana@uabc.edu.mx (campus Tijuana) / daecv.mxl@uabc.edu.mx (campus Mexicali)"</t>
        </is>
      </c>
    </row>
    <row r="49" ht="30" customHeight="1" s="182">
      <c r="A49" s="42" t="inlineStr">
        <is>
          <t>México</t>
        </is>
      </c>
      <c r="B49" s="15" t="inlineStr">
        <is>
          <t>Universidades públicas</t>
        </is>
      </c>
      <c r="C49" s="73" t="inlineStr">
        <is>
          <t xml:space="preserve">Universidad Pública Estatal </t>
        </is>
      </c>
      <c r="D49" s="73" t="inlineStr">
        <is>
          <t>Universidad Autónoma de Baja California Sur (UABCS)</t>
        </is>
      </c>
      <c r="E49" s="73" t="n"/>
      <c r="F49" s="73" t="inlineStr">
        <is>
          <t>Dirección de Vinculación, Relaciones Interinstitucionales e Internacionalización</t>
        </is>
      </c>
      <c r="G49" s="191" t="inlineStr">
        <is>
          <t>https://www.uabcs.mx</t>
        </is>
      </c>
      <c r="H49" s="28" t="n"/>
      <c r="I49" s="73" t="inlineStr">
        <is>
          <t>612 123 8800</t>
        </is>
      </c>
      <c r="J49" s="28" t="inlineStr">
        <is>
          <t>no disponible públicamente</t>
        </is>
      </c>
      <c r="K49" s="70" t="inlineStr">
        <is>
          <t>uabcs.mx/dvrii ; uabcs.mx</t>
        </is>
      </c>
      <c r="L49" s="35" t="inlineStr">
        <is>
          <t>CONFIRMADO</t>
        </is>
      </c>
      <c r="M49" s="30" t="n"/>
    </row>
    <row r="50" ht="30" customHeight="1" s="182">
      <c r="A50" s="42" t="inlineStr">
        <is>
          <t>México</t>
        </is>
      </c>
      <c r="B50" s="15" t="inlineStr">
        <is>
          <t>Universidades públicas</t>
        </is>
      </c>
      <c r="C50" s="73" t="inlineStr">
        <is>
          <t xml:space="preserve">Universidad Pública Estatal </t>
        </is>
      </c>
      <c r="D50" s="73" t="inlineStr">
        <is>
          <t>Universidad Autónoma de Campeche (UACAM)</t>
        </is>
      </c>
      <c r="E50" s="73" t="n"/>
      <c r="F50" s="73" t="inlineStr">
        <is>
          <t>Coordinación General de Vinculación y Extensión Académica</t>
        </is>
      </c>
      <c r="G50" s="190" t="inlineStr">
        <is>
          <t>https://www.uacam.mx</t>
        </is>
      </c>
      <c r="H50" s="73" t="n"/>
      <c r="I50" s="73" t="inlineStr">
        <is>
          <t>(981) 811 9800</t>
        </is>
      </c>
      <c r="J50" s="28" t="inlineStr">
        <is>
          <t>no disponible públicamente</t>
        </is>
      </c>
      <c r="K50" s="71" t="inlineStr">
        <is>
          <t>vinculacion.uacam.mx ; cecaec.uacam.mx/view/contacto</t>
        </is>
      </c>
      <c r="L50" s="35" t="inlineStr">
        <is>
          <t>VERIFICADO CON OBSERVACIONES</t>
        </is>
      </c>
      <c r="M50" s="30" t="inlineStr">
        <is>
          <t>EL NÚMERO QUE ENCONTRE es 1040100 + correo: cgvea@uacam.mx. LINK https://vinculacion.uacam.mx/view/contacto</t>
        </is>
      </c>
    </row>
    <row r="51" ht="15.75" customHeight="1" s="182">
      <c r="A51" s="42" t="inlineStr">
        <is>
          <t>México</t>
        </is>
      </c>
      <c r="B51" s="15" t="inlineStr">
        <is>
          <t>Universidades públicas</t>
        </is>
      </c>
      <c r="C51" s="73" t="inlineStr">
        <is>
          <t xml:space="preserve">Universidad Pública Estatal </t>
        </is>
      </c>
      <c r="D51" s="73" t="inlineStr">
        <is>
          <t>Universidad Autónoma de Chiapas (UNACH)</t>
        </is>
      </c>
      <c r="E51" s="73" t="n"/>
      <c r="F51" s="73" t="inlineStr">
        <is>
          <t>Dirección de Extensión y Vinculación</t>
        </is>
      </c>
      <c r="G51" s="191" t="inlineStr">
        <is>
          <t>https://www.unach.mx</t>
        </is>
      </c>
      <c r="H51" s="73" t="n"/>
      <c r="I51" s="73" t="inlineStr">
        <is>
          <t>(961) 617 8000</t>
        </is>
      </c>
      <c r="J51" s="183" t="inlineStr">
        <is>
          <t>rector@unach.mx</t>
        </is>
      </c>
      <c r="K51" s="70" t="inlineStr">
        <is>
          <t>unach.mx/17-vinculacion ; sic.cultura.gob.mx (ficha UNACH)</t>
        </is>
      </c>
      <c r="L51" s="35" t="inlineStr">
        <is>
          <t>VERIFICADO CON OBSERVACIONES</t>
        </is>
      </c>
      <c r="M51" s="184" t="inlineStr">
        <is>
          <t>este link tiene todo el directorio con número, nombre y correo de la unidad de vinculación (nose si es mejor de la unidad o de la persona a cargo de la coordinación o la que esta cargo del dpto interinstitucional) link: https://www.unach.mx/directorio#7 | Auditoría 08-oct-2026: Texto movido desde celda de email: "rector@unach.mx (rectoría; vinculación no publica correo único)"</t>
        </is>
      </c>
    </row>
    <row r="52" ht="15.75" customHeight="1" s="182">
      <c r="A52" s="42" t="inlineStr">
        <is>
          <t>México</t>
        </is>
      </c>
      <c r="B52" s="15" t="inlineStr">
        <is>
          <t>Universidades públicas</t>
        </is>
      </c>
      <c r="C52" s="73" t="inlineStr">
        <is>
          <t xml:space="preserve">Universidad Pública Estatal </t>
        </is>
      </c>
      <c r="D52" s="73" t="inlineStr">
        <is>
          <t>Universidad Autónoma de Chihuahua (UACH)</t>
        </is>
      </c>
      <c r="E52" s="73" t="n"/>
      <c r="F52" s="73" t="inlineStr">
        <is>
          <t>Rectoría / vinculación por facultad</t>
        </is>
      </c>
      <c r="G52" s="190" t="inlineStr">
        <is>
          <t>https://www.uach.mx</t>
        </is>
      </c>
      <c r="H52" s="28" t="n"/>
      <c r="I52" s="73" t="inlineStr">
        <is>
          <t>(614) 439 15 00</t>
        </is>
      </c>
      <c r="J52" s="73" t="inlineStr">
        <is>
          <t>rectoria@uach.mx</t>
        </is>
      </c>
      <c r="K52" s="71" t="inlineStr">
        <is>
          <t>anuies.mx (ficha institucional UACH)</t>
        </is>
      </c>
      <c r="L52" s="35" t="inlineStr">
        <is>
          <t>VERIFICADO CON OBSERVACIONES</t>
        </is>
      </c>
      <c r="M52" s="30" t="inlineStr">
        <is>
          <t>en este link https://uach.mx/directorio/uc/ hay dos datos de contacto, uno de la directora del departamento de relaciones internacinoales y otro el jefe del dpto de vinculación.</t>
        </is>
      </c>
    </row>
    <row r="53" ht="15.75" customHeight="1" s="182">
      <c r="A53" s="42" t="inlineStr">
        <is>
          <t>México</t>
        </is>
      </c>
      <c r="B53" s="15" t="inlineStr">
        <is>
          <t>Universidades públicas</t>
        </is>
      </c>
      <c r="C53" s="73" t="inlineStr">
        <is>
          <t xml:space="preserve">Universidad Pública Estatal </t>
        </is>
      </c>
      <c r="D53" s="73" t="inlineStr">
        <is>
          <t>Universidad Autónoma de Coahuila (UAdeC)</t>
        </is>
      </c>
      <c r="E53" s="73" t="n"/>
      <c r="F53" s="73" t="inlineStr">
        <is>
          <t>Coordinación General de Relaciones Internacionales</t>
        </is>
      </c>
      <c r="G53" s="191" t="inlineStr">
        <is>
          <t>https://www.uadec.mx</t>
        </is>
      </c>
      <c r="H53" s="73" t="n"/>
      <c r="I53" s="28" t="inlineStr">
        <is>
          <t>(844) 4153077</t>
        </is>
      </c>
      <c r="J53" s="28" t="inlineStr">
        <is>
          <t>no disponible públicamente</t>
        </is>
      </c>
      <c r="K53" s="70" t="inlineStr">
        <is>
          <t>https://www2.uadec.mx/pub/directorio/</t>
        </is>
      </c>
      <c r="L53" s="22" t="inlineStr">
        <is>
          <t>CORREGIDO</t>
        </is>
      </c>
      <c r="M53" s="30" t="inlineStr">
        <is>
          <t>Se encontró el contacto de la Coordinación General de Relaciones Internacionales en el directorio, se adjuntó esa nueva fuente de información</t>
        </is>
      </c>
    </row>
    <row r="54" ht="15.75" customHeight="1" s="182">
      <c r="A54" s="42" t="inlineStr">
        <is>
          <t>México</t>
        </is>
      </c>
      <c r="B54" s="15" t="inlineStr">
        <is>
          <t>Universidades públicas</t>
        </is>
      </c>
      <c r="C54" s="73" t="inlineStr">
        <is>
          <t xml:space="preserve">Universidad Pública Estatal </t>
        </is>
      </c>
      <c r="D54" s="73" t="inlineStr">
        <is>
          <t>Universidad de Colima (UCOL)</t>
        </is>
      </c>
      <c r="E54" s="73" t="n"/>
      <c r="F54" s="73" t="inlineStr">
        <is>
          <t>Oficina de Internacionalización y Cooperación Académica</t>
        </is>
      </c>
      <c r="G54" s="190" t="inlineStr">
        <is>
          <t>https://www.ucol.mx</t>
        </is>
      </c>
      <c r="H54" s="28" t="inlineStr">
        <is>
          <t>Licda. Ana Cecilia García Valencia</t>
        </is>
      </c>
      <c r="I54" s="73" t="inlineStr">
        <is>
          <t>312 316 1063
312 316 1000</t>
        </is>
      </c>
      <c r="J54" s="73" t="inlineStr">
        <is>
          <t>relacionesinternacionales@ucol.mx</t>
        </is>
      </c>
      <c r="K54" s="68" t="inlineStr">
        <is>
          <t>portal.ucol.mx/vinculacion/contacto.htm ; ucol.mx/acerca-de/rector.htm : https://www.ucol.mx/directorio/</t>
        </is>
      </c>
      <c r="L54" s="22" t="inlineStr">
        <is>
          <t>CORREGIDO</t>
        </is>
      </c>
      <c r="M54" s="30" t="inlineStr">
        <is>
          <t>Se encontró el contacto de la Oficina de Internacionalización y Cooperación Académica en el directorio, se adjuntó esa nueva fuente de información.</t>
        </is>
      </c>
    </row>
    <row r="55" ht="15.75" customHeight="1" s="182">
      <c r="A55" s="42" t="inlineStr">
        <is>
          <t>México</t>
        </is>
      </c>
      <c r="B55" s="15" t="inlineStr">
        <is>
          <t>Universidades públicas</t>
        </is>
      </c>
      <c r="C55" s="73" t="inlineStr">
        <is>
          <t xml:space="preserve">Universidad Pública Estatal </t>
        </is>
      </c>
      <c r="D55" s="73" t="inlineStr">
        <is>
          <t>Universidad Juárez del Estado de Durango (UJED)</t>
        </is>
      </c>
      <c r="E55" s="73" t="n"/>
      <c r="F55" s="73" t="inlineStr">
        <is>
          <t>Dirección de Vinculación y Extensión Institucional</t>
        </is>
      </c>
      <c r="G55" s="191" t="inlineStr">
        <is>
          <t>https://www.ujed.mx</t>
        </is>
      </c>
      <c r="H55" s="73" t="n"/>
      <c r="I55" s="73" t="inlineStr">
        <is>
          <t>(618) 827 12 11.</t>
        </is>
      </c>
      <c r="J55" s="192" t="inlineStr">
        <is>
          <t>vinculacion.social@ujed.mx</t>
        </is>
      </c>
      <c r="K55" s="74" t="inlineStr">
        <is>
          <t>ujed.mx ; sic.cultura.gob.mx (ficha UJED); https://www.ujed.mx/direccion-de-vinculacion-institucional</t>
        </is>
      </c>
      <c r="L55" s="22" t="inlineStr">
        <is>
          <t>CORREGIDO</t>
        </is>
      </c>
      <c r="M55" s="30" t="inlineStr">
        <is>
          <t>Se encontró el contacto de la Dirección de Vinculación y Extensión Institucional en el directorio, se adjuntó esa nueva fuente de información.</t>
        </is>
      </c>
    </row>
    <row r="56" ht="15.75" customHeight="1" s="182">
      <c r="A56" s="42" t="inlineStr">
        <is>
          <t>México</t>
        </is>
      </c>
      <c r="B56" s="15" t="inlineStr">
        <is>
          <t>Universidades públicas</t>
        </is>
      </c>
      <c r="C56" s="73" t="inlineStr">
        <is>
          <t xml:space="preserve">Universidad Pública Estatal </t>
        </is>
      </c>
      <c r="D56" s="73" t="inlineStr">
        <is>
          <t>Universidad de Guanajuato (UG)</t>
        </is>
      </c>
      <c r="E56" s="73" t="n"/>
      <c r="F56" s="73" t="inlineStr">
        <is>
          <t>Dirección de Internacionalización e Interculturalidad</t>
        </is>
      </c>
      <c r="G56" s="71" t="inlineStr">
        <is>
          <t>https://www.ugto.mx/internacional/</t>
        </is>
      </c>
      <c r="H56" s="73" t="inlineStr">
        <is>
          <t>MTRA. MARÍA ADRIANA AGUILERA ARRIETA</t>
        </is>
      </c>
      <c r="I56" s="73" t="inlineStr">
        <is>
          <t>international.office@ugto.mx</t>
        </is>
      </c>
      <c r="J56" s="73" t="inlineStr">
        <is>
          <t>rectoria@ugto.mx</t>
        </is>
      </c>
      <c r="K56" s="71" t="inlineStr">
        <is>
          <t>ugto.mx/directorio-universidad-guanajuato/rectoria-general-ug/rectoria-general; https://www.ugto.mx/directorio-universidad-guanajuato/secretaria-general-ug/direccion-de-internacionalizacion-e-interculturalidad</t>
        </is>
      </c>
      <c r="L56" s="186" t="inlineStr">
        <is>
          <t>VERIFICADO CON OBSERVACIONES</t>
        </is>
      </c>
      <c r="M56" s="30" t="inlineStr">
        <is>
          <t>Se encontraron los contactos en el último link, a pesar que se puso el contacto de la persona a cargo de la unidad, hay otros directorios más específicos que podrían ser  más pertinentes, como la Coordinadora de Iniciativas Globales</t>
        </is>
      </c>
    </row>
    <row r="57" ht="15.75" customHeight="1" s="182">
      <c r="A57" s="42" t="inlineStr">
        <is>
          <t>México</t>
        </is>
      </c>
      <c r="B57" s="15" t="inlineStr">
        <is>
          <t>Universidades públicas</t>
        </is>
      </c>
      <c r="C57" s="73" t="inlineStr">
        <is>
          <t xml:space="preserve">Universidad Pública Estatal </t>
        </is>
      </c>
      <c r="D57" s="73" t="inlineStr">
        <is>
          <t>Universidad Autónoma de Guerrero (UAGro)</t>
        </is>
      </c>
      <c r="E57" s="73" t="n"/>
      <c r="F57" s="73" t="inlineStr">
        <is>
          <t>Dirección General de Vinculación</t>
        </is>
      </c>
      <c r="G57" s="191" t="inlineStr">
        <is>
          <t>https://www.uagro.mx</t>
        </is>
      </c>
      <c r="H57" s="73" t="n"/>
      <c r="I57" s="28" t="inlineStr">
        <is>
          <t>(747) 47 1-93-10</t>
        </is>
      </c>
      <c r="J57" s="28" t="inlineStr">
        <is>
          <t>dirgral_vinculacion@uagro.mx</t>
        </is>
      </c>
      <c r="K57" s="74" t="inlineStr">
        <is>
          <t>uagro.mx ; dae.uagro.mx/regweb/index.php?Opcion=daecc/dirdae ; https://www.uagro.mx/administracion-central</t>
        </is>
      </c>
      <c r="L57" s="22" t="inlineStr">
        <is>
          <t>CORREGIDO</t>
        </is>
      </c>
      <c r="M57" s="30" t="inlineStr">
        <is>
          <t>Se encontró el contacto de la Dirección General de Vinculación en el apartado "direcciones generales", se adjuntó esa nueva fuente de información.</t>
        </is>
      </c>
    </row>
    <row r="58" ht="15.75" customHeight="1" s="182">
      <c r="A58" s="42" t="inlineStr">
        <is>
          <t>México</t>
        </is>
      </c>
      <c r="B58" s="15" t="inlineStr">
        <is>
          <t>Universidades públicas</t>
        </is>
      </c>
      <c r="C58" s="73" t="inlineStr">
        <is>
          <t xml:space="preserve">Universidad Pública Estatal </t>
        </is>
      </c>
      <c r="D58" s="73" t="inlineStr">
        <is>
          <t>Universidad Autónoma del Estado de Hidalgo (UAEH)</t>
        </is>
      </c>
      <c r="E58" s="73" t="n"/>
      <c r="F58" s="73" t="inlineStr">
        <is>
          <t>División de Vinculación e Internacionalización</t>
        </is>
      </c>
      <c r="G58" s="190" t="inlineStr">
        <is>
          <t>https://www.uaeh.edu.mx</t>
        </is>
      </c>
      <c r="H58" s="73" t="inlineStr">
        <is>
          <t>Mtro. José Fernando Enciso Ruiz</t>
        </is>
      </c>
      <c r="I58" s="73" t="inlineStr">
        <is>
          <t>771 717 20 00</t>
        </is>
      </c>
      <c r="J58" s="73" t="inlineStr">
        <is>
          <t>dvi1723@uaeh.edu.mx, jfenciso@uaeh.edu.mx</t>
        </is>
      </c>
      <c r="K58" s="71" t="inlineStr">
        <is>
          <t>sic.cultura.gob.mx (ficha UAEH) ; universidadesdemexico.mx:  https://www.uaeh.edu.mx/directorio/#detalles?registro=52</t>
        </is>
      </c>
      <c r="L58" s="22" t="inlineStr">
        <is>
          <t>CORREGIDO</t>
        </is>
      </c>
      <c r="M58" s="30" t="inlineStr">
        <is>
          <t>Se encontró el contacto del Coordinador de la División de Vinculación e Internacionalización, se adjuntó esa nueva fuente de información. También hay otras figuras que se podrían contactar y sería pertinente comparar cual es la más oportuna.</t>
        </is>
      </c>
    </row>
    <row r="59" ht="15.75" customHeight="1" s="182">
      <c r="A59" s="42" t="inlineStr">
        <is>
          <t>México</t>
        </is>
      </c>
      <c r="B59" s="15" t="inlineStr">
        <is>
          <t>Universidades públicas</t>
        </is>
      </c>
      <c r="C59" s="73" t="inlineStr">
        <is>
          <t xml:space="preserve">Universidad Pública Estatal </t>
        </is>
      </c>
      <c r="D59" s="73" t="inlineStr">
        <is>
          <t>Universidad de Guadalajara (UdeG)</t>
        </is>
      </c>
      <c r="E59" s="73" t="n"/>
      <c r="F59" s="73" t="inlineStr">
        <is>
          <t>Unidad de Relaciones Interinstitucionales e Internacionales</t>
        </is>
      </c>
      <c r="G59" s="191" t="inlineStr">
        <is>
          <t>https://www.udg.mx</t>
        </is>
      </c>
      <c r="H59" s="28" t="inlineStr">
        <is>
          <t>Mtra. María Fernanda Flores Álvarez</t>
        </is>
      </c>
      <c r="I59" s="63" t="inlineStr">
        <is>
          <t>52 (33) 3134 2222</t>
        </is>
      </c>
      <c r="J59" s="73" t="inlineStr">
        <is>
          <t>rectoriageneral@redudg.udg.mx</t>
        </is>
      </c>
      <c r="K59" s="74" t="inlineStr">
        <is>
          <t>rectoria.udg.mx/estructura/directorio ; en.wikipedia.org/wiki/University_of_Guadalajara; https://ci.cgai.udg.mx/es/acerca/directorio</t>
        </is>
      </c>
      <c r="L59" s="22" t="inlineStr">
        <is>
          <t>CORREGIDO</t>
        </is>
      </c>
      <c r="M59" s="30" t="inlineStr">
        <is>
          <t>Se encontró el contacto de la Jefa de Unidad de Relaciones Interinstitucionales e Internacionales, se adjuntó esa nueva fuente de información. También hay otras figuras que se podrían contactar y sería pertinente comparar cual es la más oportuna.</t>
        </is>
      </c>
    </row>
    <row r="60" ht="15.75" customHeight="1" s="182">
      <c r="A60" s="42" t="inlineStr">
        <is>
          <t>México</t>
        </is>
      </c>
      <c r="B60" s="15" t="inlineStr">
        <is>
          <t>Universidades públicas</t>
        </is>
      </c>
      <c r="C60" s="73" t="inlineStr">
        <is>
          <t xml:space="preserve">Universidad Pública Estatal </t>
        </is>
      </c>
      <c r="D60" s="73" t="inlineStr">
        <is>
          <t>Universidad Autónoma del Estado de México (UAEMéx)</t>
        </is>
      </c>
      <c r="E60" s="73" t="n"/>
      <c r="F60" s="73" t="inlineStr">
        <is>
          <t>Rectoría</t>
        </is>
      </c>
      <c r="G60" s="190" t="inlineStr">
        <is>
          <t>https://www.uaemex.mx</t>
        </is>
      </c>
      <c r="H60" s="28" t="n"/>
      <c r="I60" s="28" t="inlineStr">
        <is>
          <t>no disponible públicamente</t>
        </is>
      </c>
      <c r="J60" s="73" t="inlineStr">
        <is>
          <t>rectoria@uaemex.mx</t>
        </is>
      </c>
      <c r="K60" s="190" t="inlineStr">
        <is>
          <t>https://www.uaemex.mx</t>
        </is>
      </c>
      <c r="L60" s="35" t="inlineStr">
        <is>
          <t>VERIFICAR</t>
        </is>
      </c>
      <c r="M60" s="30" t="n"/>
    </row>
    <row r="61" ht="15.75" customHeight="1" s="182">
      <c r="A61" s="42" t="inlineStr">
        <is>
          <t>México</t>
        </is>
      </c>
      <c r="B61" s="15" t="inlineStr">
        <is>
          <t>Universidades públicas</t>
        </is>
      </c>
      <c r="C61" s="73" t="inlineStr">
        <is>
          <t xml:space="preserve">Universidad Pública Estatal </t>
        </is>
      </c>
      <c r="D61" s="73" t="inlineStr">
        <is>
          <t>Universidad Michoacana de San Nicolás de Hidalgo (UMSNH)</t>
        </is>
      </c>
      <c r="E61" s="73" t="n"/>
      <c r="F61" s="73" t="inlineStr">
        <is>
          <t>Contacto institucional</t>
        </is>
      </c>
      <c r="G61" s="191" t="inlineStr">
        <is>
          <t>https://www.umich.mx</t>
        </is>
      </c>
      <c r="H61" s="28" t="n"/>
      <c r="I61" s="73" t="inlineStr">
        <is>
          <t>(443) 322 3500</t>
        </is>
      </c>
      <c r="J61" s="73" t="inlineStr">
        <is>
          <t>contacto@umich.mx</t>
        </is>
      </c>
      <c r="K61" s="191" t="inlineStr">
        <is>
          <t>https://www.umich.mx</t>
        </is>
      </c>
      <c r="L61" s="51" t="inlineStr">
        <is>
          <t>CONFIRMADO</t>
        </is>
      </c>
      <c r="M61" s="30" t="inlineStr">
        <is>
          <t>Sin observaciones</t>
        </is>
      </c>
    </row>
    <row r="62" ht="15.75" customHeight="1" s="182">
      <c r="A62" s="42" t="inlineStr">
        <is>
          <t>México</t>
        </is>
      </c>
      <c r="B62" s="15" t="inlineStr">
        <is>
          <t>Universidades públicas</t>
        </is>
      </c>
      <c r="C62" s="73" t="inlineStr">
        <is>
          <t xml:space="preserve">Universidad Pública Estatal </t>
        </is>
      </c>
      <c r="D62" s="73" t="inlineStr">
        <is>
          <t>Universidad Autónoma del Estado de Morelos (UAEM)</t>
        </is>
      </c>
      <c r="E62" s="73" t="n"/>
      <c r="F62" s="73" t="inlineStr">
        <is>
          <t>Rectoría</t>
        </is>
      </c>
      <c r="G62" s="190" t="inlineStr">
        <is>
          <t>https://www.uaem.mx</t>
        </is>
      </c>
      <c r="H62" s="28" t="n"/>
      <c r="I62" s="73" t="inlineStr">
        <is>
          <t>(777) 329 79 00</t>
        </is>
      </c>
      <c r="J62" s="73" t="inlineStr">
        <is>
          <t>rectoria@uaem.mx</t>
        </is>
      </c>
      <c r="K62" s="190" t="inlineStr">
        <is>
          <t>https://www.uaem.mx</t>
        </is>
      </c>
      <c r="L62" s="51" t="inlineStr">
        <is>
          <t>CONFIRMADO</t>
        </is>
      </c>
      <c r="M62" s="30" t="inlineStr">
        <is>
          <t>Sin observaciones</t>
        </is>
      </c>
    </row>
    <row r="63" ht="15.75" customHeight="1" s="182">
      <c r="A63" s="42" t="inlineStr">
        <is>
          <t>México</t>
        </is>
      </c>
      <c r="B63" s="15" t="inlineStr">
        <is>
          <t>Universidades públicas</t>
        </is>
      </c>
      <c r="C63" s="73" t="inlineStr">
        <is>
          <t xml:space="preserve">Universidad Pública Estatal </t>
        </is>
      </c>
      <c r="D63" s="73" t="inlineStr">
        <is>
          <t>Universidad Autónoma de Nayarit (UAN)</t>
        </is>
      </c>
      <c r="E63" s="73" t="n"/>
      <c r="F63" s="73" t="inlineStr">
        <is>
          <t>Secretaría de Extensión y Vinculación</t>
        </is>
      </c>
      <c r="G63" s="191" t="inlineStr">
        <is>
          <t>https://www.uan.edu.mx</t>
        </is>
      </c>
      <c r="H63" s="73" t="n"/>
      <c r="I63" s="73" t="inlineStr">
        <is>
          <t>(311) 211 8800</t>
        </is>
      </c>
      <c r="J63" s="73" t="inlineStr">
        <is>
          <t>contacto@uan.edu.mx</t>
        </is>
      </c>
      <c r="K63" s="191" t="inlineStr">
        <is>
          <t>https://www.uan.edu.mx</t>
        </is>
      </c>
      <c r="L63" s="51" t="inlineStr">
        <is>
          <t>CONFIRMADO</t>
        </is>
      </c>
      <c r="M63" s="30" t="inlineStr">
        <is>
          <t>Sin observaciones</t>
        </is>
      </c>
    </row>
    <row r="64" ht="15.75" customHeight="1" s="182">
      <c r="A64" s="42" t="inlineStr">
        <is>
          <t>México</t>
        </is>
      </c>
      <c r="B64" s="56" t="inlineStr">
        <is>
          <t>Universidades públicas</t>
        </is>
      </c>
      <c r="C64" s="73" t="inlineStr">
        <is>
          <t xml:space="preserve">Universidad Pública Estatal </t>
        </is>
      </c>
      <c r="D64" s="80" t="inlineStr">
        <is>
          <t>Universidad Autónoma de Nuevo León (UANL)</t>
        </is>
      </c>
      <c r="E64" s="80" t="n"/>
      <c r="F64" s="80" t="inlineStr">
        <is>
          <t>Oficina del Rector</t>
        </is>
      </c>
      <c r="G64" s="190" t="inlineStr">
        <is>
          <t>https://www.uanl.mx</t>
        </is>
      </c>
      <c r="H64" s="81" t="n"/>
      <c r="I64" s="73" t="inlineStr">
        <is>
          <t>81 8329 4000</t>
        </is>
      </c>
      <c r="J64" s="73" t="inlineStr">
        <is>
          <t>santos.guzmanl@uanl.mx</t>
        </is>
      </c>
      <c r="K64" s="68" t="inlineStr">
        <is>
          <t>https://www.uanl.mx/funcionarios/santos-guzman-lopez/</t>
        </is>
      </c>
      <c r="L64" s="22" t="inlineStr">
        <is>
          <t>CORREGIDO</t>
        </is>
      </c>
      <c r="M64" s="82" t="inlineStr">
        <is>
          <t>cambio de sitio web</t>
        </is>
      </c>
    </row>
    <row r="65" ht="15.75" customHeight="1" s="182">
      <c r="A65" s="42" t="inlineStr">
        <is>
          <t>México</t>
        </is>
      </c>
      <c r="B65" s="56" t="inlineStr">
        <is>
          <t>Universidades públicas</t>
        </is>
      </c>
      <c r="C65" s="73" t="inlineStr">
        <is>
          <t xml:space="preserve">Universidad Pública Estatal </t>
        </is>
      </c>
      <c r="D65" s="98" t="inlineStr">
        <is>
          <t>Universidad Autónoma "Benito Juárez" de Oaxaca (UABJO)</t>
        </is>
      </c>
      <c r="E65" s="98" t="n"/>
      <c r="F65" s="98" t="inlineStr">
        <is>
          <t>Rectoría</t>
        </is>
      </c>
      <c r="G65" s="191" t="inlineStr">
        <is>
          <t>https://www.uabjo.mx</t>
        </is>
      </c>
      <c r="H65" s="181" t="n"/>
      <c r="I65" s="73" t="inlineStr">
        <is>
          <t>951 502 0700</t>
        </is>
      </c>
      <c r="J65" s="73" t="inlineStr">
        <is>
          <t>buzon@uabjo.mx</t>
        </is>
      </c>
      <c r="K65" s="193" t="inlineStr">
        <is>
          <t>https://uabjo.mx/contacto</t>
        </is>
      </c>
      <c r="L65" s="51" t="inlineStr">
        <is>
          <t>CONFIRMADO</t>
        </is>
      </c>
      <c r="M65" s="86" t="n"/>
    </row>
    <row r="66" ht="15.75" customHeight="1" s="182">
      <c r="A66" s="42" t="inlineStr">
        <is>
          <t>México</t>
        </is>
      </c>
      <c r="B66" s="56" t="inlineStr">
        <is>
          <t>Universidades públicas</t>
        </is>
      </c>
      <c r="C66" s="73" t="inlineStr">
        <is>
          <t xml:space="preserve">Universidad Pública Estatal </t>
        </is>
      </c>
      <c r="D66" s="98" t="inlineStr">
        <is>
          <t>Benemérita Universidad Autónoma de Puebla (BUAP)</t>
        </is>
      </c>
      <c r="E66" s="98" t="n"/>
      <c r="F66" s="98" t="inlineStr">
        <is>
          <t>Rectoría</t>
        </is>
      </c>
      <c r="G66" s="190" t="inlineStr">
        <is>
          <t>https://www.buap.mx</t>
        </is>
      </c>
      <c r="H66" s="181" t="n"/>
      <c r="I66" s="73" t="inlineStr">
        <is>
          <t>(222) 229 5500</t>
        </is>
      </c>
      <c r="J66" s="28" t="inlineStr">
        <is>
          <t>no disponible públicamente</t>
        </is>
      </c>
      <c r="K66" s="71" t="n"/>
      <c r="L66" s="22" t="inlineStr">
        <is>
          <t>CORREGIDO</t>
        </is>
      </c>
      <c r="M66" s="86" t="inlineStr">
        <is>
          <t>No se encontró correo</t>
        </is>
      </c>
    </row>
    <row r="67" ht="15.75" customHeight="1" s="182">
      <c r="A67" s="42" t="inlineStr">
        <is>
          <t>México</t>
        </is>
      </c>
      <c r="B67" s="56" t="inlineStr">
        <is>
          <t>Universidades públicas</t>
        </is>
      </c>
      <c r="C67" s="73" t="inlineStr">
        <is>
          <t xml:space="preserve">Universidad Pública Estatal </t>
        </is>
      </c>
      <c r="D67" s="98" t="inlineStr">
        <is>
          <t>Universidad Autónoma de Querétaro (UAQ)</t>
        </is>
      </c>
      <c r="E67" s="98" t="n"/>
      <c r="F67" s="98" t="inlineStr">
        <is>
          <t>Rectoría</t>
        </is>
      </c>
      <c r="G67" s="191" t="inlineStr">
        <is>
          <t>https://www.uaq.mx</t>
        </is>
      </c>
      <c r="H67" s="181" t="n"/>
      <c r="I67" s="73" t="inlineStr">
        <is>
          <t>442 192 1200</t>
        </is>
      </c>
      <c r="J67" s="28" t="inlineStr">
        <is>
          <t>no disponible públicamente</t>
        </is>
      </c>
      <c r="K67" s="194" t="inlineStr">
        <is>
          <t>https://rectoria.uaq.mx</t>
        </is>
      </c>
      <c r="L67" s="35" t="inlineStr">
        <is>
          <t>VERIFICAR</t>
        </is>
      </c>
      <c r="M67" s="86" t="inlineStr">
        <is>
          <t xml:space="preserve">Contacto no oficial </t>
        </is>
      </c>
    </row>
    <row r="68" ht="15.75" customHeight="1" s="182">
      <c r="A68" s="42" t="inlineStr">
        <is>
          <t>México</t>
        </is>
      </c>
      <c r="B68" s="56" t="inlineStr">
        <is>
          <t>Universidades públicas</t>
        </is>
      </c>
      <c r="C68" s="73" t="inlineStr">
        <is>
          <t xml:space="preserve">Universidad Pública Estatal </t>
        </is>
      </c>
      <c r="D68" s="98" t="inlineStr">
        <is>
          <t>Universidad de Quintana Roo (UQROO)</t>
        </is>
      </c>
      <c r="E68" s="98" t="n"/>
      <c r="F68" s="98" t="inlineStr">
        <is>
          <t>Coordinación de Vinculación</t>
        </is>
      </c>
      <c r="G68" s="190" t="inlineStr">
        <is>
          <t>https://www.uqroo.mx</t>
        </is>
      </c>
      <c r="H68" s="181" t="n"/>
      <c r="I68" s="73" t="inlineStr">
        <is>
          <t>(983) 835 0300</t>
        </is>
      </c>
      <c r="J68" s="73" t="inlineStr">
        <is>
          <t>rectoria.uqroo@uqroo.edu.mx</t>
        </is>
      </c>
      <c r="K68" s="195" t="inlineStr">
        <is>
          <t>https://vinculacion.uqroo.mx</t>
        </is>
      </c>
      <c r="L68" s="22" t="inlineStr">
        <is>
          <t>CORREGIDO</t>
        </is>
      </c>
      <c r="M68" s="86" t="inlineStr">
        <is>
          <t>otro correo oficial</t>
        </is>
      </c>
    </row>
    <row r="69" ht="15.75" customHeight="1" s="182">
      <c r="A69" s="42" t="inlineStr">
        <is>
          <t>México</t>
        </is>
      </c>
      <c r="B69" s="56" t="inlineStr">
        <is>
          <t>Universidades públicas</t>
        </is>
      </c>
      <c r="C69" s="73" t="inlineStr">
        <is>
          <t xml:space="preserve">Universidad Pública Estatal </t>
        </is>
      </c>
      <c r="D69" s="98" t="inlineStr">
        <is>
          <t>Universidad Autónoma de San Luis Potosí (UASLP)</t>
        </is>
      </c>
      <c r="E69" s="98" t="n"/>
      <c r="F69" s="98" t="inlineStr">
        <is>
          <t>División de Vinculación Universitaria</t>
        </is>
      </c>
      <c r="G69" s="191" t="inlineStr">
        <is>
          <t>https://www.uaslp.mx</t>
        </is>
      </c>
      <c r="H69" s="181" t="n"/>
      <c r="I69" s="73" t="inlineStr">
        <is>
          <t>444 826 2300/1300 (ext. 7110/7116 Vinculación)</t>
        </is>
      </c>
      <c r="J69" s="73" t="inlineStr">
        <is>
          <t>division.vinculacion@uaslp.mx</t>
        </is>
      </c>
      <c r="K69" s="196" t="inlineStr">
        <is>
          <t>https://uaslp.mx</t>
        </is>
      </c>
      <c r="L69" s="22" t="inlineStr">
        <is>
          <t>CORREGIDO</t>
        </is>
      </c>
      <c r="M69" s="86" t="inlineStr">
        <is>
          <t>correo error 404</t>
        </is>
      </c>
    </row>
    <row r="70" ht="15.75" customHeight="1" s="182">
      <c r="A70" s="42" t="inlineStr">
        <is>
          <t>México</t>
        </is>
      </c>
      <c r="B70" s="56" t="inlineStr">
        <is>
          <t>Universidades públicas</t>
        </is>
      </c>
      <c r="C70" s="73" t="inlineStr">
        <is>
          <t xml:space="preserve">Universidad Pública Estatal </t>
        </is>
      </c>
      <c r="D70" s="98" t="inlineStr">
        <is>
          <t>Universidad Autónoma de Sinaloa (UAS)</t>
        </is>
      </c>
      <c r="E70" s="98" t="n"/>
      <c r="F70" s="98" t="inlineStr">
        <is>
          <t>Dirección General de Vinculación y Relaciones Internacionales</t>
        </is>
      </c>
      <c r="G70" s="190" t="inlineStr">
        <is>
          <t>https://www.uas.edu.mx</t>
        </is>
      </c>
      <c r="H70" s="181" t="n"/>
      <c r="I70" s="73" t="inlineStr">
        <is>
          <t>6677593829</t>
        </is>
      </c>
      <c r="J70" s="28" t="inlineStr">
        <is>
          <t>no disponible públicamente</t>
        </is>
      </c>
      <c r="K70" s="88" t="inlineStr">
        <is>
          <t>uas.edu.mx dgvri.uas.edu.mx</t>
        </is>
      </c>
      <c r="L70" s="22" t="inlineStr">
        <is>
          <t>CORREGIDO</t>
        </is>
      </c>
      <c r="M70" s="86" t="inlineStr">
        <is>
          <t>Numero corregido</t>
        </is>
      </c>
    </row>
    <row r="71" ht="15.75" customHeight="1" s="182">
      <c r="A71" s="42" t="inlineStr">
        <is>
          <t>México</t>
        </is>
      </c>
      <c r="B71" s="56" t="inlineStr">
        <is>
          <t>Universidades públicas</t>
        </is>
      </c>
      <c r="C71" s="73" t="inlineStr">
        <is>
          <t xml:space="preserve">Universidad Pública Estatal </t>
        </is>
      </c>
      <c r="D71" s="98" t="inlineStr">
        <is>
          <t>Universidad de Sonora (UNISON)</t>
        </is>
      </c>
      <c r="E71" s="98" t="n"/>
      <c r="F71" s="98" t="inlineStr">
        <is>
          <t>Dirección de Vinculación y Extensión</t>
        </is>
      </c>
      <c r="G71" s="191" t="inlineStr">
        <is>
          <t>https://www.unison.mx</t>
        </is>
      </c>
      <c r="H71" s="181" t="n"/>
      <c r="I71" s="73" t="inlineStr">
        <is>
          <t>(662) 259 2136 / 259 2137</t>
        </is>
      </c>
      <c r="J71" s="183" t="inlineStr">
        <is>
          <t>joel.espejel@unison.mx</t>
        </is>
      </c>
      <c r="K71" s="196" t="inlineStr">
        <is>
          <t>https://vinculacionyextension.unison.mx/directorio</t>
        </is>
      </c>
      <c r="L71" s="51" t="inlineStr">
        <is>
          <t>CONFIRMADO</t>
        </is>
      </c>
      <c r="M71" s="197" t="inlineStr">
        <is>
          <t>Auditoría 08-oct-2026: Texto movido desde celda de email: "joel.espejel@unison.mx (Vinculación y Extensión)"</t>
        </is>
      </c>
    </row>
    <row r="72" ht="15.75" customHeight="1" s="182">
      <c r="A72" s="42" t="inlineStr">
        <is>
          <t>México</t>
        </is>
      </c>
      <c r="B72" s="56" t="inlineStr">
        <is>
          <t>Universidades públicas</t>
        </is>
      </c>
      <c r="C72" s="73" t="inlineStr">
        <is>
          <t xml:space="preserve">Universidad Pública Estatal </t>
        </is>
      </c>
      <c r="D72" s="98" t="inlineStr">
        <is>
          <t>Universidad Juárez Autónoma de Tabasco (UJAT)</t>
        </is>
      </c>
      <c r="E72" s="98" t="n"/>
      <c r="F72" s="98" t="inlineStr">
        <is>
          <t>Dirección de Vinculación</t>
        </is>
      </c>
      <c r="G72" s="190" t="inlineStr">
        <is>
          <t>https://www.ujat.mx</t>
        </is>
      </c>
      <c r="H72" s="181" t="n"/>
      <c r="I72" s="73" t="inlineStr">
        <is>
          <t>(993) 358 1500 ext. 5024</t>
        </is>
      </c>
      <c r="J72" s="73" t="inlineStr">
        <is>
          <t>direccion.vinculacion@ujat.mx</t>
        </is>
      </c>
      <c r="K72" s="71" t="inlineStr">
        <is>
          <t>ujat.mx/principal/directorio ; mexicoescultura.com</t>
        </is>
      </c>
      <c r="L72" s="51" t="inlineStr">
        <is>
          <t>CONFIRMADO</t>
        </is>
      </c>
      <c r="M72" s="86" t="n"/>
    </row>
    <row r="73" ht="15.75" customHeight="1" s="182">
      <c r="A73" s="42" t="inlineStr">
        <is>
          <t>México</t>
        </is>
      </c>
      <c r="B73" s="56" t="inlineStr">
        <is>
          <t>Universidades públicas</t>
        </is>
      </c>
      <c r="C73" s="73" t="inlineStr">
        <is>
          <t xml:space="preserve">Universidad Pública Estatal </t>
        </is>
      </c>
      <c r="D73" s="98" t="inlineStr">
        <is>
          <t>Universidad Autónoma de Tamaulipas (UAT)</t>
        </is>
      </c>
      <c r="E73" s="98" t="n"/>
      <c r="F73" s="98" t="inlineStr">
        <is>
          <t>Secretaría de Vinculación</t>
        </is>
      </c>
      <c r="G73" s="193" t="inlineStr">
        <is>
          <t>https://www.uat.edu.mx</t>
        </is>
      </c>
      <c r="H73" s="181" t="n"/>
      <c r="I73" s="73" t="inlineStr">
        <is>
          <t>(834) 318 1800 ext. 1060 (Vinculación)</t>
        </is>
      </c>
      <c r="J73" s="28" t="inlineStr">
        <is>
          <t>no disponible públicamente</t>
        </is>
      </c>
      <c r="K73" s="194" t="inlineStr">
        <is>
          <t>https://uat.edu.mx</t>
        </is>
      </c>
      <c r="L73" s="35" t="inlineStr">
        <is>
          <t>VERIFICAR</t>
        </is>
      </c>
      <c r="M73" s="86" t="n"/>
    </row>
    <row r="74" ht="15.75" customHeight="1" s="182">
      <c r="A74" s="42" t="inlineStr">
        <is>
          <t>México</t>
        </is>
      </c>
      <c r="B74" s="56" t="inlineStr">
        <is>
          <t>Universidades públicas</t>
        </is>
      </c>
      <c r="C74" s="73" t="inlineStr">
        <is>
          <t xml:space="preserve">Universidad Pública Estatal </t>
        </is>
      </c>
      <c r="D74" s="98" t="inlineStr">
        <is>
          <t>Universidad Autónoma de Tlaxcala (UATx)</t>
        </is>
      </c>
      <c r="E74" s="98" t="n"/>
      <c r="F74" s="98" t="inlineStr">
        <is>
          <t>Rectoría</t>
        </is>
      </c>
      <c r="G74" s="190" t="inlineStr">
        <is>
          <t>https://www.uatx.mx</t>
        </is>
      </c>
      <c r="H74" s="181" t="n"/>
      <c r="I74" s="73" t="inlineStr">
        <is>
          <t>246 462 1167</t>
        </is>
      </c>
      <c r="J74" s="73" t="inlineStr">
        <is>
          <t>rectoria@uatx.mx</t>
        </is>
      </c>
      <c r="K74" s="71" t="inlineStr">
        <is>
          <t>sic.cultura.gob.mx (ficha UATx) ; en.wikipedia.org/wiki/Autonomous_University_of_Tlaxcala</t>
        </is>
      </c>
      <c r="L74" s="35" t="inlineStr">
        <is>
          <t>VERIFICAR</t>
        </is>
      </c>
      <c r="M74" s="86" t="n"/>
    </row>
    <row r="75" ht="15.75" customHeight="1" s="182">
      <c r="A75" s="42" t="inlineStr">
        <is>
          <t>México</t>
        </is>
      </c>
      <c r="B75" s="56" t="inlineStr">
        <is>
          <t>Universidades públicas</t>
        </is>
      </c>
      <c r="C75" s="73" t="inlineStr">
        <is>
          <t xml:space="preserve">Universidad Pública Estatal </t>
        </is>
      </c>
      <c r="D75" s="98" t="inlineStr">
        <is>
          <t>Universidad Veracruzana (UV)</t>
        </is>
      </c>
      <c r="E75" s="98" t="n"/>
      <c r="F75" s="98" t="inlineStr">
        <is>
          <t>Dirección General de Vinculación</t>
        </is>
      </c>
      <c r="G75" s="191" t="inlineStr">
        <is>
          <t>https://www.uv.mx</t>
        </is>
      </c>
      <c r="H75" s="181" t="n"/>
      <c r="I75" s="73" t="inlineStr">
        <is>
          <t>(228) 842 17 21</t>
        </is>
      </c>
      <c r="J75" s="73" t="inlineStr">
        <is>
          <t>direccv@uv.mx</t>
        </is>
      </c>
      <c r="K75" s="74" t="inlineStr">
        <is>
          <t>uv.mx/vinculacion/ ; uv.mx/juntagob/comunicado05/</t>
        </is>
      </c>
      <c r="L75" s="35" t="inlineStr">
        <is>
          <t>VERIFICAR</t>
        </is>
      </c>
      <c r="M75" s="86" t="n"/>
    </row>
    <row r="76" ht="15.75" customHeight="1" s="182">
      <c r="A76" s="42" t="inlineStr">
        <is>
          <t>México</t>
        </is>
      </c>
      <c r="B76" s="56" t="inlineStr">
        <is>
          <t>Universidades públicas</t>
        </is>
      </c>
      <c r="C76" s="73" t="inlineStr">
        <is>
          <t xml:space="preserve">Universidad Pública Estatal </t>
        </is>
      </c>
      <c r="D76" s="98" t="inlineStr">
        <is>
          <t>Universidad Autónoma de Yucatán (UADY)</t>
        </is>
      </c>
      <c r="E76" s="98" t="n"/>
      <c r="F76" s="98" t="inlineStr">
        <is>
          <t>Rectoría</t>
        </is>
      </c>
      <c r="G76" s="190" t="inlineStr">
        <is>
          <t>https://www.uady.mx</t>
        </is>
      </c>
      <c r="H76" s="181" t="n"/>
      <c r="I76" s="73" t="inlineStr">
        <is>
          <t>999 930 09 00</t>
        </is>
      </c>
      <c r="J76" s="73" t="inlineStr">
        <is>
          <t>carlos.estrada@correo.uady.mx</t>
        </is>
      </c>
      <c r="K76" s="71" t="inlineStr">
        <is>
          <t>uady.mx ; grupolarabida.org (ficha UADY)</t>
        </is>
      </c>
      <c r="L76" s="35" t="inlineStr">
        <is>
          <t>VERIFICAR</t>
        </is>
      </c>
      <c r="M76" s="86" t="n"/>
    </row>
    <row r="77" ht="15.75" customHeight="1" s="182">
      <c r="A77" s="42" t="inlineStr">
        <is>
          <t>México</t>
        </is>
      </c>
      <c r="B77" s="56" t="inlineStr">
        <is>
          <t>Universidades públicas</t>
        </is>
      </c>
      <c r="C77" s="73" t="inlineStr">
        <is>
          <t xml:space="preserve">Universidad Pública Estatal </t>
        </is>
      </c>
      <c r="D77" s="98" t="inlineStr">
        <is>
          <t>Universidad Autónoma de Zacatecas "Francisco García Salinas" (UAZ)</t>
        </is>
      </c>
      <c r="E77" s="98" t="n"/>
      <c r="F77" s="98" t="inlineStr">
        <is>
          <t>Coordinación de Vinculación</t>
        </is>
      </c>
      <c r="G77" s="191" t="inlineStr">
        <is>
          <t>https://www.uaz.edu.mx</t>
        </is>
      </c>
      <c r="H77" s="181" t="n"/>
      <c r="I77" s="73" t="inlineStr">
        <is>
          <t>52 (492) 92 22001</t>
        </is>
      </c>
      <c r="J77" s="73" t="inlineStr">
        <is>
          <t>contacto@uaz.edu.mx</t>
        </is>
      </c>
      <c r="K77" s="74" t="inlineStr">
        <is>
          <t>uaz.edu.mx/rectoria/ ; uaz.edu.mx</t>
        </is>
      </c>
      <c r="L77" s="35" t="inlineStr">
        <is>
          <t>VERIFICAR</t>
        </is>
      </c>
      <c r="M77" s="86" t="n"/>
    </row>
    <row r="78" ht="15.75" customHeight="1" s="182">
      <c r="A78" s="42" t="inlineStr">
        <is>
          <t>México</t>
        </is>
      </c>
      <c r="B78" s="56" t="inlineStr">
        <is>
          <t>Universidades públicas</t>
        </is>
      </c>
      <c r="C78" s="73" t="inlineStr">
        <is>
          <t xml:space="preserve">Universidad Pública Estatal </t>
        </is>
      </c>
      <c r="D78" s="98" t="inlineStr">
        <is>
          <t>Universidad Autónoma de la Ciudad de México (UACM)</t>
        </is>
      </c>
      <c r="E78" s="98" t="n"/>
      <c r="F78" s="98" t="inlineStr">
        <is>
          <t>Directorio institucional</t>
        </is>
      </c>
      <c r="G78" s="198" t="inlineStr">
        <is>
          <t>https://www.uacm.edu.mx</t>
        </is>
      </c>
      <c r="H78" s="181" t="n"/>
      <c r="I78" s="73" t="inlineStr">
        <is>
          <t>(55) 1107-0280</t>
        </is>
      </c>
      <c r="J78" s="73" t="inlineStr">
        <is>
          <t>informacion@uacm.edu.mx</t>
        </is>
      </c>
      <c r="K78" s="93" t="inlineStr">
        <is>
          <t>uacm.edu.mx ; universidadesdemexico.mx</t>
        </is>
      </c>
      <c r="L78" s="51" t="inlineStr">
        <is>
          <t>CONFIRMADO</t>
        </is>
      </c>
      <c r="M78" s="86" t="inlineStr">
        <is>
          <t xml:space="preserve">Sin observaciones </t>
        </is>
      </c>
    </row>
    <row r="79" ht="15.75" customHeight="1" s="182">
      <c r="A79" s="42" t="inlineStr">
        <is>
          <t>México</t>
        </is>
      </c>
      <c r="B79" s="56" t="inlineStr">
        <is>
          <t>Universidades públicas</t>
        </is>
      </c>
      <c r="C79" s="98" t="inlineStr">
        <is>
          <t>Universidad Politécnica Pública</t>
        </is>
      </c>
      <c r="D79" s="98" t="inlineStr">
        <is>
          <t>Universidad Politécnica de Aguascalientes</t>
        </is>
      </c>
      <c r="E79" s="98" t="n"/>
      <c r="F79" s="98" t="inlineStr">
        <is>
          <t>Departamento de Servicios Estudiantiles / Control Escolar</t>
        </is>
      </c>
      <c r="G79" s="96" t="inlineStr">
        <is>
          <t>https://upa.edu.mx/</t>
        </is>
      </c>
      <c r="H79" s="97" t="inlineStr">
        <is>
          <t>M. De Los Dolores Rodríguez Aguilera (Control Escolar)</t>
        </is>
      </c>
      <c r="I79" s="96" t="inlineStr">
        <is>
          <t>01 449 442 1400  01 800 300 9370</t>
        </is>
      </c>
      <c r="J79" s="96" t="n"/>
      <c r="K79" s="96" t="inlineStr">
        <is>
          <t>https://sii.upa.edu.mx/general/contacto.php</t>
        </is>
      </c>
      <c r="L79" s="51" t="inlineStr">
        <is>
          <t>CONFIRMADO</t>
        </is>
      </c>
      <c r="M79" s="86" t="inlineStr">
        <is>
          <t xml:space="preserve">Sin observaciones </t>
        </is>
      </c>
    </row>
    <row r="80" ht="15.75" customHeight="1" s="182">
      <c r="A80" s="42" t="inlineStr">
        <is>
          <t>México</t>
        </is>
      </c>
      <c r="B80" s="56" t="inlineStr">
        <is>
          <t>Universidades públicas</t>
        </is>
      </c>
      <c r="C80" s="98" t="inlineStr">
        <is>
          <t>Universidad Tecnológica Pública</t>
        </is>
      </c>
      <c r="D80" s="98" t="inlineStr">
        <is>
          <t>Universidad Tecnológica de Aguascalientes</t>
        </is>
      </c>
      <c r="E80" s="98" t="n"/>
      <c r="F80" s="98" t="inlineStr">
        <is>
          <t>Departamento de Servicios Estudiantiles</t>
        </is>
      </c>
      <c r="G80" s="96" t="inlineStr">
        <is>
          <t>https://www.utags.edu.mx/</t>
        </is>
      </c>
      <c r="H80" s="97" t="inlineStr">
        <is>
          <t>Atención de Admisión y Servicios Estudiantiles</t>
        </is>
      </c>
      <c r="I80" s="96" t="inlineStr">
        <is>
          <t>449 910 5000</t>
        </is>
      </c>
      <c r="J80" s="96" t="inlineStr">
        <is>
          <t>mmartinez@utags.edu.mx</t>
        </is>
      </c>
      <c r="K80" s="96" t="inlineStr">
        <is>
          <t>https://www.utags.edu.mx/</t>
        </is>
      </c>
      <c r="L80" s="51" t="inlineStr">
        <is>
          <t>CONFIRMADO</t>
        </is>
      </c>
      <c r="M80" s="86" t="inlineStr">
        <is>
          <t xml:space="preserve">Sin observaciones </t>
        </is>
      </c>
    </row>
    <row r="81" ht="15.75" customHeight="1" s="182">
      <c r="A81" s="42" t="inlineStr">
        <is>
          <t>México</t>
        </is>
      </c>
      <c r="B81" s="56" t="inlineStr">
        <is>
          <t>Universidades públicas</t>
        </is>
      </c>
      <c r="C81" s="98" t="inlineStr">
        <is>
          <t>Universidad Tecnológica Pública</t>
        </is>
      </c>
      <c r="D81" s="98" t="inlineStr">
        <is>
          <t>Universidad Tecnológica de Calvillo</t>
        </is>
      </c>
      <c r="E81" s="98" t="n"/>
      <c r="F81" s="98" t="inlineStr">
        <is>
          <t>Servicios Estudiantiles y Extensión</t>
        </is>
      </c>
      <c r="G81" s="96" t="inlineStr">
        <is>
          <t>https://www.utcalvillo.edu.mx/</t>
        </is>
      </c>
      <c r="H81" s="97" t="inlineStr">
        <is>
          <t>Oficina de Atención Estudiantil</t>
        </is>
      </c>
      <c r="I81" s="96" t="inlineStr">
        <is>
          <t>4959565063 / 4959565064 / 4959565359 ext 201</t>
        </is>
      </c>
      <c r="J81" s="96" t="inlineStr">
        <is>
          <t>contacto@utcalvillo.edu.mx</t>
        </is>
      </c>
      <c r="K81" s="96" t="inlineStr">
        <is>
          <t>https://www.utcalvillo.edu.mx/contacto</t>
        </is>
      </c>
      <c r="L81" s="51" t="inlineStr">
        <is>
          <t>CONFIRMADO</t>
        </is>
      </c>
      <c r="M81" s="86" t="inlineStr">
        <is>
          <t xml:space="preserve">Sin observaciones </t>
        </is>
      </c>
    </row>
    <row r="82" ht="15.75" customHeight="1" s="182">
      <c r="A82" s="42" t="inlineStr">
        <is>
          <t>México</t>
        </is>
      </c>
      <c r="B82" s="56" t="inlineStr">
        <is>
          <t>Universidades públicas</t>
        </is>
      </c>
      <c r="C82" s="98" t="inlineStr">
        <is>
          <t>Universidad Tecnológica Pública</t>
        </is>
      </c>
      <c r="D82" s="98" t="inlineStr">
        <is>
          <t>Universidad Tecnológica del Norte de Aguascalientes</t>
        </is>
      </c>
      <c r="E82" s="98" t="n"/>
      <c r="F82" s="98" t="inlineStr">
        <is>
          <t>Servicios Estudiantiles</t>
        </is>
      </c>
      <c r="G82" s="96" t="inlineStr">
        <is>
          <t>https://www.utna.edu.mx/</t>
        </is>
      </c>
      <c r="H82" s="97" t="inlineStr">
        <is>
          <t>Atención Ciudadana y Servicios Estudiantiles</t>
        </is>
      </c>
      <c r="I82" s="96" t="inlineStr">
        <is>
          <t>4659650030</t>
        </is>
      </c>
      <c r="J82" s="96" t="inlineStr">
        <is>
          <t>contacto@utna.edu.mx</t>
        </is>
      </c>
      <c r="K82" s="96" t="inlineStr">
        <is>
          <t>https://www.utna.edu.mx/</t>
        </is>
      </c>
      <c r="L82" s="51" t="inlineStr">
        <is>
          <t>CONFIRMADO</t>
        </is>
      </c>
      <c r="M82" s="86" t="inlineStr">
        <is>
          <t xml:space="preserve">Sin observaciones </t>
        </is>
      </c>
    </row>
    <row r="83" ht="15.75" customHeight="1" s="182">
      <c r="A83" s="42" t="inlineStr">
        <is>
          <t>México</t>
        </is>
      </c>
      <c r="B83" s="56" t="inlineStr">
        <is>
          <t>Universidades públicas</t>
        </is>
      </c>
      <c r="C83" s="98" t="inlineStr">
        <is>
          <t>Universidad Tecnológica Pública</t>
        </is>
      </c>
      <c r="D83" s="98" t="inlineStr">
        <is>
          <t>Universidad Tecnológica El Retoño</t>
        </is>
      </c>
      <c r="E83" s="98" t="n"/>
      <c r="F83" s="98" t="inlineStr">
        <is>
          <t>Departamento de Asuntos Estudiantiles</t>
        </is>
      </c>
      <c r="G83" s="96" t="inlineStr">
        <is>
          <t>https://www.utr.edu.mx/</t>
        </is>
      </c>
      <c r="H83" s="97" t="inlineStr">
        <is>
          <t>Oficina de Servicios Estudiantiles</t>
        </is>
      </c>
      <c r="I83" s="96" t="inlineStr">
        <is>
          <t>449 786 0984</t>
        </is>
      </c>
      <c r="J83" s="96" t="inlineStr">
        <is>
          <t>contacto@utr.edu.mx</t>
        </is>
      </c>
      <c r="K83" s="96" t="inlineStr">
        <is>
          <t>https://www.utr.edu.mx/</t>
        </is>
      </c>
      <c r="L83" s="51" t="inlineStr">
        <is>
          <t>CONFIRMADO</t>
        </is>
      </c>
      <c r="M83" s="86" t="inlineStr">
        <is>
          <t xml:space="preserve">Sin observaciones </t>
        </is>
      </c>
    </row>
    <row r="84" ht="15.75" customHeight="1" s="182">
      <c r="A84" s="42" t="inlineStr">
        <is>
          <t>México</t>
        </is>
      </c>
      <c r="B84" s="56" t="inlineStr">
        <is>
          <t>Universidades públicas</t>
        </is>
      </c>
      <c r="C84" s="98" t="inlineStr">
        <is>
          <t>Universidad Pública Autónoma</t>
        </is>
      </c>
      <c r="D84" s="98" t="inlineStr">
        <is>
          <t>Universidad Autónoma del Carmen</t>
        </is>
      </c>
      <c r="E84" s="98" t="n"/>
      <c r="F84" s="98" t="inlineStr">
        <is>
          <t>Coordinación de Bienestar y Servicios Estudiantiles</t>
        </is>
      </c>
      <c r="G84" s="96" t="inlineStr">
        <is>
          <t>https://www.unacar.mx/</t>
        </is>
      </c>
      <c r="H84" s="97" t="inlineStr">
        <is>
          <t>Atención Estudiantil UNACAR</t>
        </is>
      </c>
      <c r="I84" s="96" t="inlineStr">
        <is>
          <t>(938) 3811018 Ext. 1315</t>
        </is>
      </c>
      <c r="J84" s="96" t="inlineStr">
        <is>
          <t>servicios.estudiantiles@unacar.mx</t>
        </is>
      </c>
      <c r="K84" s="96" t="inlineStr">
        <is>
          <t>https://www.unacar.mx/</t>
        </is>
      </c>
      <c r="L84" s="35" t="inlineStr">
        <is>
          <t>VERIFICADO CON OBSERVACIONES</t>
        </is>
      </c>
      <c r="M84" s="86" t="inlineStr">
        <is>
          <t>Correo revisar</t>
        </is>
      </c>
    </row>
    <row r="85" ht="15.75" customHeight="1" s="182">
      <c r="A85" s="42" t="inlineStr">
        <is>
          <t>México</t>
        </is>
      </c>
      <c r="B85" s="56" t="inlineStr">
        <is>
          <t>Universidades públicas</t>
        </is>
      </c>
      <c r="C85" s="98" t="inlineStr">
        <is>
          <t>Universidad Pública Autónoma</t>
        </is>
      </c>
      <c r="D85" s="98" t="inlineStr">
        <is>
          <t>Universidad Autónoma de Ciencias y Artes de Chiapas</t>
        </is>
      </c>
      <c r="E85" s="98" t="n"/>
      <c r="F85" s="98" t="inlineStr">
        <is>
          <t>Departamento de Bienestar Estudiantil</t>
        </is>
      </c>
      <c r="G85" s="96" t="inlineStr">
        <is>
          <t>https://www.unicach.mx/</t>
        </is>
      </c>
      <c r="H85" s="97" t="inlineStr">
        <is>
          <t>Atención al Estudiante UNICACH</t>
        </is>
      </c>
      <c r="I85" s="96" t="inlineStr">
        <is>
          <t xml:space="preserve"> +52 961 617 0440</t>
        </is>
      </c>
      <c r="J85" s="96" t="inlineStr">
        <is>
          <t>bienestar.estudiantil@unicach.mx</t>
        </is>
      </c>
      <c r="K85" s="96" t="inlineStr">
        <is>
          <t>https://www.unicach.mx/</t>
        </is>
      </c>
      <c r="L85" s="51" t="inlineStr">
        <is>
          <t>CONFIRMADO</t>
        </is>
      </c>
      <c r="M85" s="86" t="n"/>
    </row>
    <row r="86" ht="15.75" customHeight="1" s="182">
      <c r="A86" s="42" t="inlineStr">
        <is>
          <t>México</t>
        </is>
      </c>
      <c r="B86" s="56" t="inlineStr">
        <is>
          <t>Universidades públicas</t>
        </is>
      </c>
      <c r="C86" s="98" t="inlineStr">
        <is>
          <t>Universidad Politécnica Pública</t>
        </is>
      </c>
      <c r="D86" s="98" t="inlineStr">
        <is>
          <t>Universidad Politécnica de Chiapas</t>
        </is>
      </c>
      <c r="E86" s="98" t="n"/>
      <c r="F86" s="199" t="inlineStr">
        <is>
          <t>Secretaría Académica</t>
        </is>
      </c>
      <c r="G86" s="96" t="inlineStr">
        <is>
          <t>https://www.upchiapas.edu.mx/</t>
        </is>
      </c>
      <c r="H86" s="200" t="inlineStr">
        <is>
          <t>Dr. Francisco Alberto Alonso Farrera (Secretario Académico)</t>
        </is>
      </c>
      <c r="I86" s="201" t="inlineStr">
        <is>
          <t>+52 961 617 1460 ext. 50201</t>
        </is>
      </c>
      <c r="J86" s="201" t="inlineStr">
        <is>
          <t>secretariaacademica@upchiapas.edu.mx</t>
        </is>
      </c>
      <c r="K86" s="201" t="inlineStr">
        <is>
          <t>https://www.upchiapas.edu.mx/Administracion</t>
        </is>
      </c>
      <c r="L86" s="186" t="inlineStr">
        <is>
          <t>CORREGIDO</t>
        </is>
      </c>
      <c r="M86" s="197" t="inlineStr">
        <is>
          <t>Se encontró sec academica | Auditoría 08-oct-2026: Email anterior era de UNICACH (otra universidad).</t>
        </is>
      </c>
    </row>
    <row r="87" ht="15.75" customHeight="1" s="182">
      <c r="A87" s="42" t="inlineStr">
        <is>
          <t>México</t>
        </is>
      </c>
      <c r="B87" s="56" t="inlineStr">
        <is>
          <t>Universidades públicas</t>
        </is>
      </c>
      <c r="C87" s="98" t="inlineStr">
        <is>
          <t>Universidad Pública Autónoma</t>
        </is>
      </c>
      <c r="D87" s="98" t="inlineStr">
        <is>
          <t>Universidad Autónoma de Ciudad Juárez</t>
        </is>
      </c>
      <c r="E87" s="98" t="n"/>
      <c r="F87" s="98" t="inlineStr">
        <is>
          <t>Coordinación de Orientación y Bienestar Estudiantil</t>
        </is>
      </c>
      <c r="G87" s="96" t="inlineStr">
        <is>
          <t>https://www.uacj.mx/</t>
        </is>
      </c>
      <c r="H87" s="97" t="inlineStr">
        <is>
          <t>Dr. Erick Sánchez Flores</t>
        </is>
      </c>
      <c r="I87" s="96" t="inlineStr">
        <is>
          <t xml:space="preserve"> +52 656 688 2100</t>
        </is>
      </c>
      <c r="J87" s="96" t="inlineStr">
        <is>
          <t>esanchez@uacj.mx</t>
        </is>
      </c>
      <c r="K87" s="96" t="inlineStr">
        <is>
          <t>https://www.uacj.mx/</t>
        </is>
      </c>
      <c r="L87" s="35" t="inlineStr">
        <is>
          <t>VERIFICADO CON OBSERVACIONES</t>
        </is>
      </c>
      <c r="M87" s="86" t="inlineStr">
        <is>
          <t xml:space="preserve">se cambió correo por vinculación </t>
        </is>
      </c>
    </row>
    <row r="88" ht="15.75" customHeight="1" s="182">
      <c r="A88" s="42" t="inlineStr">
        <is>
          <t>México</t>
        </is>
      </c>
      <c r="B88" s="56" t="inlineStr">
        <is>
          <t>Universidades públicas</t>
        </is>
      </c>
      <c r="C88" s="98" t="inlineStr">
        <is>
          <t>Universidad Tecnológica Pública</t>
        </is>
      </c>
      <c r="D88" s="98" t="inlineStr">
        <is>
          <t>Universidad Tecnológica de Chihuahua</t>
        </is>
      </c>
      <c r="E88" s="98" t="n"/>
      <c r="F88" s="98" t="inlineStr">
        <is>
          <t>Departamento de Servicios Estudiantiles</t>
        </is>
      </c>
      <c r="G88" s="96" t="inlineStr">
        <is>
          <t>https://www.utch.edu.mx/</t>
        </is>
      </c>
      <c r="H88" s="97" t="inlineStr">
        <is>
          <t>Sec Academica</t>
        </is>
      </c>
      <c r="I88" s="96" t="inlineStr">
        <is>
          <t xml:space="preserve"> +52 614 432 2000</t>
        </is>
      </c>
      <c r="J88" s="201" t="inlineStr">
        <is>
          <t>sacademica@utch.edu.mx</t>
        </is>
      </c>
      <c r="K88" s="96" t="inlineStr">
        <is>
          <t>https://www.utch.edu.mx/</t>
        </is>
      </c>
      <c r="L88" s="51" t="inlineStr">
        <is>
          <t>CONFIRMADO</t>
        </is>
      </c>
      <c r="M88" s="86" t="n"/>
    </row>
    <row r="89" ht="15.75" customHeight="1" s="182">
      <c r="A89" s="42" t="inlineStr">
        <is>
          <t>México</t>
        </is>
      </c>
      <c r="B89" s="56" t="inlineStr">
        <is>
          <t>Universidades públicas</t>
        </is>
      </c>
      <c r="C89" s="98" t="inlineStr">
        <is>
          <t>Universidad Tecnológica Pública</t>
        </is>
      </c>
      <c r="D89" s="98" t="inlineStr">
        <is>
          <t>Universidad Tecnológica de Chihuahua Sur</t>
        </is>
      </c>
      <c r="E89" s="98" t="n"/>
      <c r="F89" s="98" t="inlineStr">
        <is>
          <t>Servicios Estudiantiles y Becas</t>
        </is>
      </c>
      <c r="G89" s="96" t="inlineStr">
        <is>
          <t>https://www.utchsur.edu.mx/</t>
        </is>
      </c>
      <c r="H89" s="97" t="inlineStr">
        <is>
          <t xml:space="preserve">Director academico: Enedino Sáenz Acosta
</t>
        </is>
      </c>
      <c r="I89" s="103" t="inlineStr">
        <is>
          <t>+52 614 432 0214</t>
        </is>
      </c>
      <c r="J89" s="96" t="inlineStr">
        <is>
          <t>direccionacademica@utchsur.edu.mx</t>
        </is>
      </c>
      <c r="K89" s="96" t="inlineStr">
        <is>
          <t>https://www.utchsur.edu.mx/</t>
        </is>
      </c>
      <c r="L89" s="35" t="inlineStr">
        <is>
          <t>VERIFICADO CON OBSERVACIONES</t>
        </is>
      </c>
      <c r="M89" s="86" t="inlineStr">
        <is>
          <t>Se cambió el correo y contacto</t>
        </is>
      </c>
    </row>
    <row r="90" ht="15.75" customHeight="1" s="182">
      <c r="A90" s="42" t="inlineStr">
        <is>
          <t>México</t>
        </is>
      </c>
      <c r="B90" s="56" t="inlineStr">
        <is>
          <t>Universidades públicas</t>
        </is>
      </c>
      <c r="C90" s="98" t="inlineStr">
        <is>
          <t>Universidad Politécnica Pública</t>
        </is>
      </c>
      <c r="D90" s="98" t="inlineStr">
        <is>
          <t>Universidad Politécnica de Chihuahua</t>
        </is>
      </c>
      <c r="E90" s="98" t="n"/>
      <c r="F90" s="98" t="inlineStr">
        <is>
          <t>Servicios Estudiantiles</t>
        </is>
      </c>
      <c r="G90" s="96" t="inlineStr">
        <is>
          <t>https://www.upchihuahua.edu.mx/</t>
        </is>
      </c>
      <c r="H90" s="104" t="inlineStr">
        <is>
          <t>Atención UPCH</t>
        </is>
      </c>
      <c r="I90" s="105" t="inlineStr">
        <is>
          <t>=+52 614 214 2420</t>
        </is>
      </c>
      <c r="J90" s="106" t="inlineStr">
        <is>
          <t>contacto@upchihuahua.edu.mx</t>
        </is>
      </c>
      <c r="K90" s="96" t="inlineStr">
        <is>
          <t>https://www.upchihuahua.edu.mx/</t>
        </is>
      </c>
      <c r="L90" s="35" t="inlineStr">
        <is>
          <t>VERIFICADO CON OBSERVACIONES</t>
        </is>
      </c>
      <c r="M90" s="86" t="inlineStr">
        <is>
          <t xml:space="preserve">Crítico no funciona página web </t>
        </is>
      </c>
    </row>
    <row r="91" ht="15.75" customHeight="1" s="182">
      <c r="A91" s="42" t="inlineStr">
        <is>
          <t>México</t>
        </is>
      </c>
      <c r="B91" s="56" t="inlineStr">
        <is>
          <t>Universidades públicas</t>
        </is>
      </c>
      <c r="C91" s="98" t="inlineStr">
        <is>
          <t>Universidad Tecnológica Pública</t>
        </is>
      </c>
      <c r="D91" s="98" t="inlineStr">
        <is>
          <t>Universidad Tecnológica de Parral</t>
        </is>
      </c>
      <c r="E91" s="98" t="n"/>
      <c r="F91" s="98" t="inlineStr">
        <is>
          <t>Servicios Estudiantiles</t>
        </is>
      </c>
      <c r="G91" s="96" t="inlineStr">
        <is>
          <t>https://www.utparral.edu.mx/</t>
        </is>
      </c>
      <c r="H91" s="97" t="inlineStr">
        <is>
          <t xml:space="preserve">Director academico: Omar Fernando Alvarado Yáñez
</t>
        </is>
      </c>
      <c r="I91" s="96" t="inlineStr">
        <is>
          <t>(627) 523-21-07</t>
        </is>
      </c>
      <c r="J91" s="96" t="inlineStr">
        <is>
          <t>ofalvarado@utparral.edu.mx</t>
        </is>
      </c>
      <c r="K91" s="96" t="inlineStr">
        <is>
          <t>https://www.utparral.edu.mx/</t>
        </is>
      </c>
      <c r="L91" s="35" t="inlineStr">
        <is>
          <t>VERIFICADO CON OBSERVACIONES</t>
        </is>
      </c>
      <c r="M91" s="86" t="inlineStr">
        <is>
          <t>Cambio de correo</t>
        </is>
      </c>
    </row>
    <row r="92" ht="15.75" customHeight="1" s="182">
      <c r="A92" s="42" t="inlineStr">
        <is>
          <t>México</t>
        </is>
      </c>
      <c r="B92" s="56" t="inlineStr">
        <is>
          <t>Universidades públicas</t>
        </is>
      </c>
      <c r="C92" s="98" t="inlineStr">
        <is>
          <t>Universidad Pública Autónoma</t>
        </is>
      </c>
      <c r="D92" s="98" t="inlineStr">
        <is>
          <t>Universidad Autónoma Metropolitana</t>
        </is>
      </c>
      <c r="E92" s="98" t="n"/>
      <c r="F92" s="98" t="inlineStr">
        <is>
          <t>Oficina de Becas y Apoyo Estudiantil</t>
        </is>
      </c>
      <c r="G92" s="96" t="inlineStr">
        <is>
          <t>https://www.uam.mx/</t>
        </is>
      </c>
      <c r="H92" s="97" t="inlineStr">
        <is>
          <t>Secretaria General</t>
        </is>
      </c>
      <c r="I92" s="96" t="inlineStr">
        <is>
          <t>5554834000 ext. 1830, 1831, 1854</t>
        </is>
      </c>
      <c r="J92" s="96" t="inlineStr">
        <is>
          <t>sg@correo.uam.mx</t>
        </is>
      </c>
      <c r="K92" s="96" t="inlineStr">
        <is>
          <t>https://rectoria.uam.mx/sg.html</t>
        </is>
      </c>
      <c r="L92" s="35" t="inlineStr">
        <is>
          <t>VERIFICADO CON OBSERVACIONES</t>
        </is>
      </c>
      <c r="M92" s="86" t="inlineStr">
        <is>
          <t>Cambio de correo</t>
        </is>
      </c>
    </row>
    <row r="93" ht="15.75" customHeight="1" s="182">
      <c r="A93" s="42" t="inlineStr">
        <is>
          <t>México</t>
        </is>
      </c>
      <c r="B93" s="56" t="inlineStr">
        <is>
          <t>Universidades públicas</t>
        </is>
      </c>
      <c r="C93" s="98" t="inlineStr">
        <is>
          <t>Universidad Pública Autónoma</t>
        </is>
      </c>
      <c r="D93" s="98" t="inlineStr">
        <is>
          <t>Universidad Nacional Autónoma de México</t>
        </is>
      </c>
      <c r="E93" s="98" t="n"/>
      <c r="F93" s="98" t="inlineStr">
        <is>
          <t>Secretaría de Servicios a la Comunidad / Atención Estudiantil</t>
        </is>
      </c>
      <c r="G93" s="96" t="inlineStr">
        <is>
          <t>https://www.unam.mx/</t>
        </is>
      </c>
      <c r="H93" s="97" t="inlineStr">
        <is>
          <t>Berenice Cano Santos / Atención FES Aragón</t>
        </is>
      </c>
      <c r="I93" s="103" t="inlineStr">
        <is>
          <t>=+52 55 5623 0222 ext. 30871</t>
        </is>
      </c>
      <c r="J93" s="96" t="inlineStr">
        <is>
          <t>serviciosalacomunidad@aragon.unam.mx</t>
        </is>
      </c>
      <c r="K93" s="96" t="inlineStr">
        <is>
          <t>https://www.aragon.unam.mx/</t>
        </is>
      </c>
      <c r="L93" s="51" t="inlineStr">
        <is>
          <t>CONFIRMADO</t>
        </is>
      </c>
      <c r="M93" s="86" t="inlineStr">
        <is>
          <t>Sin Observaciones</t>
        </is>
      </c>
    </row>
    <row r="94" ht="15.75" customHeight="1" s="182">
      <c r="A94" s="42" t="inlineStr">
        <is>
          <t>México</t>
        </is>
      </c>
      <c r="B94" s="56" t="inlineStr">
        <is>
          <t>Universidades públicas</t>
        </is>
      </c>
      <c r="C94" s="98" t="inlineStr">
        <is>
          <t>Universidad Pedagógica Pública</t>
        </is>
      </c>
      <c r="D94" s="98" t="inlineStr">
        <is>
          <t>Universidad Pedagógica Nacional</t>
        </is>
      </c>
      <c r="E94" s="98" t="n"/>
      <c r="F94" s="199" t="inlineStr">
        <is>
          <t>Rectoría / Secretaría Administrativa</t>
        </is>
      </c>
      <c r="G94" s="201" t="inlineStr">
        <is>
          <t>https://upn.mx/</t>
        </is>
      </c>
      <c r="H94" s="200" t="inlineStr">
        <is>
          <t>Rosa María Torres Hernández (Rectora) / Ulises A. González García (Secretario Administrativo)</t>
        </is>
      </c>
      <c r="I94" s="201" t="inlineStr">
        <is>
          <t>+52 55 5630 9700 ext. 1125 (Rectoría) / ext. 1136</t>
        </is>
      </c>
      <c r="J94" s="201" t="inlineStr">
        <is>
          <t>No disponible públicamente</t>
        </is>
      </c>
      <c r="K94" s="201" t="inlineStr">
        <is>
          <t>https://upn.mx/index.php/conoce-la-upn/directorio</t>
        </is>
      </c>
      <c r="L94" s="188" t="inlineStr">
        <is>
          <t>VERIFICAR</t>
        </is>
      </c>
      <c r="M94" s="197" t="inlineStr">
        <is>
          <t>Sin Observaciones | Auditoría 08-oct-2026: La fila tenía datos de la UPN de Colombia (pedagogica.edu.co). Reemplazado por directorio oficial UPN México (Ajusco).</t>
        </is>
      </c>
    </row>
    <row r="95" ht="15.75" customHeight="1" s="182">
      <c r="A95" s="42" t="inlineStr">
        <is>
          <t>México</t>
        </is>
      </c>
      <c r="B95" s="56" t="inlineStr">
        <is>
          <t>Universidades públicas</t>
        </is>
      </c>
      <c r="C95" s="98" t="inlineStr">
        <is>
          <t>Universidad Pública Estatal</t>
        </is>
      </c>
      <c r="D95" s="98" t="inlineStr">
        <is>
          <t>Universidad Nacional Rosario Castellanos</t>
        </is>
      </c>
      <c r="E95" s="98" t="n"/>
      <c r="F95" s="98" t="inlineStr">
        <is>
          <t>Subdirección de Ingreso y Permanencia / Atención Estudiantil</t>
        </is>
      </c>
      <c r="G95" s="96" t="inlineStr">
        <is>
          <t>https://www.rcastellanos.cdmx.gob.mx/</t>
        </is>
      </c>
      <c r="H95" s="97" t="inlineStr">
        <is>
          <t xml:space="preserve">Subdirección de escolares a distancia </t>
        </is>
      </c>
      <c r="I95" s="103" t="inlineStr">
        <is>
          <t>=+52 55 5134 0770</t>
        </is>
      </c>
      <c r="J95" s="96" t="inlineStr">
        <is>
          <t>escolares.adistancia@rcastellanos.cdmx.gob.mx</t>
        </is>
      </c>
      <c r="K95" s="96" t="inlineStr">
        <is>
          <t>https://sites.google.com/rcastellanos.cdmx.gob.mx/deae/inicio</t>
        </is>
      </c>
      <c r="L95" s="35" t="inlineStr">
        <is>
          <t>VERIFICAR</t>
        </is>
      </c>
      <c r="M95" s="86" t="inlineStr">
        <is>
          <t>Correo de muchos que eran por territorio</t>
        </is>
      </c>
    </row>
    <row r="96" ht="15.75" customHeight="1" s="182">
      <c r="A96" s="42" t="inlineStr">
        <is>
          <t>México</t>
        </is>
      </c>
      <c r="B96" s="56" t="inlineStr">
        <is>
          <t>Universidades públicas</t>
        </is>
      </c>
      <c r="C96" s="98" t="inlineStr">
        <is>
          <t>Universidad Pública Autónoma</t>
        </is>
      </c>
      <c r="D96" s="98" t="inlineStr">
        <is>
          <t>Universidad Autónoma Agraria Antonio Narro</t>
        </is>
      </c>
      <c r="E96" s="98" t="n"/>
      <c r="F96" s="98" t="inlineStr">
        <is>
          <t>Departamento de Servicios Escolares / Bienestar Estudiantil</t>
        </is>
      </c>
      <c r="G96" s="96" t="inlineStr">
        <is>
          <t>https://www.uaaan.edu.mx/</t>
        </is>
      </c>
      <c r="H96" s="96" t="inlineStr">
        <is>
          <t>Atención de Servicios Estudiantiles</t>
        </is>
      </c>
      <c r="I96" s="103" t="inlineStr">
        <is>
          <t>=+52 844 411 0200</t>
        </is>
      </c>
      <c r="J96" s="96" t="n"/>
      <c r="K96" s="96" t="inlineStr">
        <is>
          <t>https://www.uaaan.edu.mx/</t>
        </is>
      </c>
      <c r="L96" s="35" t="inlineStr">
        <is>
          <t>VERIFICADO CON OBSERVACIONES</t>
        </is>
      </c>
      <c r="M96" s="86" t="inlineStr">
        <is>
          <t>sin correo</t>
        </is>
      </c>
    </row>
    <row r="97" ht="15.75" customHeight="1" s="182">
      <c r="A97" s="42" t="inlineStr">
        <is>
          <t>México</t>
        </is>
      </c>
      <c r="B97" s="56" t="inlineStr">
        <is>
          <t>Universidades públicas</t>
        </is>
      </c>
      <c r="C97" s="98" t="inlineStr">
        <is>
          <t>Universidad Tecnológica Pública</t>
        </is>
      </c>
      <c r="D97" s="98" t="inlineStr">
        <is>
          <t>Universidad Tecnológica de Coahuila</t>
        </is>
      </c>
      <c r="E97" s="98" t="n"/>
      <c r="F97" s="98" t="inlineStr">
        <is>
          <t>Departamento de Apoyo Psicológico y Servicios Estudiantiles</t>
        </is>
      </c>
      <c r="G97" s="96" t="inlineStr">
        <is>
          <t>https://utc.edu.mx/</t>
        </is>
      </c>
      <c r="H97" s="96" t="inlineStr">
        <is>
          <t xml:space="preserve">Lic. Mariano Nájera Hernández </t>
        </is>
      </c>
      <c r="I97" s="103" t="inlineStr">
        <is>
          <t>=+52 844 288 3800 ext. 316 / 3006</t>
        </is>
      </c>
      <c r="J97" s="96" t="n"/>
      <c r="K97" s="96" t="inlineStr">
        <is>
          <t>https://utc.edu.mx/index.php/servicios/</t>
        </is>
      </c>
      <c r="L97" s="22" t="inlineStr">
        <is>
          <t>CORREGIDO</t>
        </is>
      </c>
      <c r="M97" s="86" t="inlineStr">
        <is>
          <t>Sin Observaciones</t>
        </is>
      </c>
    </row>
    <row r="98" ht="15.75" customHeight="1" s="182">
      <c r="A98" s="42" t="inlineStr">
        <is>
          <t>México</t>
        </is>
      </c>
      <c r="B98" s="56" t="inlineStr">
        <is>
          <t>Universidades públicas</t>
        </is>
      </c>
      <c r="C98" s="98" t="inlineStr">
        <is>
          <t>Universidad Politécnica Pública</t>
        </is>
      </c>
      <c r="D98" s="98" t="inlineStr">
        <is>
          <t>Universidad Politécnica Gómez Palacio</t>
        </is>
      </c>
      <c r="E98" s="98" t="n"/>
      <c r="F98" s="98" t="inlineStr">
        <is>
          <t>Departamento de Servicios Estudiantiles</t>
        </is>
      </c>
      <c r="G98" s="96" t="inlineStr">
        <is>
          <t>https://www.unipolidegomez.edu.mx/</t>
        </is>
      </c>
      <c r="H98" s="96" t="n"/>
      <c r="I98" s="96" t="n"/>
      <c r="J98" s="96" t="n"/>
      <c r="K98" s="96" t="n"/>
      <c r="L98" s="35" t="inlineStr">
        <is>
          <t>VERIFICADO CON OBSERVACIONES</t>
        </is>
      </c>
      <c r="M98" s="86" t="inlineStr">
        <is>
          <t xml:space="preserve">Página caida </t>
        </is>
      </c>
    </row>
    <row r="99" ht="15.75" customHeight="1" s="182">
      <c r="A99" s="42" t="inlineStr">
        <is>
          <t>México</t>
        </is>
      </c>
      <c r="B99" s="56" t="inlineStr">
        <is>
          <t>Universidades públicas</t>
        </is>
      </c>
      <c r="C99" s="98" t="inlineStr">
        <is>
          <t>Universidad Pública Autónoma</t>
        </is>
      </c>
      <c r="D99" s="98" t="inlineStr">
        <is>
          <t>Universidad Autónoma Chapingo</t>
        </is>
      </c>
      <c r="E99" s="98" t="n"/>
      <c r="F99" s="98" t="inlineStr">
        <is>
          <t>Departamento de Admisión</t>
        </is>
      </c>
      <c r="G99" s="96" t="inlineStr">
        <is>
          <t>Promoción y Becas</t>
        </is>
      </c>
      <c r="H99" s="96" t="inlineStr">
        <is>
          <t>https://www.chapingo.mx/</t>
        </is>
      </c>
      <c r="I99" s="96" t="inlineStr">
        <is>
          <t>Jefatura de Admisión y Becas</t>
        </is>
      </c>
      <c r="J99" s="96" t="inlineStr">
        <is>
          <t>52 595 952 1500</t>
        </is>
      </c>
      <c r="K99" s="201" t="inlineStr">
        <is>
          <t>https://dapyb.jefatura@chapingo.mx</t>
        </is>
      </c>
      <c r="L99" s="51" t="inlineStr">
        <is>
          <t>CONFIRMADO</t>
        </is>
      </c>
      <c r="M99" s="86" t="n"/>
    </row>
    <row r="100" ht="15.75" customHeight="1" s="182">
      <c r="A100" s="42" t="inlineStr">
        <is>
          <t>México</t>
        </is>
      </c>
      <c r="B100" s="56" t="inlineStr">
        <is>
          <t>Universidades públicas</t>
        </is>
      </c>
      <c r="C100" s="98" t="inlineStr">
        <is>
          <t>Universidad Pública Estatal</t>
        </is>
      </c>
      <c r="D100" s="98" t="inlineStr">
        <is>
          <t>Universidad Estatal del Valle de Ecatepec</t>
        </is>
      </c>
      <c r="E100" s="98" t="n"/>
      <c r="F100" s="98" t="inlineStr">
        <is>
          <t>Departamento de Control Escolar y Apoyo Estudiantil</t>
        </is>
      </c>
      <c r="G100" s="96" t="inlineStr">
        <is>
          <t>https://mail.uneve.edu.mx/acercas_uneves/rectoria.php</t>
        </is>
      </c>
      <c r="H100" s="96" t="inlineStr">
        <is>
          <t>Atención a Estudiantes UNEVE</t>
        </is>
      </c>
      <c r="I100" s="103" t="inlineStr">
        <is>
          <t>=+52 55 5001 1400</t>
        </is>
      </c>
      <c r="J100" s="96" t="inlineStr">
        <is>
          <t>informatica@uneve.edu.mx</t>
        </is>
      </c>
      <c r="K100" s="96" t="inlineStr">
        <is>
          <t>https://mail.uneve.edu.mx/acercas_uneves/rectoria.php</t>
        </is>
      </c>
      <c r="L100" s="22" t="inlineStr">
        <is>
          <t>CORREGIDO</t>
        </is>
      </c>
      <c r="M100" s="86" t="n"/>
    </row>
    <row r="101" ht="15.75" customHeight="1" s="182">
      <c r="A101" s="42" t="inlineStr">
        <is>
          <t>México</t>
        </is>
      </c>
      <c r="B101" s="56" t="inlineStr">
        <is>
          <t>Universidades públicas</t>
        </is>
      </c>
      <c r="C101" s="98" t="inlineStr">
        <is>
          <t>Universidad Politécnica Pública</t>
        </is>
      </c>
      <c r="D101" s="98" t="inlineStr">
        <is>
          <t>Universidad Politécnica del Valle de México</t>
        </is>
      </c>
      <c r="E101" s="98" t="n"/>
      <c r="F101" s="98" t="inlineStr">
        <is>
          <t>Departamento de Servicios Estudiantiles y Becas</t>
        </is>
      </c>
      <c r="G101" s="96" t="inlineStr">
        <is>
          <t>https://upvm.edomex.gob.mx/</t>
        </is>
      </c>
      <c r="H101" s="96" t="n"/>
      <c r="I101" s="96" t="n"/>
      <c r="J101" s="96" t="n"/>
      <c r="K101" s="96" t="n"/>
      <c r="L101" s="35" t="inlineStr">
        <is>
          <t>VERIFICADO CON OBSERVACIONES</t>
        </is>
      </c>
      <c r="M101" s="86" t="inlineStr">
        <is>
          <t xml:space="preserve">Página caida </t>
        </is>
      </c>
    </row>
    <row r="102" ht="15.75" customHeight="1" s="182">
      <c r="A102" s="42" t="inlineStr">
        <is>
          <t>México</t>
        </is>
      </c>
      <c r="B102" s="56" t="inlineStr">
        <is>
          <t>Universidades públicas</t>
        </is>
      </c>
      <c r="C102" s="98" t="inlineStr">
        <is>
          <t>Universidad Tecnológica Pública</t>
        </is>
      </c>
      <c r="D102" s="98" t="inlineStr">
        <is>
          <t>Universidad Tecnológica de Nezahualcóyotl</t>
        </is>
      </c>
      <c r="E102" s="98" t="n"/>
      <c r="F102" s="98" t="inlineStr">
        <is>
          <t>Departamento de Servicios Estudiantiles</t>
        </is>
      </c>
      <c r="G102" s="96" t="inlineStr">
        <is>
          <t>https://www.utn.edu.mx/</t>
        </is>
      </c>
      <c r="H102" s="96" t="n"/>
      <c r="I102" s="96" t="n"/>
      <c r="J102" s="96" t="n"/>
      <c r="K102" s="96" t="n"/>
      <c r="L102" s="35" t="inlineStr">
        <is>
          <t>VERIFICADO CON OBSERVACIONES</t>
        </is>
      </c>
      <c r="M102" s="86" t="inlineStr">
        <is>
          <t xml:space="preserve">Página caida </t>
        </is>
      </c>
    </row>
    <row r="103" ht="15.75" customHeight="1" s="182">
      <c r="A103" s="42" t="inlineStr">
        <is>
          <t>México</t>
        </is>
      </c>
      <c r="B103" s="56" t="inlineStr">
        <is>
          <t>Universidades públicas</t>
        </is>
      </c>
      <c r="C103" s="98" t="inlineStr">
        <is>
          <t>Universidad Tecnológica Pública</t>
        </is>
      </c>
      <c r="D103" s="98" t="inlineStr">
        <is>
          <t>Universidad Tecnológica de Tecámac</t>
        </is>
      </c>
      <c r="E103" s="98" t="n"/>
      <c r="F103" s="98" t="inlineStr">
        <is>
          <t>Departamento de Servicios Estudiantiles y Actividades Extracurriculares</t>
        </is>
      </c>
      <c r="G103" s="109" t="inlineStr">
        <is>
          <t>https://uttecamac.edomex.gob.mx/</t>
        </is>
      </c>
      <c r="H103" s="96" t="n"/>
      <c r="I103" s="96" t="n"/>
      <c r="J103" s="96" t="n"/>
      <c r="K103" s="109" t="n"/>
      <c r="L103" s="35" t="inlineStr">
        <is>
          <t>VERIFICADO CON OBSERVACIONES</t>
        </is>
      </c>
      <c r="M103" s="86" t="inlineStr">
        <is>
          <t xml:space="preserve">Página caida </t>
        </is>
      </c>
    </row>
    <row r="104" ht="15.75" customHeight="1" s="182">
      <c r="A104" s="42" t="inlineStr">
        <is>
          <t>México</t>
        </is>
      </c>
      <c r="B104" s="56" t="inlineStr">
        <is>
          <t>Universidades públicas</t>
        </is>
      </c>
      <c r="C104" s="98" t="inlineStr">
        <is>
          <t>Universidad Tecnológica Pública</t>
        </is>
      </c>
      <c r="D104" s="98" t="inlineStr">
        <is>
          <t>Universidad Tecnológica del Valle de Toluca</t>
        </is>
      </c>
      <c r="E104" s="98" t="n"/>
      <c r="F104" s="98" t="inlineStr">
        <is>
          <t>Departamento de Servicios Estudiantiles</t>
        </is>
      </c>
      <c r="G104" s="109" t="inlineStr">
        <is>
          <t>https://utvt.edomex.gob.mx/</t>
        </is>
      </c>
      <c r="H104" s="96" t="inlineStr">
        <is>
          <t>Atención UTVT</t>
        </is>
      </c>
      <c r="I104" s="103" t="inlineStr">
        <is>
          <t>=+52 728 285 9552</t>
        </is>
      </c>
      <c r="J104" s="96" t="n"/>
      <c r="K104" s="96" t="inlineStr">
        <is>
          <t>https://utvt.edomex.gob.mx/</t>
        </is>
      </c>
      <c r="L104" s="51" t="inlineStr">
        <is>
          <t>CONFIRMADO</t>
        </is>
      </c>
      <c r="M104" s="86" t="n"/>
    </row>
    <row r="105" ht="15.75" customHeight="1" s="182">
      <c r="A105" s="42" t="inlineStr">
        <is>
          <t>México</t>
        </is>
      </c>
      <c r="B105" s="56" t="inlineStr">
        <is>
          <t>Universidades públicas</t>
        </is>
      </c>
      <c r="C105" s="98" t="inlineStr">
        <is>
          <t>Universidad Tecnológica Pública</t>
        </is>
      </c>
      <c r="D105" s="98" t="inlineStr">
        <is>
          <t>Universidad Tecnológica Fidel Velázquez</t>
        </is>
      </c>
      <c r="E105" s="98" t="n"/>
      <c r="F105" s="98" t="inlineStr">
        <is>
          <t>Departamento de Servicios Estudiantiles</t>
        </is>
      </c>
      <c r="G105" s="96" t="inlineStr">
        <is>
          <t>https://utfv.edomex.gob.mx/</t>
        </is>
      </c>
      <c r="H105" s="96" t="inlineStr">
        <is>
          <t>Atención UTFV</t>
        </is>
      </c>
      <c r="I105" s="103" t="inlineStr">
        <is>
          <t>=+52 55 5824 0643</t>
        </is>
      </c>
      <c r="J105" s="96" t="inlineStr">
        <is>
          <t>contacto@utfv.edu.mx</t>
        </is>
      </c>
      <c r="K105" s="96" t="inlineStr">
        <is>
          <t>https://utfv.edomex.gob.mx/</t>
        </is>
      </c>
      <c r="L105" s="22" t="inlineStr">
        <is>
          <t>CORREGIDO</t>
        </is>
      </c>
      <c r="M105" s="86" t="n"/>
    </row>
    <row r="106" ht="15.75" customHeight="1" s="182">
      <c r="A106" s="42" t="inlineStr">
        <is>
          <t>México</t>
        </is>
      </c>
      <c r="B106" s="56" t="inlineStr">
        <is>
          <t>Universidades públicas</t>
        </is>
      </c>
      <c r="C106" s="98" t="inlineStr">
        <is>
          <t>Universidad Politécnica Pública</t>
        </is>
      </c>
      <c r="D106" s="98" t="inlineStr">
        <is>
          <t>Universidad Politécnica de Atlautla</t>
        </is>
      </c>
      <c r="E106" s="98" t="n"/>
      <c r="F106" s="98" t="inlineStr">
        <is>
          <t>Departamento de Atención a Estudiantes</t>
        </is>
      </c>
      <c r="G106" s="96" t="inlineStr">
        <is>
          <t>https://upatlautla.edomex.gob.mx/</t>
        </is>
      </c>
      <c r="H106" s="96" t="inlineStr">
        <is>
          <t>Atención UPA</t>
        </is>
      </c>
      <c r="I106" s="103" t="inlineStr">
        <is>
          <t>=+52 597 976 1238</t>
        </is>
      </c>
      <c r="J106" s="96" t="inlineStr">
        <is>
          <t>contacto.upa@edomex.gob.mx</t>
        </is>
      </c>
      <c r="K106" s="96" t="inlineStr">
        <is>
          <t>https://upatlautla.edomex.gob.mx/</t>
        </is>
      </c>
      <c r="L106" s="35" t="inlineStr">
        <is>
          <t>VERIFICAR</t>
        </is>
      </c>
      <c r="M106" s="86" t="n"/>
    </row>
    <row r="107" ht="15.75" customHeight="1" s="182">
      <c r="A107" s="42" t="inlineStr">
        <is>
          <t>México</t>
        </is>
      </c>
      <c r="B107" s="56" t="inlineStr">
        <is>
          <t>Universidades públicas</t>
        </is>
      </c>
      <c r="C107" s="98" t="inlineStr">
        <is>
          <t>Universidad Politécnica Pública</t>
        </is>
      </c>
      <c r="D107" s="98" t="inlineStr">
        <is>
          <t>Universidad Politécnica del Valle de Toluca</t>
        </is>
      </c>
      <c r="E107" s="98" t="n"/>
      <c r="F107" s="98" t="inlineStr">
        <is>
          <t>Departamento de Servicios Estudiantiles</t>
        </is>
      </c>
      <c r="G107" s="96" t="inlineStr">
        <is>
          <t>https://upvt.edomex.gob.mx/</t>
        </is>
      </c>
      <c r="H107" s="96" t="n"/>
      <c r="I107" s="96" t="n"/>
      <c r="J107" s="96" t="n"/>
      <c r="K107" s="96" t="n"/>
      <c r="L107" s="35" t="inlineStr">
        <is>
          <t>VERIFICADO CON OBSERVACIONES</t>
        </is>
      </c>
      <c r="M107" s="86" t="inlineStr">
        <is>
          <t xml:space="preserve">Página caida </t>
        </is>
      </c>
    </row>
    <row r="108" ht="15.75" customHeight="1" s="182">
      <c r="A108" s="42" t="inlineStr">
        <is>
          <t>México</t>
        </is>
      </c>
      <c r="B108" s="56" t="inlineStr">
        <is>
          <t>Universidades públicas</t>
        </is>
      </c>
      <c r="C108" s="98" t="inlineStr">
        <is>
          <t>Universidad Pública Estatal</t>
        </is>
      </c>
      <c r="D108" s="98" t="inlineStr">
        <is>
          <t>Universidad Estatal del Valle de Toluca</t>
        </is>
      </c>
      <c r="E108" s="98" t="n"/>
      <c r="F108" s="98" t="inlineStr">
        <is>
          <t>Departamento de Servicios Estudiantiles</t>
        </is>
      </c>
      <c r="G108" s="96" t="inlineStr">
        <is>
          <t>https://uevt.edomex.gob.mx/</t>
        </is>
      </c>
      <c r="H108" s="96" t="n"/>
      <c r="I108" s="96" t="n"/>
      <c r="J108" s="96" t="n"/>
      <c r="K108" s="96" t="n"/>
      <c r="L108" s="35" t="inlineStr">
        <is>
          <t>VERIFICADO CON OBSERVACIONES</t>
        </is>
      </c>
      <c r="M108" s="86" t="inlineStr">
        <is>
          <t xml:space="preserve">Página caida </t>
        </is>
      </c>
    </row>
    <row r="109" ht="15.75" customHeight="1" s="182">
      <c r="A109" s="42" t="inlineStr">
        <is>
          <t>México</t>
        </is>
      </c>
      <c r="B109" s="56" t="inlineStr">
        <is>
          <t>Universidades públicas</t>
        </is>
      </c>
      <c r="C109" s="98" t="inlineStr">
        <is>
          <t>Universidad Tecnológica Pública</t>
        </is>
      </c>
      <c r="D109" s="98" t="inlineStr">
        <is>
          <t>Universidad Tecnológica de León</t>
        </is>
      </c>
      <c r="E109" s="98" t="n"/>
      <c r="F109" s="98" t="inlineStr">
        <is>
          <t>Departamento de Servicios Estudiantiles / Desarrollo Estudiantil</t>
        </is>
      </c>
      <c r="G109" s="96" t="inlineStr">
        <is>
          <t>https://www.utleon.edu.mx/</t>
        </is>
      </c>
      <c r="H109" s="96" t="n"/>
      <c r="I109" s="96" t="n"/>
      <c r="J109" s="96" t="n"/>
      <c r="K109" s="96" t="n"/>
      <c r="L109" s="35" t="inlineStr">
        <is>
          <t>VERIFICADO CON OBSERVACIONES</t>
        </is>
      </c>
      <c r="M109" s="86" t="inlineStr">
        <is>
          <t xml:space="preserve">Página caida </t>
        </is>
      </c>
    </row>
    <row r="110" ht="15.75" customHeight="1" s="182">
      <c r="A110" s="42" t="inlineStr">
        <is>
          <t>México</t>
        </is>
      </c>
      <c r="B110" s="56" t="inlineStr">
        <is>
          <t>Universidades públicas</t>
        </is>
      </c>
      <c r="C110" s="98" t="inlineStr">
        <is>
          <t>Universidad Tecnológica Pública</t>
        </is>
      </c>
      <c r="D110" s="98" t="inlineStr">
        <is>
          <t>Universidad Tecnológica del Suroeste de Guanajuato</t>
        </is>
      </c>
      <c r="E110" s="98" t="n"/>
      <c r="F110" s="199" t="inlineStr">
        <is>
          <t>Dirección Académica / Rectoría</t>
        </is>
      </c>
      <c r="G110" s="201" t="inlineStr">
        <is>
          <t>http://www.utsoe.edu.mx/</t>
        </is>
      </c>
      <c r="H110" s="96" t="inlineStr">
        <is>
          <t xml:space="preserve">Asuntos academicos: Dr Hector Cuevas </t>
        </is>
      </c>
      <c r="I110" s="202" t="inlineStr">
        <is>
          <t>+52 456 643 7180 ext. 155</t>
        </is>
      </c>
      <c r="J110" s="201" t="inlineStr">
        <is>
          <t>hcuevas@utsoe.edu.mx / rectoria@utsoe.edu.mx</t>
        </is>
      </c>
      <c r="K110" s="201" t="inlineStr">
        <is>
          <t>http://www.utsoe.edu.mx/directorio.html</t>
        </is>
      </c>
      <c r="L110" s="188" t="inlineStr">
        <is>
          <t>VERIFICAR</t>
        </is>
      </c>
      <c r="M110" s="197" t="inlineStr">
        <is>
          <t>Auditoría 08-oct-2026: Web corregida (utsoes→utsoe) y email sin punto final; directorio sin fecha.</t>
        </is>
      </c>
    </row>
    <row r="111" ht="15.75" customHeight="1" s="182">
      <c r="A111" s="42" t="inlineStr">
        <is>
          <t>México</t>
        </is>
      </c>
      <c r="B111" s="56" t="inlineStr">
        <is>
          <t>Universidades públicas</t>
        </is>
      </c>
      <c r="C111" s="98" t="inlineStr">
        <is>
          <t>Universidad Pública Estatal</t>
        </is>
      </c>
      <c r="D111" s="98" t="inlineStr">
        <is>
          <t>Universidad Virtual del Estado de Guanajuato</t>
        </is>
      </c>
      <c r="E111" s="98" t="n"/>
      <c r="F111" s="98" t="inlineStr">
        <is>
          <t>Mesa de Ayuda / Atención Ciudadana</t>
        </is>
      </c>
      <c r="G111" s="96" t="inlineStr">
        <is>
          <t>https://uveg.edu.mx/</t>
        </is>
      </c>
      <c r="H111" s="96" t="inlineStr">
        <is>
          <t>Dirección Académica</t>
        </is>
      </c>
      <c r="I111" s="103" t="inlineStr">
        <is>
          <t>=+52 462 800 4000 ext. 1030</t>
        </is>
      </c>
      <c r="J111" s="96" t="inlineStr">
        <is>
          <t>frvillarreal@uveg.edu.mx</t>
        </is>
      </c>
      <c r="K111" s="96" t="inlineStr">
        <is>
          <t>https://uveg.edu.mx/tramites-y-servicios/inscripcion-a-programas-virtuales</t>
        </is>
      </c>
      <c r="L111" s="22" t="inlineStr">
        <is>
          <t>CORREGIDO</t>
        </is>
      </c>
      <c r="M111" s="86" t="n"/>
    </row>
    <row r="112" ht="15.75" customHeight="1" s="182">
      <c r="A112" s="42" t="inlineStr">
        <is>
          <t>México</t>
        </is>
      </c>
      <c r="B112" s="56" t="inlineStr">
        <is>
          <t>Universidades públicas</t>
        </is>
      </c>
      <c r="C112" s="98" t="inlineStr">
        <is>
          <t>Universidad Politécnica Pública</t>
        </is>
      </c>
      <c r="D112" s="98" t="inlineStr">
        <is>
          <t>Universidad Politécnica de Juventino Rosas</t>
        </is>
      </c>
      <c r="E112" s="98" t="n"/>
      <c r="F112" s="98" t="inlineStr">
        <is>
          <t>Servicios Estudiantiles</t>
        </is>
      </c>
      <c r="G112" s="96" t="inlineStr">
        <is>
          <t>https://www.upjr.edu.mx/</t>
        </is>
      </c>
      <c r="H112" s="96" t="inlineStr">
        <is>
          <t xml:space="preserve">Vinculación </t>
        </is>
      </c>
      <c r="I112" s="96" t="inlineStr">
        <is>
          <t xml:space="preserve"> 412 157 8000</t>
        </is>
      </c>
      <c r="J112" s="96" t="inlineStr">
        <is>
          <t>vinculacion@upjr.edu.mx</t>
        </is>
      </c>
      <c r="K112" s="96" t="inlineStr">
        <is>
          <t>https://www.upjr.edu.mx/</t>
        </is>
      </c>
      <c r="L112" s="22" t="inlineStr">
        <is>
          <t>CORREGIDO</t>
        </is>
      </c>
      <c r="M112" s="86" t="n"/>
    </row>
    <row r="113" ht="15.75" customHeight="1" s="182">
      <c r="A113" s="42" t="inlineStr">
        <is>
          <t>México</t>
        </is>
      </c>
      <c r="B113" s="56" t="inlineStr">
        <is>
          <t>Universidades públicas</t>
        </is>
      </c>
      <c r="C113" s="98" t="inlineStr">
        <is>
          <t>Universidad Politécnica Pública</t>
        </is>
      </c>
      <c r="D113" s="98" t="inlineStr">
        <is>
          <t>Universidad Politécnica de Tulancingo</t>
        </is>
      </c>
      <c r="E113" s="98" t="n"/>
      <c r="F113" s="98" t="inlineStr">
        <is>
          <t>Departamento de Servicios Estudiantiles</t>
        </is>
      </c>
      <c r="G113" s="96" t="inlineStr">
        <is>
          <t>https://www.upt.edu.mx/</t>
        </is>
      </c>
      <c r="H113" s="96" t="inlineStr">
        <is>
          <t>Dirección Académica</t>
        </is>
      </c>
      <c r="I113" s="96" t="inlineStr">
        <is>
          <t xml:space="preserve"> (01 775) 75 5 82 02</t>
        </is>
      </c>
      <c r="J113" s="96" t="inlineStr">
        <is>
          <t>antonio.sanchez@upt.edu.mx</t>
        </is>
      </c>
      <c r="K113" s="96" t="inlineStr">
        <is>
          <t>https://www.upt.edu.mx/</t>
        </is>
      </c>
      <c r="L113" s="22" t="inlineStr">
        <is>
          <t>CORREGIDO</t>
        </is>
      </c>
      <c r="M113" s="86" t="n"/>
    </row>
    <row r="114" ht="15.75" customHeight="1" s="182">
      <c r="A114" s="42" t="inlineStr">
        <is>
          <t>México</t>
        </is>
      </c>
      <c r="B114" s="56" t="inlineStr">
        <is>
          <t>Universidades públicas</t>
        </is>
      </c>
      <c r="C114" s="98" t="inlineStr">
        <is>
          <t>Universidad Politécnica Pública</t>
        </is>
      </c>
      <c r="D114" s="98" t="inlineStr">
        <is>
          <t>Universidad Politécnica Metropolitana de Hidalgo</t>
        </is>
      </c>
      <c r="E114" s="98" t="n"/>
      <c r="F114" s="98" t="inlineStr">
        <is>
          <t>Departamento de Servicios Estudiantiles</t>
        </is>
      </c>
      <c r="G114" s="96" t="inlineStr">
        <is>
          <t>https://www.upmh.edu.mx/</t>
        </is>
      </c>
      <c r="H114" s="96" t="inlineStr">
        <is>
          <t>Rectoría</t>
        </is>
      </c>
      <c r="I114" s="103" t="inlineStr">
        <is>
          <t>=+52 771 717 0500</t>
        </is>
      </c>
      <c r="J114" s="96" t="inlineStr">
        <is>
          <t>rectoria@upmh.edu.mx</t>
        </is>
      </c>
      <c r="K114" s="96" t="inlineStr">
        <is>
          <t>https://www.upmh.edu.mx/</t>
        </is>
      </c>
      <c r="L114" s="22" t="inlineStr">
        <is>
          <t>CORREGIDO</t>
        </is>
      </c>
      <c r="M114" s="86" t="n"/>
    </row>
    <row r="115" ht="15.75" customHeight="1" s="182">
      <c r="A115" s="42" t="inlineStr">
        <is>
          <t>México</t>
        </is>
      </c>
      <c r="B115" s="56" t="inlineStr">
        <is>
          <t>Universidades públicas</t>
        </is>
      </c>
      <c r="C115" s="98" t="inlineStr">
        <is>
          <t>Universidad Tecnológica Pública</t>
        </is>
      </c>
      <c r="D115" s="98" t="inlineStr">
        <is>
          <t>Universidad Tecnológica de Tula-Tepeji</t>
        </is>
      </c>
      <c r="E115" s="98" t="n"/>
      <c r="F115" s="199" t="inlineStr">
        <is>
          <t>Secretaría Académica</t>
        </is>
      </c>
      <c r="G115" s="96" t="inlineStr">
        <is>
          <t>https://www.uttt.edu.mx/</t>
        </is>
      </c>
      <c r="H115" s="201" t="inlineStr">
        <is>
          <t>Mtra. Margarita Núñez Zamudio (Secretaria Académica)</t>
        </is>
      </c>
      <c r="I115" s="202" t="inlineStr">
        <is>
          <t>+52 773 732 9100 ext. 110-111</t>
        </is>
      </c>
      <c r="J115" s="201" t="inlineStr">
        <is>
          <t>academica@uttt.edu.mx</t>
        </is>
      </c>
      <c r="K115" s="201" t="inlineStr">
        <is>
          <t>https://www.uttt.edu.mx/Directorio/Directorio.pdf</t>
        </is>
      </c>
      <c r="L115" s="22" t="inlineStr">
        <is>
          <t>CORREGIDO</t>
        </is>
      </c>
      <c r="M115" s="197" t="inlineStr">
        <is>
          <t>Auditoría 08-oct-2026: Dominio de email corregido utt→uttt.</t>
        </is>
      </c>
    </row>
    <row r="116" ht="15.75" customHeight="1" s="182">
      <c r="A116" s="42" t="inlineStr">
        <is>
          <t>México</t>
        </is>
      </c>
      <c r="B116" s="56" t="inlineStr">
        <is>
          <t>Universidades públicas</t>
        </is>
      </c>
      <c r="C116" s="98" t="inlineStr">
        <is>
          <t>Universidad Tecnológica Pública</t>
        </is>
      </c>
      <c r="D116" s="98" t="inlineStr">
        <is>
          <t>Universidad Tecnológica de Jalisco</t>
        </is>
      </c>
      <c r="E116" s="98" t="n"/>
      <c r="F116" s="98" t="inlineStr">
        <is>
          <t>Departamento de Servicios Estudiantiles</t>
        </is>
      </c>
      <c r="G116" s="96" t="inlineStr">
        <is>
          <t>https://www.utj.edu.mx/</t>
        </is>
      </c>
      <c r="H116" s="96" t="inlineStr">
        <is>
          <t>Sec Académica:Dra. Ana Eugenia Romo González</t>
        </is>
      </c>
      <c r="I116" s="96" t="inlineStr">
        <is>
          <t xml:space="preserve"> 52 (33) 3030-0900, 01, 02, 03</t>
        </is>
      </c>
      <c r="J116" s="96" t="inlineStr">
        <is>
          <t>secretaria.academica@utj.edu.mx</t>
        </is>
      </c>
      <c r="K116" s="96" t="inlineStr">
        <is>
          <t>https://www.utj.edu.mx/</t>
        </is>
      </c>
      <c r="L116" s="22" t="inlineStr">
        <is>
          <t>CORREGIDO</t>
        </is>
      </c>
      <c r="M116" s="86" t="n"/>
    </row>
    <row r="117" ht="15.75" customHeight="1" s="182">
      <c r="A117" s="42" t="inlineStr">
        <is>
          <t>México</t>
        </is>
      </c>
      <c r="B117" s="56" t="inlineStr">
        <is>
          <t>Universidades públicas</t>
        </is>
      </c>
      <c r="C117" s="98" t="inlineStr">
        <is>
          <t>Universidad Tecnológica Pública</t>
        </is>
      </c>
      <c r="D117" s="98" t="inlineStr">
        <is>
          <t>Universidad Tecnológica Emiliano Zapata del Estado de Morelos</t>
        </is>
      </c>
      <c r="E117" s="98" t="n"/>
      <c r="F117" s="98" t="inlineStr">
        <is>
          <t>Departamento de Servicios Estudiantiles</t>
        </is>
      </c>
      <c r="G117" s="96" t="inlineStr">
        <is>
          <t>https://www.utez.edu.mx/</t>
        </is>
      </c>
      <c r="H117" s="96" t="inlineStr">
        <is>
          <t xml:space="preserve">Sec Académica:Mtro. Angel Estrada Arteaga
</t>
        </is>
      </c>
      <c r="I117" s="103" t="inlineStr">
        <is>
          <t>=+52 777 368 1165</t>
        </is>
      </c>
      <c r="J117" s="96" t="inlineStr">
        <is>
          <t>angelestrada@utez.edu.mx</t>
        </is>
      </c>
      <c r="K117" s="96" t="inlineStr">
        <is>
          <t>https://www.utez.edu.mx/</t>
        </is>
      </c>
      <c r="L117" s="22" t="inlineStr">
        <is>
          <t>CORREGIDO</t>
        </is>
      </c>
      <c r="M117" s="86" t="n"/>
    </row>
    <row r="118" ht="15.75" customHeight="1" s="182">
      <c r="A118" s="42" t="inlineStr">
        <is>
          <t>México</t>
        </is>
      </c>
      <c r="B118" s="56" t="inlineStr">
        <is>
          <t>Universidades públicas</t>
        </is>
      </c>
      <c r="C118" s="98" t="inlineStr">
        <is>
          <t>Universidad Tecnológica Pública</t>
        </is>
      </c>
      <c r="D118" s="98" t="inlineStr">
        <is>
          <t>Universidad Tecnológica de Nayarit</t>
        </is>
      </c>
      <c r="E118" s="98" t="n"/>
      <c r="F118" s="98" t="inlineStr">
        <is>
          <t>Servicios Estudiantiles</t>
        </is>
      </c>
      <c r="G118" s="96" t="inlineStr">
        <is>
          <t>https://www.utnay.edu.mx/</t>
        </is>
      </c>
      <c r="H118" s="96" t="n"/>
      <c r="I118" s="103" t="inlineStr">
        <is>
          <t>=+52 311 211 9800</t>
        </is>
      </c>
      <c r="J118" s="96" t="n"/>
      <c r="K118" s="96" t="inlineStr">
        <is>
          <t>https://www.utnay.edu.mx/</t>
        </is>
      </c>
      <c r="L118" s="22" t="inlineStr">
        <is>
          <t>CORREGIDO</t>
        </is>
      </c>
      <c r="M118" s="86" t="n"/>
    </row>
    <row r="119" ht="15.75" customHeight="1" s="182">
      <c r="A119" s="42" t="inlineStr">
        <is>
          <t>México</t>
        </is>
      </c>
      <c r="B119" s="56" t="inlineStr">
        <is>
          <t>Universidades públicas</t>
        </is>
      </c>
      <c r="C119" s="98" t="inlineStr">
        <is>
          <t>Universidad Pública Estatal</t>
        </is>
      </c>
      <c r="D119" s="98" t="inlineStr">
        <is>
          <t>Universidad de la Sierra Juárez</t>
        </is>
      </c>
      <c r="E119" s="98" t="n"/>
      <c r="F119" s="98" t="inlineStr">
        <is>
          <t>Servicios Escolares y Bienestar Estudiantil</t>
        </is>
      </c>
      <c r="G119" s="96" t="inlineStr">
        <is>
          <t>https://www.unsij.edu.mx/</t>
        </is>
      </c>
      <c r="H119" s="96" t="inlineStr">
        <is>
          <t>Atención UNSIJ</t>
        </is>
      </c>
      <c r="I119" s="103" t="inlineStr">
        <is>
          <t>=+52 951 553 6362 ext. 600</t>
        </is>
      </c>
      <c r="J119" s="96" t="inlineStr">
        <is>
          <t>investigacion@unsij.edu.mx</t>
        </is>
      </c>
      <c r="K119" s="96" t="inlineStr">
        <is>
          <t>https://www.unsij.edu.mx/</t>
        </is>
      </c>
      <c r="L119" s="35" t="inlineStr">
        <is>
          <t>VERIFICADO CON OBSERVACIONES</t>
        </is>
      </c>
      <c r="M119" s="86" t="inlineStr">
        <is>
          <t xml:space="preserve">correo no es el adecuado </t>
        </is>
      </c>
    </row>
    <row r="120" ht="15.75" customHeight="1" s="182">
      <c r="A120" s="42" t="inlineStr">
        <is>
          <t>México</t>
        </is>
      </c>
      <c r="B120" s="56" t="inlineStr">
        <is>
          <t>Universidades públicas</t>
        </is>
      </c>
      <c r="C120" s="98" t="inlineStr">
        <is>
          <t>Universidad Pública Estatal</t>
        </is>
      </c>
      <c r="D120" s="98" t="inlineStr">
        <is>
          <t>Universidad de la Sierra Sur</t>
        </is>
      </c>
      <c r="E120" s="98" t="n"/>
      <c r="F120" s="98" t="inlineStr">
        <is>
          <t>Servicios Escolares y Atención a Alumnos</t>
        </is>
      </c>
      <c r="G120" s="96" t="inlineStr">
        <is>
          <t>https://www.unsis.edu.mx/</t>
        </is>
      </c>
      <c r="H120" s="96" t="inlineStr">
        <is>
          <t>Dirección administrativa</t>
        </is>
      </c>
      <c r="I120" s="103" t="inlineStr">
        <is>
          <t>=+52 957 572 0500</t>
        </is>
      </c>
      <c r="J120" s="96" t="inlineStr">
        <is>
          <t>dir_admin@unsis.edu.mx</t>
        </is>
      </c>
      <c r="K120" s="96" t="inlineStr">
        <is>
          <t>https://www.unsis.edu.mx/</t>
        </is>
      </c>
      <c r="L120" s="22" t="inlineStr">
        <is>
          <t>CORREGIDO</t>
        </is>
      </c>
      <c r="M120" s="86" t="n"/>
    </row>
    <row r="121" ht="15.75" customHeight="1" s="182">
      <c r="A121" s="42" t="inlineStr">
        <is>
          <t>México</t>
        </is>
      </c>
      <c r="B121" s="56" t="inlineStr">
        <is>
          <t>Universidades públicas</t>
        </is>
      </c>
      <c r="C121" s="98" t="inlineStr">
        <is>
          <t>Universidad Tecnológica Pública</t>
        </is>
      </c>
      <c r="D121" s="98" t="inlineStr">
        <is>
          <t>Universidad Tecnológica de la Mixteca</t>
        </is>
      </c>
      <c r="E121" s="98" t="n"/>
      <c r="F121" s="98" t="inlineStr">
        <is>
          <t>Servicios Escolares y Bienestar</t>
        </is>
      </c>
      <c r="G121" s="96" t="inlineStr">
        <is>
          <t>https://www.utm.mx/</t>
        </is>
      </c>
      <c r="H121" s="96" t="inlineStr">
        <is>
          <t xml:space="preserve">Departamento de extensión </t>
        </is>
      </c>
      <c r="I121" s="103" t="inlineStr">
        <is>
          <t>=+52 953 532 0399</t>
        </is>
      </c>
      <c r="J121" s="201" t="inlineStr">
        <is>
          <t>jesusleon@mixteco.utm.mx</t>
        </is>
      </c>
      <c r="K121" s="96" t="inlineStr">
        <is>
          <t>https://www.utm.mx/</t>
        </is>
      </c>
      <c r="L121" s="22" t="inlineStr">
        <is>
          <t>CORREGIDO</t>
        </is>
      </c>
      <c r="M121" s="86" t="n"/>
    </row>
    <row r="122" ht="15.75" customHeight="1" s="182">
      <c r="A122" s="42" t="inlineStr">
        <is>
          <t>México</t>
        </is>
      </c>
      <c r="B122" s="56" t="inlineStr">
        <is>
          <t>Universidades públicas</t>
        </is>
      </c>
      <c r="C122" s="98" t="inlineStr">
        <is>
          <t>Universidad Pública Estatal</t>
        </is>
      </c>
      <c r="D122" s="98" t="inlineStr">
        <is>
          <t>Universidad del Istmo</t>
        </is>
      </c>
      <c r="E122" s="98" t="n"/>
      <c r="F122" s="98" t="inlineStr">
        <is>
          <t>Servicios Escolares</t>
        </is>
      </c>
      <c r="G122" s="96" t="inlineStr">
        <is>
          <t>https://www.unistmo.edu.mx/</t>
        </is>
      </c>
      <c r="H122" s="96" t="inlineStr">
        <is>
          <t>Campus Ixtepec</t>
        </is>
      </c>
      <c r="I122" s="103" t="inlineStr">
        <is>
          <t>=+52 971 712 0451</t>
        </is>
      </c>
      <c r="J122" s="96" t="inlineStr">
        <is>
          <t>serv_escolares_ixt@unistmo.edu.mx</t>
        </is>
      </c>
      <c r="K122" s="96" t="inlineStr">
        <is>
          <t>https://www.unistmo.edu.mx/</t>
        </is>
      </c>
      <c r="L122" s="22" t="inlineStr">
        <is>
          <t>CORREGIDO</t>
        </is>
      </c>
      <c r="M122" s="86" t="inlineStr">
        <is>
          <t>Hay mas campus en el link</t>
        </is>
      </c>
    </row>
    <row r="123" ht="15.75" customHeight="1" s="182">
      <c r="A123" s="42" t="inlineStr">
        <is>
          <t>México</t>
        </is>
      </c>
      <c r="B123" s="56" t="inlineStr">
        <is>
          <t>Universidades públicas</t>
        </is>
      </c>
      <c r="C123" s="98" t="inlineStr">
        <is>
          <t>Universidad Pública Estatal</t>
        </is>
      </c>
      <c r="D123" s="98" t="inlineStr">
        <is>
          <t>Universidad del Papaloapan</t>
        </is>
      </c>
      <c r="E123" s="98" t="n"/>
      <c r="F123" s="98" t="inlineStr">
        <is>
          <t>Servicios Escolares</t>
        </is>
      </c>
      <c r="G123" s="96" t="inlineStr">
        <is>
          <t>https://www.unpa.edu.mx/</t>
        </is>
      </c>
      <c r="H123" s="96" t="inlineStr">
        <is>
          <t xml:space="preserve">M.E. Yesenia Barrientos
</t>
        </is>
      </c>
      <c r="I123" s="103" t="inlineStr">
        <is>
          <t>=+52 287 875 9240</t>
        </is>
      </c>
      <c r="J123" s="96" t="inlineStr">
        <is>
          <t>servescolares@unpa.edu.mx</t>
        </is>
      </c>
      <c r="K123" s="96" t="inlineStr">
        <is>
          <t>https://www.unpa.edu.mx/</t>
        </is>
      </c>
      <c r="L123" s="22" t="inlineStr">
        <is>
          <t>CORREGIDO</t>
        </is>
      </c>
      <c r="M123" s="86" t="n"/>
    </row>
    <row r="124" ht="15.75" customHeight="1" s="182">
      <c r="A124" s="42" t="inlineStr">
        <is>
          <t>México</t>
        </is>
      </c>
      <c r="B124" s="56" t="inlineStr">
        <is>
          <t>Universidades públicas</t>
        </is>
      </c>
      <c r="C124" s="98" t="inlineStr">
        <is>
          <t>Universidad Pública Estatal</t>
        </is>
      </c>
      <c r="D124" s="98" t="inlineStr">
        <is>
          <t>Universidad del Mar</t>
        </is>
      </c>
      <c r="E124" s="98" t="n"/>
      <c r="F124" s="98" t="inlineStr">
        <is>
          <t>Servicios Escolares</t>
        </is>
      </c>
      <c r="G124" s="96" t="inlineStr">
        <is>
          <t>https://www.umar.mx/</t>
        </is>
      </c>
      <c r="H124" s="96" t="inlineStr">
        <is>
          <t>Dirección administrativa</t>
        </is>
      </c>
      <c r="I124" s="103" t="inlineStr">
        <is>
          <t>=+52 958 584 3057</t>
        </is>
      </c>
      <c r="J124" s="96" t="inlineStr">
        <is>
          <t>vice_admin@aulavirtual.umar.mx</t>
        </is>
      </c>
      <c r="K124" s="96" t="inlineStr">
        <is>
          <t>https://www.umar.mx/</t>
        </is>
      </c>
      <c r="L124" s="22" t="inlineStr">
        <is>
          <t>CORREGIDO</t>
        </is>
      </c>
      <c r="M124" s="86" t="n"/>
    </row>
    <row r="125" ht="15.75" customHeight="1" s="182">
      <c r="A125" s="42" t="inlineStr">
        <is>
          <t>México</t>
        </is>
      </c>
      <c r="B125" s="56" t="inlineStr">
        <is>
          <t>Universidades públicas</t>
        </is>
      </c>
      <c r="C125" s="98" t="inlineStr">
        <is>
          <t>Universidad Pública Estatal</t>
        </is>
      </c>
      <c r="D125" s="98" t="inlineStr">
        <is>
          <t>Universidad de La Cañada</t>
        </is>
      </c>
      <c r="E125" s="98" t="n"/>
      <c r="F125" s="98" t="inlineStr">
        <is>
          <t>Servicios Escolares</t>
        </is>
      </c>
      <c r="G125" s="96" t="inlineStr">
        <is>
          <t>https://www.unca.edu.mx/</t>
        </is>
      </c>
      <c r="H125" s="96" t="inlineStr">
        <is>
          <t>Daniel Carvajal Servicios escolares</t>
        </is>
      </c>
      <c r="I125" s="103" t="inlineStr">
        <is>
          <t>=+52 236 372 0712</t>
        </is>
      </c>
      <c r="J125" s="96" t="inlineStr">
        <is>
          <t>escolares@unca.edu.mx</t>
        </is>
      </c>
      <c r="K125" s="96" t="inlineStr">
        <is>
          <t>https://www.unca.edu.mx/</t>
        </is>
      </c>
      <c r="L125" s="22" t="inlineStr">
        <is>
          <t>CORREGIDO</t>
        </is>
      </c>
      <c r="M125" s="86" t="n"/>
    </row>
    <row r="126" ht="15.75" customHeight="1" s="182">
      <c r="A126" s="42" t="inlineStr">
        <is>
          <t>México</t>
        </is>
      </c>
      <c r="B126" s="56" t="inlineStr">
        <is>
          <t>Universidades públicas</t>
        </is>
      </c>
      <c r="C126" s="98" t="inlineStr">
        <is>
          <t>Universidad Pública Estatal</t>
        </is>
      </c>
      <c r="D126" s="98" t="inlineStr">
        <is>
          <t>Universidad de Chalcatongo</t>
        </is>
      </c>
      <c r="E126" s="98" t="n"/>
      <c r="F126" s="98" t="inlineStr">
        <is>
          <t>Servicios Escolares</t>
        </is>
      </c>
      <c r="G126" s="201" t="inlineStr">
        <is>
          <t>https://www.unicha.edu.mx/</t>
        </is>
      </c>
      <c r="H126" s="96" t="inlineStr">
        <is>
          <t>Jefa del Departamento de Servicios Escolares</t>
        </is>
      </c>
      <c r="I126" s="96" t="inlineStr">
        <is>
          <t>(953) 530 20 93</t>
        </is>
      </c>
      <c r="J126" s="96" t="inlineStr">
        <is>
          <t>escolares@unicha.edu.mx</t>
        </is>
      </c>
      <c r="K126" s="201" t="inlineStr">
        <is>
          <t>https://www.unicha.edu.mx/directorio.html</t>
        </is>
      </c>
      <c r="L126" s="186" t="inlineStr">
        <is>
          <t>VERIFICAR</t>
        </is>
      </c>
      <c r="M126" s="197" t="inlineStr">
        <is>
          <t>Auditoría 08-oct-2026: Web corregida (unicat→unicha). Email escolares@unicha.edu.mx no confirmado.</t>
        </is>
      </c>
    </row>
    <row r="127" ht="15.75" customHeight="1" s="182">
      <c r="A127" s="42" t="inlineStr">
        <is>
          <t>México</t>
        </is>
      </c>
      <c r="B127" s="56" t="inlineStr">
        <is>
          <t>Universidades públicas</t>
        </is>
      </c>
      <c r="C127" s="98" t="inlineStr">
        <is>
          <t>Universidad Tecnológica Pública</t>
        </is>
      </c>
      <c r="D127" s="98" t="inlineStr">
        <is>
          <t>Universidad Tecnológica de Huejotzingo</t>
        </is>
      </c>
      <c r="E127" s="98" t="n"/>
      <c r="F127" s="98" t="inlineStr">
        <is>
          <t>Servicios Estudiantiles</t>
        </is>
      </c>
      <c r="G127" s="96" t="inlineStr">
        <is>
          <t>https://www.uth.edu.mx/</t>
        </is>
      </c>
      <c r="H127" s="96" t="inlineStr">
        <is>
          <t>Secretaría Académica</t>
        </is>
      </c>
      <c r="I127" s="96" t="inlineStr">
        <is>
          <t>227-275-93-00</t>
        </is>
      </c>
      <c r="J127" s="96" t="inlineStr">
        <is>
          <t>secretaria.academica@uth.edu.mx</t>
        </is>
      </c>
      <c r="K127" s="96" t="inlineStr">
        <is>
          <t>https://www.uth.edu.mx/</t>
        </is>
      </c>
      <c r="L127" s="22" t="inlineStr">
        <is>
          <t>CORREGIDO</t>
        </is>
      </c>
      <c r="M127" s="86" t="n"/>
    </row>
    <row r="128" ht="15.75" customHeight="1" s="182">
      <c r="A128" s="42" t="inlineStr">
        <is>
          <t>México</t>
        </is>
      </c>
      <c r="B128" s="56" t="inlineStr">
        <is>
          <t>Universidades públicas</t>
        </is>
      </c>
      <c r="C128" s="98" t="inlineStr">
        <is>
          <t>Universidad Tecnológica Pública</t>
        </is>
      </c>
      <c r="D128" s="98" t="inlineStr">
        <is>
          <t>Universidad Tecnológica de Puebla</t>
        </is>
      </c>
      <c r="E128" s="98" t="n"/>
      <c r="F128" s="98" t="inlineStr">
        <is>
          <t>Departamento de Servicios Estudiantiles</t>
        </is>
      </c>
      <c r="G128" s="96" t="inlineStr">
        <is>
          <t>https://www.utpuebla.edu.mx/</t>
        </is>
      </c>
      <c r="H128" s="96" t="inlineStr">
        <is>
          <t>Atención UTP</t>
        </is>
      </c>
      <c r="I128" s="96" t="inlineStr">
        <is>
          <t>222-309-88-56</t>
        </is>
      </c>
      <c r="J128" s="96" t="inlineStr">
        <is>
          <t>contacto@utpuebla.edu.mx</t>
        </is>
      </c>
      <c r="K128" s="96" t="inlineStr">
        <is>
          <t>https://www.utpuebla.edu.mx/</t>
        </is>
      </c>
      <c r="L128" s="22" t="inlineStr">
        <is>
          <t>CORREGIDO</t>
        </is>
      </c>
      <c r="M128" s="86" t="n"/>
    </row>
    <row r="129" ht="15.75" customHeight="1" s="182">
      <c r="A129" s="42" t="inlineStr">
        <is>
          <t>México</t>
        </is>
      </c>
      <c r="B129" s="56" t="inlineStr">
        <is>
          <t>Universidades públicas</t>
        </is>
      </c>
      <c r="C129" s="98" t="inlineStr">
        <is>
          <t>Universidad Tecnológica Pública</t>
        </is>
      </c>
      <c r="D129" s="98" t="inlineStr">
        <is>
          <t>Universidad Tecnológica de Tecamachalco</t>
        </is>
      </c>
      <c r="E129" s="98" t="n"/>
      <c r="F129" s="98" t="inlineStr">
        <is>
          <t>Servicios Estudiantiles</t>
        </is>
      </c>
      <c r="G129" s="96" t="inlineStr">
        <is>
          <t>https://www.uttecam.edu.mx/</t>
        </is>
      </c>
      <c r="H129" s="96" t="inlineStr">
        <is>
          <t>Secretaría Académica</t>
        </is>
      </c>
      <c r="I129" s="96" t="inlineStr">
        <is>
          <t>249-422-3300 | Ext. 135</t>
        </is>
      </c>
      <c r="J129" s="96" t="inlineStr">
        <is>
          <t>secretariaacademica@uttecam.edu.mx</t>
        </is>
      </c>
      <c r="K129" s="96" t="inlineStr">
        <is>
          <t>https://www.uttecam.edu.mx/</t>
        </is>
      </c>
      <c r="L129" s="22" t="inlineStr">
        <is>
          <t>CORREGIDO</t>
        </is>
      </c>
      <c r="M129" s="86" t="n"/>
    </row>
    <row r="130" ht="15.75" customHeight="1" s="182">
      <c r="A130" s="42" t="inlineStr">
        <is>
          <t>México</t>
        </is>
      </c>
      <c r="B130" s="56" t="inlineStr">
        <is>
          <t>Universidades públicas</t>
        </is>
      </c>
      <c r="C130" s="98" t="inlineStr">
        <is>
          <t>Universidad Tecnológica Pública</t>
        </is>
      </c>
      <c r="D130" s="98" t="inlineStr">
        <is>
          <t>Universidad Tecnológica de Tehuacán</t>
        </is>
      </c>
      <c r="E130" s="98" t="n"/>
      <c r="F130" s="98" t="inlineStr">
        <is>
          <t>Servicios Estudiantiles</t>
        </is>
      </c>
      <c r="G130" s="96" t="inlineStr">
        <is>
          <t>https://www.uttehuacan.edu.mx/</t>
        </is>
      </c>
      <c r="H130" s="96" t="inlineStr">
        <is>
          <t>Atención UT Tehuacán</t>
        </is>
      </c>
      <c r="I130" s="103" t="inlineStr">
        <is>
          <t>=+52 238 380 3100</t>
        </is>
      </c>
      <c r="J130" s="201" t="inlineStr">
        <is>
          <t>informacion@uttehuacan.edu.mx</t>
        </is>
      </c>
      <c r="K130" s="96" t="inlineStr">
        <is>
          <t>https://www.uttehuacan.edu.mx/</t>
        </is>
      </c>
      <c r="L130" s="22" t="inlineStr">
        <is>
          <t>CORREGIDO</t>
        </is>
      </c>
      <c r="M130" s="86" t="n"/>
    </row>
    <row r="131" ht="15.75" customHeight="1" s="182">
      <c r="A131" s="42" t="inlineStr">
        <is>
          <t>México</t>
        </is>
      </c>
      <c r="B131" s="56" t="inlineStr">
        <is>
          <t>Universidades públicas</t>
        </is>
      </c>
      <c r="C131" s="98" t="inlineStr">
        <is>
          <t>Universidad Tecnológica Pública</t>
        </is>
      </c>
      <c r="D131" s="98" t="inlineStr">
        <is>
          <t>Universidad Tecnológica de Xicotepec de Juárez</t>
        </is>
      </c>
      <c r="E131" s="98" t="n"/>
      <c r="F131" s="98" t="inlineStr">
        <is>
          <t>Servicios Estudiantiles</t>
        </is>
      </c>
      <c r="G131" s="96" t="inlineStr">
        <is>
          <t>https://www.utxj.edu.mx/</t>
        </is>
      </c>
      <c r="H131" s="96" t="inlineStr">
        <is>
          <t>Secretaría Académica</t>
        </is>
      </c>
      <c r="I131" s="96" t="inlineStr">
        <is>
          <t>764 764 5240 y 764 764 5252</t>
        </is>
      </c>
      <c r="J131" s="201" t="inlineStr">
        <is>
          <t>secretaria.academica@utxicotepec.edu.mx</t>
        </is>
      </c>
      <c r="K131" s="96" t="inlineStr">
        <is>
          <t>https://www.utxj.edu.mx/</t>
        </is>
      </c>
      <c r="L131" s="22" t="inlineStr">
        <is>
          <t>CORREGIDO</t>
        </is>
      </c>
      <c r="M131" s="86" t="n"/>
    </row>
    <row r="132" ht="15.75" customHeight="1" s="182">
      <c r="A132" s="42" t="inlineStr">
        <is>
          <t>México</t>
        </is>
      </c>
      <c r="B132" s="56" t="inlineStr">
        <is>
          <t>Universidades públicas</t>
        </is>
      </c>
      <c r="C132" s="98" t="inlineStr">
        <is>
          <t>Universidad Intercultural Pública</t>
        </is>
      </c>
      <c r="D132" s="98" t="inlineStr">
        <is>
          <t>Universidad Intercultural del Estado de Puebla</t>
        </is>
      </c>
      <c r="E132" s="98" t="n"/>
      <c r="F132" s="98" t="inlineStr">
        <is>
          <t>Servicios Estudiantiles y Admisiones</t>
        </is>
      </c>
      <c r="G132" s="96" t="inlineStr">
        <is>
          <t>https://www.uiep.edu.mx/</t>
        </is>
      </c>
      <c r="H132" s="96" t="n"/>
      <c r="I132" s="103" t="inlineStr">
        <is>
          <t>=+52 233 314 2962</t>
        </is>
      </c>
      <c r="J132" s="96" t="n"/>
      <c r="K132" s="96" t="inlineStr">
        <is>
          <t>https://www.uiep.edu.mx/adm-4/</t>
        </is>
      </c>
      <c r="L132" s="22" t="inlineStr">
        <is>
          <t>CORREGIDO</t>
        </is>
      </c>
      <c r="M132" s="86" t="n"/>
    </row>
    <row r="133" ht="15.75" customHeight="1" s="182">
      <c r="A133" s="42" t="inlineStr">
        <is>
          <t>México</t>
        </is>
      </c>
      <c r="B133" s="56" t="inlineStr">
        <is>
          <t>Universidades públicas</t>
        </is>
      </c>
      <c r="C133" s="98" t="inlineStr">
        <is>
          <t>Universidad Tecnológica Pública</t>
        </is>
      </c>
      <c r="D133" s="98" t="inlineStr">
        <is>
          <t>Universidad Tecnológica de Querétaro</t>
        </is>
      </c>
      <c r="E133" s="98" t="n"/>
      <c r="F133" s="199" t="inlineStr">
        <is>
          <t>Secretaría Académica</t>
        </is>
      </c>
      <c r="G133" s="96" t="inlineStr">
        <is>
          <t>https://www.uteq.edu.mx/</t>
        </is>
      </c>
      <c r="H133" s="201" t="inlineStr">
        <is>
          <t>M. en I. Raúl Noriega Ponce (Secretario Académico)</t>
        </is>
      </c>
      <c r="I133" s="202" t="inlineStr">
        <is>
          <t>+52 442 209 6100 ext. 1310</t>
        </is>
      </c>
      <c r="J133" s="199" t="inlineStr">
        <is>
          <t>raul.noriega@uteq.edu.mx / rector@uteq.edu.mx</t>
        </is>
      </c>
      <c r="K133" s="201" t="inlineStr">
        <is>
          <t>https://www.uteq.edu.mx/Sitios/Directorio.aspx</t>
        </is>
      </c>
      <c r="L133" s="186" t="inlineStr">
        <is>
          <t>CORREGIDO</t>
        </is>
      </c>
      <c r="M133" s="197" t="inlineStr">
        <is>
          <t>Ojo son del mismo sitio web | Auditoría 08-oct-2026: Email anterior era de la UT de San Juan del Río (utsjr).</t>
        </is>
      </c>
    </row>
    <row r="134" ht="15.75" customHeight="1" s="182">
      <c r="A134" s="42" t="inlineStr">
        <is>
          <t>México</t>
        </is>
      </c>
      <c r="B134" s="56" t="inlineStr">
        <is>
          <t>Universidades públicas</t>
        </is>
      </c>
      <c r="C134" s="98" t="inlineStr">
        <is>
          <t>Universidad Tecnológica Pública</t>
        </is>
      </c>
      <c r="D134" s="98" t="inlineStr">
        <is>
          <t>Universidad Tecnológica de San Juan del Río</t>
        </is>
      </c>
      <c r="E134" s="98" t="n"/>
      <c r="F134" s="98" t="inlineStr">
        <is>
          <t>Departamento de Servicios Estudiantiles</t>
        </is>
      </c>
      <c r="G134" s="96" t="inlineStr">
        <is>
          <t>https://www.utsjr.edu.mx/</t>
        </is>
      </c>
      <c r="H134" s="96" t="inlineStr">
        <is>
          <t>Atención UTSJR</t>
        </is>
      </c>
      <c r="I134" s="103" t="inlineStr">
        <is>
          <t>=+52 427 129 2000</t>
        </is>
      </c>
      <c r="J134" s="98" t="inlineStr">
        <is>
          <t>contacto@utsjr.edu.mx</t>
        </is>
      </c>
      <c r="K134" s="96" t="inlineStr">
        <is>
          <t>https://www.utsjr.edu.mx/</t>
        </is>
      </c>
      <c r="L134" s="35" t="inlineStr">
        <is>
          <t>VERIFICAR</t>
        </is>
      </c>
      <c r="M134" s="86" t="inlineStr">
        <is>
          <t xml:space="preserve">Ojo son del mismo sitio web </t>
        </is>
      </c>
    </row>
    <row r="135" ht="15.75" customHeight="1" s="182">
      <c r="A135" s="42" t="inlineStr">
        <is>
          <t>México</t>
        </is>
      </c>
      <c r="B135" s="56" t="inlineStr">
        <is>
          <t>Universidades públicas</t>
        </is>
      </c>
      <c r="C135" s="98" t="inlineStr">
        <is>
          <t>Universidad Pública Estatal</t>
        </is>
      </c>
      <c r="D135" s="98" t="inlineStr">
        <is>
          <t>Universidad del Caribe</t>
        </is>
      </c>
      <c r="E135" s="98" t="n"/>
      <c r="F135" s="98" t="inlineStr">
        <is>
          <t>Departamento de Servicios Estudiantiles</t>
        </is>
      </c>
      <c r="G135" s="96" t="inlineStr">
        <is>
          <t>https://www.unicaribe.mx/</t>
        </is>
      </c>
      <c r="H135" s="96" t="inlineStr">
        <is>
          <t>Servicios escolares</t>
        </is>
      </c>
      <c r="I135" s="103" t="inlineStr">
        <is>
          <t>=+52 998 881 4400</t>
        </is>
      </c>
      <c r="J135" s="98" t="inlineStr">
        <is>
          <t>salcocer@ucaribe.edu.mx</t>
        </is>
      </c>
      <c r="K135" s="96" t="inlineStr">
        <is>
          <t>https://www.unicaribe.mx/</t>
        </is>
      </c>
      <c r="L135" s="22" t="inlineStr">
        <is>
          <t>CORREGIDO</t>
        </is>
      </c>
      <c r="M135" s="86" t="n"/>
    </row>
    <row r="136" ht="15.75" customHeight="1" s="182">
      <c r="A136" s="42" t="inlineStr">
        <is>
          <t>México</t>
        </is>
      </c>
      <c r="B136" s="56" t="inlineStr">
        <is>
          <t>Universidades públicas</t>
        </is>
      </c>
      <c r="C136" s="98" t="inlineStr">
        <is>
          <t>Universidad Pública Autónoma</t>
        </is>
      </c>
      <c r="D136" s="98" t="inlineStr">
        <is>
          <t>Universidad Autónoma de Occidente</t>
        </is>
      </c>
      <c r="E136" s="98" t="n"/>
      <c r="F136" s="98" t="inlineStr">
        <is>
          <t>Coordinación de Desarrollo Estudiantil</t>
        </is>
      </c>
      <c r="G136" s="201" t="inlineStr">
        <is>
          <t>https://uadeo.mx/</t>
        </is>
      </c>
      <c r="H136" s="96" t="inlineStr">
        <is>
          <t>Directorio estudiantil</t>
        </is>
      </c>
      <c r="I136" s="96" t="inlineStr">
        <is>
          <t>(668) 816 1050</t>
        </is>
      </c>
      <c r="J136" s="98" t="inlineStr">
        <is>
          <t>Nelly.beltran@uadeo.mx</t>
        </is>
      </c>
      <c r="K136" s="201" t="inlineStr">
        <is>
          <t>https://uadeo.mx/</t>
        </is>
      </c>
      <c r="L136" s="22" t="inlineStr">
        <is>
          <t>CORREGIDO</t>
        </is>
      </c>
      <c r="M136" s="197" t="inlineStr">
        <is>
          <t>Auditoría 08-oct-2026: Web corregida (uado.mx→uadeo.mx).</t>
        </is>
      </c>
    </row>
    <row r="137" ht="15.75" customHeight="1" s="182">
      <c r="A137" s="42" t="inlineStr">
        <is>
          <t>México</t>
        </is>
      </c>
      <c r="B137" s="56" t="inlineStr">
        <is>
          <t>Universidades públicas</t>
        </is>
      </c>
      <c r="C137" s="98" t="inlineStr">
        <is>
          <t>Universidad Pública Estatal</t>
        </is>
      </c>
      <c r="D137" s="98" t="inlineStr">
        <is>
          <t>Universidad Estatal de Sonora</t>
        </is>
      </c>
      <c r="E137" s="98" t="n"/>
      <c r="F137" s="98" t="inlineStr">
        <is>
          <t>Departamento de Atención y Bienestar Estudiantil</t>
        </is>
      </c>
      <c r="G137" s="96" t="inlineStr">
        <is>
          <t>https://www.ues.mx/</t>
        </is>
      </c>
      <c r="H137" s="96" t="inlineStr">
        <is>
          <t>Atención UES</t>
        </is>
      </c>
      <c r="I137" s="103" t="inlineStr">
        <is>
          <t>=+52 662 689 0100</t>
        </is>
      </c>
      <c r="J137" s="98" t="inlineStr">
        <is>
          <t>contacto@ues.mx</t>
        </is>
      </c>
      <c r="K137" s="96" t="inlineStr">
        <is>
          <t>https://www.ues.mx/</t>
        </is>
      </c>
      <c r="L137" s="35" t="inlineStr">
        <is>
          <t>VERIFICAR</t>
        </is>
      </c>
      <c r="M137" s="86" t="n"/>
    </row>
    <row r="138" ht="15.75" customHeight="1" s="182">
      <c r="A138" s="42" t="inlineStr">
        <is>
          <t>México</t>
        </is>
      </c>
      <c r="B138" s="56" t="inlineStr">
        <is>
          <t>Universidades públicas</t>
        </is>
      </c>
      <c r="C138" s="98" t="inlineStr">
        <is>
          <t>Universidad Tecnológica Pública</t>
        </is>
      </c>
      <c r="D138" s="98" t="inlineStr">
        <is>
          <t>Universidad Tecnológica de Hermosillo</t>
        </is>
      </c>
      <c r="E138" s="98" t="n"/>
      <c r="F138" s="98" t="inlineStr">
        <is>
          <t>Servicios Estudiantiles</t>
        </is>
      </c>
      <c r="G138" s="96" t="inlineStr">
        <is>
          <t>https://www.uthermosillo.edu.mx/</t>
        </is>
      </c>
      <c r="H138" s="96" t="n"/>
      <c r="I138" s="96" t="n"/>
      <c r="J138" s="98" t="n"/>
      <c r="K138" s="96" t="n"/>
      <c r="L138" s="35" t="inlineStr">
        <is>
          <t>VERIFICAR</t>
        </is>
      </c>
      <c r="M138" s="86" t="inlineStr">
        <is>
          <t>Pagina caida</t>
        </is>
      </c>
    </row>
    <row r="139" ht="15.75" customHeight="1" s="182">
      <c r="A139" s="42" t="inlineStr">
        <is>
          <t>México</t>
        </is>
      </c>
      <c r="B139" s="56" t="inlineStr">
        <is>
          <t>Universidades públicas</t>
        </is>
      </c>
      <c r="C139" s="98" t="inlineStr">
        <is>
          <t>Universidad Tecnológica Pública</t>
        </is>
      </c>
      <c r="D139" s="98" t="inlineStr">
        <is>
          <t>Universidad Tecnológica del Sur de Sonora</t>
        </is>
      </c>
      <c r="E139" s="98" t="n"/>
      <c r="F139" s="98" t="inlineStr">
        <is>
          <t>Servicios Estudiantiles</t>
        </is>
      </c>
      <c r="G139" s="96" t="inlineStr">
        <is>
          <t>https://www.utss.edu.mx/</t>
        </is>
      </c>
      <c r="H139" s="96" t="n"/>
      <c r="I139" s="103" t="inlineStr">
        <is>
          <t>=+52 644 410 8650</t>
        </is>
      </c>
      <c r="J139" s="98" t="n"/>
      <c r="K139" s="96" t="inlineStr">
        <is>
          <t>https://www.utss.edu.mx/</t>
        </is>
      </c>
      <c r="L139" s="35" t="inlineStr">
        <is>
          <t>VERIFICAR</t>
        </is>
      </c>
      <c r="M139" s="86" t="inlineStr">
        <is>
          <t>Pagina caida</t>
        </is>
      </c>
    </row>
    <row r="140" ht="15.75" customHeight="1" s="182">
      <c r="A140" s="42" t="inlineStr">
        <is>
          <t>México</t>
        </is>
      </c>
      <c r="B140" s="56" t="inlineStr">
        <is>
          <t>Universidades públicas</t>
        </is>
      </c>
      <c r="C140" s="98" t="inlineStr">
        <is>
          <t>Universidad Tecnológica Pública</t>
        </is>
      </c>
      <c r="D140" s="98" t="inlineStr">
        <is>
          <t>Universidad Tecnológica de Gutiérrez Zamora</t>
        </is>
      </c>
      <c r="E140" s="98" t="n"/>
      <c r="F140" s="98" t="inlineStr">
        <is>
          <t>Departamento de Servicios Estudiantiles</t>
        </is>
      </c>
      <c r="G140" s="96" t="inlineStr">
        <is>
          <t>https://www.utgz.edu.mx/</t>
        </is>
      </c>
      <c r="H140" s="96" t="inlineStr">
        <is>
          <t>Dirección academica</t>
        </is>
      </c>
      <c r="I140" s="103" t="inlineStr">
        <is>
          <t>=+52 766 845 1070</t>
        </is>
      </c>
      <c r="J140" s="98" t="inlineStr">
        <is>
          <t>academica@utgz.edu.mx</t>
        </is>
      </c>
      <c r="K140" s="96" t="inlineStr">
        <is>
          <t>https://www.utgz.edu.mx/</t>
        </is>
      </c>
      <c r="L140" s="22" t="inlineStr">
        <is>
          <t>CORREGIDO</t>
        </is>
      </c>
      <c r="M140" s="86" t="n"/>
    </row>
    <row r="141" ht="15.75" customHeight="1" s="182">
      <c r="A141" s="42" t="inlineStr">
        <is>
          <t>México</t>
        </is>
      </c>
      <c r="B141" s="56" t="inlineStr">
        <is>
          <t>Universidades públicas</t>
        </is>
      </c>
      <c r="C141" s="98" t="inlineStr">
        <is>
          <t>Universidad Pública Estatal</t>
        </is>
      </c>
      <c r="D141" s="98" t="inlineStr">
        <is>
          <t>Universidad de Oriente</t>
        </is>
      </c>
      <c r="E141" s="98" t="n"/>
      <c r="F141" s="98" t="inlineStr">
        <is>
          <t>Departamento de Admisiones y Atención a Alumnos</t>
        </is>
      </c>
      <c r="G141" s="96" t="inlineStr">
        <is>
          <t>https://uo.edu.mx/</t>
        </is>
      </c>
      <c r="H141" s="96" t="n"/>
      <c r="I141" s="96" t="inlineStr">
        <is>
          <t>2211847336</t>
        </is>
      </c>
      <c r="J141" s="98" t="n"/>
      <c r="K141" s="96" t="inlineStr">
        <is>
          <t>https://uo.edu.mx/campus/veracruz/</t>
        </is>
      </c>
      <c r="L141" s="22" t="inlineStr">
        <is>
          <t>CORREGIDO</t>
        </is>
      </c>
      <c r="M141" s="86" t="n"/>
    </row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  <row r="962" ht="15.75" customHeight="1" s="182"/>
    <row r="963" ht="15.75" customHeight="1" s="182"/>
  </sheetData>
  <autoFilter ref="$A$1:$M$141"/>
  <dataValidations count="2">
    <dataValidation sqref="E2:E141" showDropDown="0" showInputMessage="0" showErrorMessage="1" allowBlank="1" type="list">
      <formula1>"si,no"</formula1>
    </dataValidation>
    <dataValidation sqref="I2:I141" showDropDown="1" showInputMessage="0" showErrorMessage="0" allowBlank="1"/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K3" r:id="rId5"/>
    <hyperlink xmlns:r="http://schemas.openxmlformats.org/officeDocument/2006/relationships" ref="G4" r:id="rId6"/>
    <hyperlink xmlns:r="http://schemas.openxmlformats.org/officeDocument/2006/relationships" ref="K4" r:id="rId7"/>
    <hyperlink xmlns:r="http://schemas.openxmlformats.org/officeDocument/2006/relationships" ref="G5" r:id="rId8"/>
    <hyperlink xmlns:r="http://schemas.openxmlformats.org/officeDocument/2006/relationships" ref="K5" r:id="rId9"/>
    <hyperlink xmlns:r="http://schemas.openxmlformats.org/officeDocument/2006/relationships" ref="G6" r:id="rId10"/>
    <hyperlink xmlns:r="http://schemas.openxmlformats.org/officeDocument/2006/relationships" ref="K6" r:id="rId11"/>
    <hyperlink xmlns:r="http://schemas.openxmlformats.org/officeDocument/2006/relationships" ref="G7" r:id="rId12"/>
    <hyperlink xmlns:r="http://schemas.openxmlformats.org/officeDocument/2006/relationships" ref="K7" r:id="rId13"/>
    <hyperlink xmlns:r="http://schemas.openxmlformats.org/officeDocument/2006/relationships" ref="G8" r:id="rId14"/>
    <hyperlink xmlns:r="http://schemas.openxmlformats.org/officeDocument/2006/relationships" ref="K8" r:id="rId15"/>
    <hyperlink xmlns:r="http://schemas.openxmlformats.org/officeDocument/2006/relationships" ref="G9" r:id="rId16"/>
    <hyperlink xmlns:r="http://schemas.openxmlformats.org/officeDocument/2006/relationships" ref="G10" r:id="rId17"/>
    <hyperlink xmlns:r="http://schemas.openxmlformats.org/officeDocument/2006/relationships" ref="K10" r:id="rId18"/>
    <hyperlink xmlns:r="http://schemas.openxmlformats.org/officeDocument/2006/relationships" ref="G11" r:id="rId19"/>
    <hyperlink xmlns:r="http://schemas.openxmlformats.org/officeDocument/2006/relationships" ref="K11" r:id="rId20"/>
    <hyperlink xmlns:r="http://schemas.openxmlformats.org/officeDocument/2006/relationships" ref="G12" r:id="rId21"/>
    <hyperlink xmlns:r="http://schemas.openxmlformats.org/officeDocument/2006/relationships" ref="K12" r:id="rId22"/>
    <hyperlink xmlns:r="http://schemas.openxmlformats.org/officeDocument/2006/relationships" ref="G13" r:id="rId23"/>
    <hyperlink xmlns:r="http://schemas.openxmlformats.org/officeDocument/2006/relationships" ref="K13" r:id="rId24"/>
    <hyperlink xmlns:r="http://schemas.openxmlformats.org/officeDocument/2006/relationships" ref="G14" r:id="rId25"/>
    <hyperlink xmlns:r="http://schemas.openxmlformats.org/officeDocument/2006/relationships" ref="K14" r:id="rId26"/>
    <hyperlink xmlns:r="http://schemas.openxmlformats.org/officeDocument/2006/relationships" ref="G15" r:id="rId27"/>
    <hyperlink xmlns:r="http://schemas.openxmlformats.org/officeDocument/2006/relationships" ref="K15" r:id="rId28"/>
    <hyperlink xmlns:r="http://schemas.openxmlformats.org/officeDocument/2006/relationships" ref="G16" r:id="rId29"/>
    <hyperlink xmlns:r="http://schemas.openxmlformats.org/officeDocument/2006/relationships" ref="K16" r:id="rId30"/>
    <hyperlink xmlns:r="http://schemas.openxmlformats.org/officeDocument/2006/relationships" ref="G17" r:id="rId31"/>
    <hyperlink xmlns:r="http://schemas.openxmlformats.org/officeDocument/2006/relationships" ref="K17" r:id="rId32"/>
    <hyperlink xmlns:r="http://schemas.openxmlformats.org/officeDocument/2006/relationships" ref="G18" r:id="rId33"/>
    <hyperlink xmlns:r="http://schemas.openxmlformats.org/officeDocument/2006/relationships" ref="K18" r:id="rId34"/>
    <hyperlink xmlns:r="http://schemas.openxmlformats.org/officeDocument/2006/relationships" ref="G19" r:id="rId35"/>
    <hyperlink xmlns:r="http://schemas.openxmlformats.org/officeDocument/2006/relationships" ref="K19" r:id="rId36"/>
    <hyperlink xmlns:r="http://schemas.openxmlformats.org/officeDocument/2006/relationships" ref="G20" r:id="rId37"/>
    <hyperlink xmlns:r="http://schemas.openxmlformats.org/officeDocument/2006/relationships" ref="K20" r:id="rId38"/>
    <hyperlink xmlns:r="http://schemas.openxmlformats.org/officeDocument/2006/relationships" ref="G21" r:id="rId39"/>
    <hyperlink xmlns:r="http://schemas.openxmlformats.org/officeDocument/2006/relationships" ref="K21" r:id="rId40"/>
    <hyperlink xmlns:r="http://schemas.openxmlformats.org/officeDocument/2006/relationships" ref="G22" r:id="rId41"/>
    <hyperlink xmlns:r="http://schemas.openxmlformats.org/officeDocument/2006/relationships" ref="K22" r:id="rId42"/>
    <hyperlink xmlns:r="http://schemas.openxmlformats.org/officeDocument/2006/relationships" ref="G23" r:id="rId43"/>
    <hyperlink xmlns:r="http://schemas.openxmlformats.org/officeDocument/2006/relationships" ref="K23" r:id="rId44"/>
    <hyperlink xmlns:r="http://schemas.openxmlformats.org/officeDocument/2006/relationships" ref="G24" r:id="rId45"/>
    <hyperlink xmlns:r="http://schemas.openxmlformats.org/officeDocument/2006/relationships" ref="K24" r:id="rId46"/>
    <hyperlink xmlns:r="http://schemas.openxmlformats.org/officeDocument/2006/relationships" ref="G25" r:id="rId47"/>
    <hyperlink xmlns:r="http://schemas.openxmlformats.org/officeDocument/2006/relationships" ref="K25" r:id="rId48"/>
    <hyperlink xmlns:r="http://schemas.openxmlformats.org/officeDocument/2006/relationships" ref="G26" r:id="rId49"/>
    <hyperlink xmlns:r="http://schemas.openxmlformats.org/officeDocument/2006/relationships" ref="K26" r:id="rId50"/>
    <hyperlink xmlns:r="http://schemas.openxmlformats.org/officeDocument/2006/relationships" ref="G27" r:id="rId51"/>
    <hyperlink xmlns:r="http://schemas.openxmlformats.org/officeDocument/2006/relationships" ref="K27" r:id="rId52"/>
    <hyperlink xmlns:r="http://schemas.openxmlformats.org/officeDocument/2006/relationships" ref="G28" r:id="rId53"/>
    <hyperlink xmlns:r="http://schemas.openxmlformats.org/officeDocument/2006/relationships" ref="K28" r:id="rId54"/>
    <hyperlink xmlns:r="http://schemas.openxmlformats.org/officeDocument/2006/relationships" ref="G29" r:id="rId55"/>
    <hyperlink xmlns:r="http://schemas.openxmlformats.org/officeDocument/2006/relationships" ref="K29" r:id="rId56"/>
    <hyperlink xmlns:r="http://schemas.openxmlformats.org/officeDocument/2006/relationships" ref="G30" r:id="rId57"/>
    <hyperlink xmlns:r="http://schemas.openxmlformats.org/officeDocument/2006/relationships" ref="K30" r:id="rId58"/>
    <hyperlink xmlns:r="http://schemas.openxmlformats.org/officeDocument/2006/relationships" ref="G31" r:id="rId59"/>
    <hyperlink xmlns:r="http://schemas.openxmlformats.org/officeDocument/2006/relationships" ref="K31" r:id="rId60"/>
    <hyperlink xmlns:r="http://schemas.openxmlformats.org/officeDocument/2006/relationships" ref="G32" r:id="rId61"/>
    <hyperlink xmlns:r="http://schemas.openxmlformats.org/officeDocument/2006/relationships" ref="K32" r:id="rId62"/>
    <hyperlink xmlns:r="http://schemas.openxmlformats.org/officeDocument/2006/relationships" ref="G33" r:id="rId63"/>
    <hyperlink xmlns:r="http://schemas.openxmlformats.org/officeDocument/2006/relationships" ref="K33" r:id="rId64"/>
    <hyperlink xmlns:r="http://schemas.openxmlformats.org/officeDocument/2006/relationships" ref="G34" r:id="rId65"/>
    <hyperlink xmlns:r="http://schemas.openxmlformats.org/officeDocument/2006/relationships" ref="K34" r:id="rId66"/>
    <hyperlink xmlns:r="http://schemas.openxmlformats.org/officeDocument/2006/relationships" ref="G35" r:id="rId67"/>
    <hyperlink xmlns:r="http://schemas.openxmlformats.org/officeDocument/2006/relationships" ref="K35" r:id="rId68"/>
    <hyperlink xmlns:r="http://schemas.openxmlformats.org/officeDocument/2006/relationships" ref="G36" r:id="rId69"/>
    <hyperlink xmlns:r="http://schemas.openxmlformats.org/officeDocument/2006/relationships" ref="K36" r:id="rId70"/>
    <hyperlink xmlns:r="http://schemas.openxmlformats.org/officeDocument/2006/relationships" ref="G37" r:id="rId71"/>
    <hyperlink xmlns:r="http://schemas.openxmlformats.org/officeDocument/2006/relationships" ref="K37" r:id="rId72"/>
    <hyperlink xmlns:r="http://schemas.openxmlformats.org/officeDocument/2006/relationships" ref="G38" r:id="rId73"/>
    <hyperlink xmlns:r="http://schemas.openxmlformats.org/officeDocument/2006/relationships" ref="K38" r:id="rId74"/>
    <hyperlink xmlns:r="http://schemas.openxmlformats.org/officeDocument/2006/relationships" ref="G39" r:id="rId75"/>
    <hyperlink xmlns:r="http://schemas.openxmlformats.org/officeDocument/2006/relationships" ref="K39" r:id="rId76"/>
    <hyperlink xmlns:r="http://schemas.openxmlformats.org/officeDocument/2006/relationships" ref="G40" r:id="rId77"/>
    <hyperlink xmlns:r="http://schemas.openxmlformats.org/officeDocument/2006/relationships" ref="K40" r:id="rId78"/>
    <hyperlink xmlns:r="http://schemas.openxmlformats.org/officeDocument/2006/relationships" ref="G41" r:id="rId79"/>
    <hyperlink xmlns:r="http://schemas.openxmlformats.org/officeDocument/2006/relationships" ref="K41" r:id="rId80"/>
    <hyperlink xmlns:r="http://schemas.openxmlformats.org/officeDocument/2006/relationships" ref="G42" r:id="rId81"/>
    <hyperlink xmlns:r="http://schemas.openxmlformats.org/officeDocument/2006/relationships" ref="K42" r:id="rId82"/>
    <hyperlink xmlns:r="http://schemas.openxmlformats.org/officeDocument/2006/relationships" ref="G43" r:id="rId83"/>
    <hyperlink xmlns:r="http://schemas.openxmlformats.org/officeDocument/2006/relationships" ref="K43" r:id="rId84"/>
    <hyperlink xmlns:r="http://schemas.openxmlformats.org/officeDocument/2006/relationships" ref="G44" r:id="rId85"/>
    <hyperlink xmlns:r="http://schemas.openxmlformats.org/officeDocument/2006/relationships" ref="K44" r:id="rId86"/>
    <hyperlink xmlns:r="http://schemas.openxmlformats.org/officeDocument/2006/relationships" ref="G45" r:id="rId87"/>
    <hyperlink xmlns:r="http://schemas.openxmlformats.org/officeDocument/2006/relationships" ref="K45" r:id="rId88"/>
    <hyperlink xmlns:r="http://schemas.openxmlformats.org/officeDocument/2006/relationships" ref="K46" r:id="rId89"/>
    <hyperlink xmlns:r="http://schemas.openxmlformats.org/officeDocument/2006/relationships" ref="G47" r:id="rId90"/>
    <hyperlink xmlns:r="http://schemas.openxmlformats.org/officeDocument/2006/relationships" ref="K47" r:id="rId91"/>
    <hyperlink xmlns:r="http://schemas.openxmlformats.org/officeDocument/2006/relationships" ref="G48" r:id="rId92"/>
    <hyperlink xmlns:r="http://schemas.openxmlformats.org/officeDocument/2006/relationships" ref="G49" r:id="rId93"/>
    <hyperlink xmlns:r="http://schemas.openxmlformats.org/officeDocument/2006/relationships" ref="K49" r:id="rId94"/>
    <hyperlink xmlns:r="http://schemas.openxmlformats.org/officeDocument/2006/relationships" ref="G50" r:id="rId95"/>
    <hyperlink xmlns:r="http://schemas.openxmlformats.org/officeDocument/2006/relationships" ref="G51" r:id="rId96"/>
    <hyperlink xmlns:r="http://schemas.openxmlformats.org/officeDocument/2006/relationships" ref="K51" r:id="rId97"/>
    <hyperlink xmlns:r="http://schemas.openxmlformats.org/officeDocument/2006/relationships" ref="G52" r:id="rId98"/>
    <hyperlink xmlns:r="http://schemas.openxmlformats.org/officeDocument/2006/relationships" ref="G53" r:id="rId99"/>
    <hyperlink xmlns:r="http://schemas.openxmlformats.org/officeDocument/2006/relationships" ref="K53" r:id="rId100"/>
    <hyperlink xmlns:r="http://schemas.openxmlformats.org/officeDocument/2006/relationships" ref="G54" r:id="rId101"/>
    <hyperlink xmlns:r="http://schemas.openxmlformats.org/officeDocument/2006/relationships" ref="G55" r:id="rId102"/>
    <hyperlink xmlns:r="http://schemas.openxmlformats.org/officeDocument/2006/relationships" ref="G56" r:id="rId103"/>
    <hyperlink xmlns:r="http://schemas.openxmlformats.org/officeDocument/2006/relationships" ref="G57" r:id="rId104"/>
    <hyperlink xmlns:r="http://schemas.openxmlformats.org/officeDocument/2006/relationships" ref="G58" r:id="rId105"/>
    <hyperlink xmlns:r="http://schemas.openxmlformats.org/officeDocument/2006/relationships" ref="G59" r:id="rId106"/>
    <hyperlink xmlns:r="http://schemas.openxmlformats.org/officeDocument/2006/relationships" ref="G60" r:id="rId107"/>
    <hyperlink xmlns:r="http://schemas.openxmlformats.org/officeDocument/2006/relationships" ref="K60" r:id="rId108"/>
    <hyperlink xmlns:r="http://schemas.openxmlformats.org/officeDocument/2006/relationships" ref="G61" r:id="rId109"/>
    <hyperlink xmlns:r="http://schemas.openxmlformats.org/officeDocument/2006/relationships" ref="K61" r:id="rId110"/>
    <hyperlink xmlns:r="http://schemas.openxmlformats.org/officeDocument/2006/relationships" ref="G62" r:id="rId111"/>
    <hyperlink xmlns:r="http://schemas.openxmlformats.org/officeDocument/2006/relationships" ref="K62" r:id="rId112"/>
    <hyperlink xmlns:r="http://schemas.openxmlformats.org/officeDocument/2006/relationships" ref="G63" r:id="rId113"/>
    <hyperlink xmlns:r="http://schemas.openxmlformats.org/officeDocument/2006/relationships" ref="K63" r:id="rId114"/>
    <hyperlink xmlns:r="http://schemas.openxmlformats.org/officeDocument/2006/relationships" ref="G64" r:id="rId115"/>
    <hyperlink xmlns:r="http://schemas.openxmlformats.org/officeDocument/2006/relationships" ref="K64" r:id="rId116"/>
    <hyperlink xmlns:r="http://schemas.openxmlformats.org/officeDocument/2006/relationships" ref="G65" r:id="rId117"/>
    <hyperlink xmlns:r="http://schemas.openxmlformats.org/officeDocument/2006/relationships" ref="K65" r:id="rId118"/>
    <hyperlink xmlns:r="http://schemas.openxmlformats.org/officeDocument/2006/relationships" ref="G66" r:id="rId119"/>
    <hyperlink xmlns:r="http://schemas.openxmlformats.org/officeDocument/2006/relationships" ref="G67" r:id="rId120"/>
    <hyperlink xmlns:r="http://schemas.openxmlformats.org/officeDocument/2006/relationships" ref="K67" r:id="rId121"/>
    <hyperlink xmlns:r="http://schemas.openxmlformats.org/officeDocument/2006/relationships" ref="G68" r:id="rId122"/>
    <hyperlink xmlns:r="http://schemas.openxmlformats.org/officeDocument/2006/relationships" ref="K68" r:id="rId123"/>
    <hyperlink xmlns:r="http://schemas.openxmlformats.org/officeDocument/2006/relationships" ref="G69" r:id="rId124"/>
    <hyperlink xmlns:r="http://schemas.openxmlformats.org/officeDocument/2006/relationships" ref="K69" r:id="rId125"/>
    <hyperlink xmlns:r="http://schemas.openxmlformats.org/officeDocument/2006/relationships" ref="G70" r:id="rId126"/>
    <hyperlink xmlns:r="http://schemas.openxmlformats.org/officeDocument/2006/relationships" ref="K70" r:id="rId127"/>
    <hyperlink xmlns:r="http://schemas.openxmlformats.org/officeDocument/2006/relationships" ref="G71" r:id="rId128"/>
    <hyperlink xmlns:r="http://schemas.openxmlformats.org/officeDocument/2006/relationships" ref="K71" r:id="rId129"/>
    <hyperlink xmlns:r="http://schemas.openxmlformats.org/officeDocument/2006/relationships" ref="G72" r:id="rId130"/>
    <hyperlink xmlns:r="http://schemas.openxmlformats.org/officeDocument/2006/relationships" ref="G73" r:id="rId131"/>
    <hyperlink xmlns:r="http://schemas.openxmlformats.org/officeDocument/2006/relationships" ref="K73" r:id="rId132"/>
    <hyperlink xmlns:r="http://schemas.openxmlformats.org/officeDocument/2006/relationships" ref="G74" r:id="rId133"/>
    <hyperlink xmlns:r="http://schemas.openxmlformats.org/officeDocument/2006/relationships" ref="G75" r:id="rId134"/>
    <hyperlink xmlns:r="http://schemas.openxmlformats.org/officeDocument/2006/relationships" ref="G76" r:id="rId135"/>
    <hyperlink xmlns:r="http://schemas.openxmlformats.org/officeDocument/2006/relationships" ref="G77" r:id="rId136"/>
    <hyperlink xmlns:r="http://schemas.openxmlformats.org/officeDocument/2006/relationships" ref="G78" r:id="rId137"/>
    <hyperlink xmlns:r="http://schemas.openxmlformats.org/officeDocument/2006/relationships" ref="K78" r:id="rId138"/>
    <hyperlink xmlns:r="http://schemas.openxmlformats.org/officeDocument/2006/relationships" ref="G79" r:id="rId139"/>
    <hyperlink xmlns:r="http://schemas.openxmlformats.org/officeDocument/2006/relationships" ref="K79" r:id="rId140"/>
    <hyperlink xmlns:r="http://schemas.openxmlformats.org/officeDocument/2006/relationships" ref="G80" r:id="rId141"/>
    <hyperlink xmlns:r="http://schemas.openxmlformats.org/officeDocument/2006/relationships" ref="K80" r:id="rId142"/>
    <hyperlink xmlns:r="http://schemas.openxmlformats.org/officeDocument/2006/relationships" ref="G81" r:id="rId143"/>
    <hyperlink xmlns:r="http://schemas.openxmlformats.org/officeDocument/2006/relationships" ref="K81" r:id="rId144"/>
    <hyperlink xmlns:r="http://schemas.openxmlformats.org/officeDocument/2006/relationships" ref="G82" r:id="rId145"/>
    <hyperlink xmlns:r="http://schemas.openxmlformats.org/officeDocument/2006/relationships" ref="K82" r:id="rId146"/>
    <hyperlink xmlns:r="http://schemas.openxmlformats.org/officeDocument/2006/relationships" ref="G83" r:id="rId147"/>
    <hyperlink xmlns:r="http://schemas.openxmlformats.org/officeDocument/2006/relationships" ref="K83" r:id="rId148"/>
    <hyperlink xmlns:r="http://schemas.openxmlformats.org/officeDocument/2006/relationships" ref="G84" r:id="rId149"/>
    <hyperlink xmlns:r="http://schemas.openxmlformats.org/officeDocument/2006/relationships" ref="K84" r:id="rId150"/>
    <hyperlink xmlns:r="http://schemas.openxmlformats.org/officeDocument/2006/relationships" ref="G85" r:id="rId151"/>
    <hyperlink xmlns:r="http://schemas.openxmlformats.org/officeDocument/2006/relationships" ref="K85" r:id="rId152"/>
    <hyperlink xmlns:r="http://schemas.openxmlformats.org/officeDocument/2006/relationships" ref="G86" r:id="rId153"/>
    <hyperlink xmlns:r="http://schemas.openxmlformats.org/officeDocument/2006/relationships" ref="K86" r:id="rId154"/>
    <hyperlink xmlns:r="http://schemas.openxmlformats.org/officeDocument/2006/relationships" ref="G87" r:id="rId155"/>
    <hyperlink xmlns:r="http://schemas.openxmlformats.org/officeDocument/2006/relationships" ref="K87" r:id="rId156"/>
    <hyperlink xmlns:r="http://schemas.openxmlformats.org/officeDocument/2006/relationships" ref="G88" r:id="rId157"/>
    <hyperlink xmlns:r="http://schemas.openxmlformats.org/officeDocument/2006/relationships" ref="K88" r:id="rId158"/>
    <hyperlink xmlns:r="http://schemas.openxmlformats.org/officeDocument/2006/relationships" ref="G89" r:id="rId159"/>
    <hyperlink xmlns:r="http://schemas.openxmlformats.org/officeDocument/2006/relationships" ref="J89" r:id="rId160"/>
    <hyperlink xmlns:r="http://schemas.openxmlformats.org/officeDocument/2006/relationships" ref="K89" r:id="rId161"/>
    <hyperlink xmlns:r="http://schemas.openxmlformats.org/officeDocument/2006/relationships" ref="G90" r:id="rId162"/>
    <hyperlink xmlns:r="http://schemas.openxmlformats.org/officeDocument/2006/relationships" ref="K90" r:id="rId163"/>
    <hyperlink xmlns:r="http://schemas.openxmlformats.org/officeDocument/2006/relationships" ref="G91" r:id="rId164"/>
    <hyperlink xmlns:r="http://schemas.openxmlformats.org/officeDocument/2006/relationships" ref="K91" r:id="rId165"/>
    <hyperlink xmlns:r="http://schemas.openxmlformats.org/officeDocument/2006/relationships" ref="G92" r:id="rId166"/>
    <hyperlink xmlns:r="http://schemas.openxmlformats.org/officeDocument/2006/relationships" ref="K92" r:id="rId167"/>
    <hyperlink xmlns:r="http://schemas.openxmlformats.org/officeDocument/2006/relationships" ref="G93" r:id="rId168"/>
    <hyperlink xmlns:r="http://schemas.openxmlformats.org/officeDocument/2006/relationships" ref="K93" r:id="rId169"/>
    <hyperlink xmlns:r="http://schemas.openxmlformats.org/officeDocument/2006/relationships" ref="G94" r:id="rId170"/>
    <hyperlink xmlns:r="http://schemas.openxmlformats.org/officeDocument/2006/relationships" ref="K94" r:id="rId171"/>
    <hyperlink xmlns:r="http://schemas.openxmlformats.org/officeDocument/2006/relationships" ref="G95" r:id="rId172"/>
    <hyperlink xmlns:r="http://schemas.openxmlformats.org/officeDocument/2006/relationships" ref="K95" r:id="rId173"/>
    <hyperlink xmlns:r="http://schemas.openxmlformats.org/officeDocument/2006/relationships" ref="G96" r:id="rId174"/>
    <hyperlink xmlns:r="http://schemas.openxmlformats.org/officeDocument/2006/relationships" ref="K96" r:id="rId175"/>
    <hyperlink xmlns:r="http://schemas.openxmlformats.org/officeDocument/2006/relationships" ref="G97" r:id="rId176"/>
    <hyperlink xmlns:r="http://schemas.openxmlformats.org/officeDocument/2006/relationships" ref="K97" r:id="rId177"/>
    <hyperlink xmlns:r="http://schemas.openxmlformats.org/officeDocument/2006/relationships" ref="G98" r:id="rId178"/>
    <hyperlink xmlns:r="http://schemas.openxmlformats.org/officeDocument/2006/relationships" ref="H99" r:id="rId179"/>
    <hyperlink xmlns:r="http://schemas.openxmlformats.org/officeDocument/2006/relationships" ref="G100" r:id="rId180"/>
    <hyperlink xmlns:r="http://schemas.openxmlformats.org/officeDocument/2006/relationships" ref="K100" r:id="rId181"/>
    <hyperlink xmlns:r="http://schemas.openxmlformats.org/officeDocument/2006/relationships" ref="G101" r:id="rId182"/>
    <hyperlink xmlns:r="http://schemas.openxmlformats.org/officeDocument/2006/relationships" ref="G102" r:id="rId183"/>
    <hyperlink xmlns:r="http://schemas.openxmlformats.org/officeDocument/2006/relationships" ref="G103" r:id="rId184"/>
    <hyperlink xmlns:r="http://schemas.openxmlformats.org/officeDocument/2006/relationships" ref="G104" r:id="rId185"/>
    <hyperlink xmlns:r="http://schemas.openxmlformats.org/officeDocument/2006/relationships" ref="K104" r:id="rId186"/>
    <hyperlink xmlns:r="http://schemas.openxmlformats.org/officeDocument/2006/relationships" ref="G105" r:id="rId187"/>
    <hyperlink xmlns:r="http://schemas.openxmlformats.org/officeDocument/2006/relationships" ref="K105" r:id="rId188"/>
    <hyperlink xmlns:r="http://schemas.openxmlformats.org/officeDocument/2006/relationships" ref="G106" r:id="rId189"/>
    <hyperlink xmlns:r="http://schemas.openxmlformats.org/officeDocument/2006/relationships" ref="K106" r:id="rId190"/>
    <hyperlink xmlns:r="http://schemas.openxmlformats.org/officeDocument/2006/relationships" ref="G107" r:id="rId191"/>
    <hyperlink xmlns:r="http://schemas.openxmlformats.org/officeDocument/2006/relationships" ref="G108" r:id="rId192"/>
    <hyperlink xmlns:r="http://schemas.openxmlformats.org/officeDocument/2006/relationships" ref="G109" r:id="rId193"/>
    <hyperlink xmlns:r="http://schemas.openxmlformats.org/officeDocument/2006/relationships" ref="G110" r:id="rId194"/>
    <hyperlink xmlns:r="http://schemas.openxmlformats.org/officeDocument/2006/relationships" ref="K110" r:id="rId195"/>
    <hyperlink xmlns:r="http://schemas.openxmlformats.org/officeDocument/2006/relationships" ref="G111" r:id="rId196"/>
    <hyperlink xmlns:r="http://schemas.openxmlformats.org/officeDocument/2006/relationships" ref="K111" r:id="rId197"/>
    <hyperlink xmlns:r="http://schemas.openxmlformats.org/officeDocument/2006/relationships" ref="G112" r:id="rId198"/>
    <hyperlink xmlns:r="http://schemas.openxmlformats.org/officeDocument/2006/relationships" ref="K112" r:id="rId199"/>
    <hyperlink xmlns:r="http://schemas.openxmlformats.org/officeDocument/2006/relationships" ref="G113" r:id="rId200"/>
    <hyperlink xmlns:r="http://schemas.openxmlformats.org/officeDocument/2006/relationships" ref="K113" r:id="rId201"/>
    <hyperlink xmlns:r="http://schemas.openxmlformats.org/officeDocument/2006/relationships" ref="G114" r:id="rId202"/>
    <hyperlink xmlns:r="http://schemas.openxmlformats.org/officeDocument/2006/relationships" ref="K114" r:id="rId203"/>
    <hyperlink xmlns:r="http://schemas.openxmlformats.org/officeDocument/2006/relationships" ref="G115" r:id="rId204"/>
    <hyperlink xmlns:r="http://schemas.openxmlformats.org/officeDocument/2006/relationships" ref="K115" r:id="rId205"/>
    <hyperlink xmlns:r="http://schemas.openxmlformats.org/officeDocument/2006/relationships" ref="G116" r:id="rId206"/>
    <hyperlink xmlns:r="http://schemas.openxmlformats.org/officeDocument/2006/relationships" ref="K116" r:id="rId207"/>
    <hyperlink xmlns:r="http://schemas.openxmlformats.org/officeDocument/2006/relationships" ref="G117" r:id="rId208"/>
    <hyperlink xmlns:r="http://schemas.openxmlformats.org/officeDocument/2006/relationships" ref="K117" r:id="rId209"/>
    <hyperlink xmlns:r="http://schemas.openxmlformats.org/officeDocument/2006/relationships" ref="G118" r:id="rId210"/>
    <hyperlink xmlns:r="http://schemas.openxmlformats.org/officeDocument/2006/relationships" ref="K118" r:id="rId211"/>
    <hyperlink xmlns:r="http://schemas.openxmlformats.org/officeDocument/2006/relationships" ref="G119" r:id="rId212"/>
    <hyperlink xmlns:r="http://schemas.openxmlformats.org/officeDocument/2006/relationships" ref="K119" r:id="rId213"/>
    <hyperlink xmlns:r="http://schemas.openxmlformats.org/officeDocument/2006/relationships" ref="G120" r:id="rId214"/>
    <hyperlink xmlns:r="http://schemas.openxmlformats.org/officeDocument/2006/relationships" ref="K120" r:id="rId215"/>
    <hyperlink xmlns:r="http://schemas.openxmlformats.org/officeDocument/2006/relationships" ref="G121" r:id="rId216"/>
    <hyperlink xmlns:r="http://schemas.openxmlformats.org/officeDocument/2006/relationships" ref="K121" r:id="rId217"/>
    <hyperlink xmlns:r="http://schemas.openxmlformats.org/officeDocument/2006/relationships" ref="G122" r:id="rId218"/>
    <hyperlink xmlns:r="http://schemas.openxmlformats.org/officeDocument/2006/relationships" ref="K122" r:id="rId219"/>
    <hyperlink xmlns:r="http://schemas.openxmlformats.org/officeDocument/2006/relationships" ref="G123" r:id="rId220"/>
    <hyperlink xmlns:r="http://schemas.openxmlformats.org/officeDocument/2006/relationships" ref="K123" r:id="rId221"/>
    <hyperlink xmlns:r="http://schemas.openxmlformats.org/officeDocument/2006/relationships" ref="G124" r:id="rId222"/>
    <hyperlink xmlns:r="http://schemas.openxmlformats.org/officeDocument/2006/relationships" ref="K124" r:id="rId223"/>
    <hyperlink xmlns:r="http://schemas.openxmlformats.org/officeDocument/2006/relationships" ref="G125" r:id="rId224"/>
    <hyperlink xmlns:r="http://schemas.openxmlformats.org/officeDocument/2006/relationships" ref="K125" r:id="rId225"/>
    <hyperlink xmlns:r="http://schemas.openxmlformats.org/officeDocument/2006/relationships" ref="G126" r:id="rId226"/>
    <hyperlink xmlns:r="http://schemas.openxmlformats.org/officeDocument/2006/relationships" ref="K126" r:id="rId227"/>
    <hyperlink xmlns:r="http://schemas.openxmlformats.org/officeDocument/2006/relationships" ref="G127" r:id="rId228"/>
    <hyperlink xmlns:r="http://schemas.openxmlformats.org/officeDocument/2006/relationships" ref="K127" r:id="rId229"/>
    <hyperlink xmlns:r="http://schemas.openxmlformats.org/officeDocument/2006/relationships" ref="G128" r:id="rId230"/>
    <hyperlink xmlns:r="http://schemas.openxmlformats.org/officeDocument/2006/relationships" ref="K128" r:id="rId231"/>
    <hyperlink xmlns:r="http://schemas.openxmlformats.org/officeDocument/2006/relationships" ref="G129" r:id="rId232"/>
    <hyperlink xmlns:r="http://schemas.openxmlformats.org/officeDocument/2006/relationships" ref="K129" r:id="rId233"/>
    <hyperlink xmlns:r="http://schemas.openxmlformats.org/officeDocument/2006/relationships" ref="G130" r:id="rId234"/>
    <hyperlink xmlns:r="http://schemas.openxmlformats.org/officeDocument/2006/relationships" ref="K130" r:id="rId235"/>
    <hyperlink xmlns:r="http://schemas.openxmlformats.org/officeDocument/2006/relationships" ref="G131" r:id="rId236"/>
    <hyperlink xmlns:r="http://schemas.openxmlformats.org/officeDocument/2006/relationships" ref="K131" r:id="rId237"/>
    <hyperlink xmlns:r="http://schemas.openxmlformats.org/officeDocument/2006/relationships" ref="G132" r:id="rId238"/>
    <hyperlink xmlns:r="http://schemas.openxmlformats.org/officeDocument/2006/relationships" ref="K132" r:id="rId239"/>
    <hyperlink xmlns:r="http://schemas.openxmlformats.org/officeDocument/2006/relationships" ref="G133" r:id="rId240"/>
    <hyperlink xmlns:r="http://schemas.openxmlformats.org/officeDocument/2006/relationships" ref="K133" r:id="rId241"/>
    <hyperlink xmlns:r="http://schemas.openxmlformats.org/officeDocument/2006/relationships" ref="G134" r:id="rId242"/>
    <hyperlink xmlns:r="http://schemas.openxmlformats.org/officeDocument/2006/relationships" ref="K134" r:id="rId243"/>
    <hyperlink xmlns:r="http://schemas.openxmlformats.org/officeDocument/2006/relationships" ref="G135" r:id="rId244"/>
    <hyperlink xmlns:r="http://schemas.openxmlformats.org/officeDocument/2006/relationships" ref="K135" r:id="rId245"/>
    <hyperlink xmlns:r="http://schemas.openxmlformats.org/officeDocument/2006/relationships" ref="G136" r:id="rId246"/>
    <hyperlink xmlns:r="http://schemas.openxmlformats.org/officeDocument/2006/relationships" ref="K136" r:id="rId247"/>
    <hyperlink xmlns:r="http://schemas.openxmlformats.org/officeDocument/2006/relationships" ref="G137" r:id="rId248"/>
    <hyperlink xmlns:r="http://schemas.openxmlformats.org/officeDocument/2006/relationships" ref="K137" r:id="rId249"/>
    <hyperlink xmlns:r="http://schemas.openxmlformats.org/officeDocument/2006/relationships" ref="G138" r:id="rId250"/>
    <hyperlink xmlns:r="http://schemas.openxmlformats.org/officeDocument/2006/relationships" ref="G139" r:id="rId251"/>
    <hyperlink xmlns:r="http://schemas.openxmlformats.org/officeDocument/2006/relationships" ref="K139" r:id="rId252"/>
    <hyperlink xmlns:r="http://schemas.openxmlformats.org/officeDocument/2006/relationships" ref="G140" r:id="rId253"/>
    <hyperlink xmlns:r="http://schemas.openxmlformats.org/officeDocument/2006/relationships" ref="K140" r:id="rId254"/>
    <hyperlink xmlns:r="http://schemas.openxmlformats.org/officeDocument/2006/relationships" ref="G141" r:id="rId255"/>
    <hyperlink xmlns:r="http://schemas.openxmlformats.org/officeDocument/2006/relationships" ref="K141" r:id="rId256"/>
  </hyperlinks>
  <pageMargins left="0.75" right="0.75" top="1" bottom="1" header="0" footer="0"/>
  <pageSetup orientation="landscape"/>
  <tableParts count="1">
    <tablePart xmlns:r="http://schemas.openxmlformats.org/officeDocument/2006/relationships" r:id="rId25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710000000000001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 ht="30" customHeight="1" s="182">
      <c r="A2" s="124" t="inlineStr">
        <is>
          <t>Brasil</t>
        </is>
      </c>
      <c r="B2" s="124" t="inlineStr">
        <is>
          <t>Universidades públicas</t>
        </is>
      </c>
      <c r="C2" s="124" t="inlineStr">
        <is>
          <t>Federal</t>
        </is>
      </c>
      <c r="D2" s="124" t="inlineStr">
        <is>
          <t>Universidade de Brasília (UnB)</t>
        </is>
      </c>
      <c r="E2" s="73" t="n"/>
      <c r="F2" s="124" t="inlineStr">
        <is>
          <t>Vicerectoria</t>
        </is>
      </c>
      <c r="G2" s="49" t="inlineStr">
        <is>
          <t>https://unb.br</t>
        </is>
      </c>
      <c r="H2" s="124" t="inlineStr">
        <is>
          <t xml:space="preserve">Márcio Muniz de Faria </t>
        </is>
      </c>
      <c r="I2" s="126" t="inlineStr">
        <is>
          <t xml:space="preserve"> 55 61 3107-0228</t>
        </is>
      </c>
      <c r="J2" s="124" t="inlineStr">
        <is>
          <t>agendavrt@unb.br</t>
        </is>
      </c>
      <c r="K2" s="18" t="inlineStr">
        <is>
          <t>https://unb.br/administrativo/vice-reitoria/2-publicacoes/579-equipe</t>
        </is>
      </c>
      <c r="L2" s="51" t="inlineStr">
        <is>
          <t>CONFIRMADO</t>
        </is>
      </c>
      <c r="M2" s="30" t="n"/>
    </row>
    <row r="3" ht="30" customHeight="1" s="182">
      <c r="A3" s="124" t="inlineStr">
        <is>
          <t>Brasil</t>
        </is>
      </c>
      <c r="B3" s="124" t="inlineStr">
        <is>
          <t>Universidades públicas</t>
        </is>
      </c>
      <c r="C3" s="124" t="inlineStr">
        <is>
          <t>Federal</t>
        </is>
      </c>
      <c r="D3" s="124" t="inlineStr">
        <is>
          <t>Universidade Federal de Goiás (UFG)</t>
        </is>
      </c>
      <c r="E3" s="73" t="n"/>
      <c r="F3" s="124" t="inlineStr">
        <is>
          <t>Vicrectoria</t>
        </is>
      </c>
      <c r="G3" s="49" t="inlineStr">
        <is>
          <t>https://www.ufg.br</t>
        </is>
      </c>
      <c r="H3" s="124" t="inlineStr">
        <is>
          <t>Camila Cardoso Caixeta</t>
        </is>
      </c>
      <c r="I3" s="126" t="inlineStr">
        <is>
          <t xml:space="preserve"> (62) 3521-1063/ 3521-1146</t>
        </is>
      </c>
      <c r="J3" s="124" t="inlineStr">
        <is>
          <t>gabinete.reitoria@ufg.br / secretaria.reitoria@ufg.br</t>
        </is>
      </c>
      <c r="K3" s="18" t="inlineStr">
        <is>
          <t>https://ufg.br/p/62693-gestao</t>
        </is>
      </c>
      <c r="L3" s="51" t="inlineStr">
        <is>
          <t>CONFIRMADO</t>
        </is>
      </c>
      <c r="M3" s="30" t="n"/>
    </row>
    <row r="4" ht="30" customHeight="1" s="182">
      <c r="A4" s="124" t="inlineStr">
        <is>
          <t>Brasil</t>
        </is>
      </c>
      <c r="B4" s="124" t="inlineStr">
        <is>
          <t>Universidades públicas</t>
        </is>
      </c>
      <c r="C4" s="124" t="inlineStr">
        <is>
          <t>Federal</t>
        </is>
      </c>
      <c r="D4" s="124" t="inlineStr">
        <is>
          <t>Universidade Federal de Mato Grosso (UFMT)</t>
        </is>
      </c>
      <c r="E4" s="73" t="n"/>
      <c r="F4" s="124" t="inlineStr">
        <is>
          <t>no disponible</t>
        </is>
      </c>
      <c r="G4" s="49" t="inlineStr">
        <is>
          <t>https://www.ufmt.br</t>
        </is>
      </c>
      <c r="H4" s="124" t="inlineStr">
        <is>
          <t>No disponible públicamente</t>
        </is>
      </c>
      <c r="I4" s="126" t="inlineStr">
        <is>
          <t>no disponible publicamente</t>
        </is>
      </c>
      <c r="J4" s="124" t="inlineStr">
        <is>
          <t>no disponible publicamente</t>
        </is>
      </c>
      <c r="K4" s="73" t="n"/>
      <c r="L4" s="188" t="inlineStr">
        <is>
          <t>PENDIENTE</t>
        </is>
      </c>
      <c r="M4" s="30" t="inlineStr">
        <is>
          <t>Pagina caida</t>
        </is>
      </c>
    </row>
    <row r="5" ht="30" customHeight="1" s="182">
      <c r="A5" s="124" t="inlineStr">
        <is>
          <t>Brasil</t>
        </is>
      </c>
      <c r="B5" s="124" t="inlineStr">
        <is>
          <t>Universidades públicas</t>
        </is>
      </c>
      <c r="C5" s="124" t="inlineStr">
        <is>
          <t>Federal</t>
        </is>
      </c>
      <c r="D5" s="124" t="inlineStr">
        <is>
          <t>Universidade Federal de Mato Grosso do Sul (UFMS)</t>
        </is>
      </c>
      <c r="E5" s="73" t="n"/>
      <c r="F5" s="124" t="inlineStr">
        <is>
          <t>Vicerectoria</t>
        </is>
      </c>
      <c r="G5" s="52" t="inlineStr">
        <is>
          <t>https://www.ufms.br</t>
        </is>
      </c>
      <c r="H5" s="124" t="inlineStr">
        <is>
          <t>Albert Schiaveto de Souza</t>
        </is>
      </c>
      <c r="I5" s="126" t="inlineStr">
        <is>
          <t>(67) 3345-7000</t>
        </is>
      </c>
      <c r="J5" s="124" t="inlineStr">
        <is>
          <t>reitoria@ufms.br</t>
        </is>
      </c>
      <c r="K5" s="18" t="inlineStr">
        <is>
          <t>https://www.ufms.br</t>
        </is>
      </c>
      <c r="L5" s="51" t="inlineStr">
        <is>
          <t>CONFIRMADO</t>
        </is>
      </c>
      <c r="M5" s="30" t="n"/>
    </row>
    <row r="6" ht="30" customHeight="1" s="182">
      <c r="A6" s="124" t="inlineStr">
        <is>
          <t>Brasil</t>
        </is>
      </c>
      <c r="B6" s="124" t="inlineStr">
        <is>
          <t>Universidades públicas</t>
        </is>
      </c>
      <c r="C6" s="124" t="inlineStr">
        <is>
          <t>Federal</t>
        </is>
      </c>
      <c r="D6" s="124" t="inlineStr">
        <is>
          <t>Universidade Federal da Grande Dourados (UFGD)</t>
        </is>
      </c>
      <c r="E6" s="73" t="n"/>
      <c r="F6" s="124" t="inlineStr">
        <is>
          <t>Secretaria dos Órgãos Colegiados</t>
        </is>
      </c>
      <c r="G6" s="52" t="inlineStr">
        <is>
          <t>https://portal.ufgd.edu.br</t>
        </is>
      </c>
      <c r="H6" s="124" t="inlineStr">
        <is>
          <t>Giovana Passos de Moraes Lopes</t>
        </is>
      </c>
      <c r="I6" s="126" t="inlineStr">
        <is>
          <t xml:space="preserve"> (67) 3410-2712 </t>
        </is>
      </c>
      <c r="J6" s="124" t="inlineStr">
        <is>
          <t>soc@ufgd.edu.br</t>
        </is>
      </c>
      <c r="K6" s="18" t="inlineStr">
        <is>
          <t>https://portal.ufgd.edu.br</t>
        </is>
      </c>
      <c r="L6" s="51" t="inlineStr">
        <is>
          <t>CONFIRMADO</t>
        </is>
      </c>
      <c r="M6" s="30" t="n"/>
    </row>
    <row r="7" ht="30" customHeight="1" s="182">
      <c r="A7" s="124" t="inlineStr">
        <is>
          <t>Brasil</t>
        </is>
      </c>
      <c r="B7" s="124" t="inlineStr">
        <is>
          <t>Universidades públicas</t>
        </is>
      </c>
      <c r="C7" s="124" t="inlineStr">
        <is>
          <t>Federal</t>
        </is>
      </c>
      <c r="D7" s="124" t="inlineStr">
        <is>
          <t>Universidade Federal de Catalão (UFCAT)</t>
        </is>
      </c>
      <c r="E7" s="73" t="n"/>
      <c r="F7" s="124" t="inlineStr">
        <is>
          <t>Secretaria dos Órgãos Colegiados</t>
        </is>
      </c>
      <c r="G7" s="52" t="inlineStr">
        <is>
          <t>https://ufcat.edu.br</t>
        </is>
      </c>
      <c r="H7" s="124" t="inlineStr">
        <is>
          <t>No disponible públicamente</t>
        </is>
      </c>
      <c r="I7" s="126" t="inlineStr">
        <is>
          <t>(64) 3441-5361</t>
        </is>
      </c>
      <c r="J7" s="124" t="inlineStr">
        <is>
          <t>soc@ufcat.edu.br</t>
        </is>
      </c>
      <c r="K7" s="18" t="inlineStr">
        <is>
          <t>https://ufcat.edu.br</t>
        </is>
      </c>
      <c r="L7" s="51" t="inlineStr">
        <is>
          <t>CONFIRMADO</t>
        </is>
      </c>
      <c r="M7" s="30" t="n"/>
    </row>
    <row r="8" ht="30" customHeight="1" s="182">
      <c r="A8" s="124" t="inlineStr">
        <is>
          <t>Brasil</t>
        </is>
      </c>
      <c r="B8" s="124" t="inlineStr">
        <is>
          <t>Universidades públicas</t>
        </is>
      </c>
      <c r="C8" s="124" t="inlineStr">
        <is>
          <t>Federal</t>
        </is>
      </c>
      <c r="D8" s="124" t="inlineStr">
        <is>
          <t>Universidade Federal de Jataí (UFJ)</t>
        </is>
      </c>
      <c r="E8" s="73" t="n"/>
      <c r="F8" s="124" t="inlineStr">
        <is>
          <t>Secretaria dos Órgãos Colegiados</t>
        </is>
      </c>
      <c r="G8" s="53" t="inlineStr">
        <is>
          <t>https://ufj.edu.br</t>
        </is>
      </c>
      <c r="H8" s="124" t="inlineStr">
        <is>
          <t>Marinalva Oliveira Teixeira</t>
        </is>
      </c>
      <c r="I8" s="126" t="inlineStr">
        <is>
          <t>(64) 3606 8203</t>
        </is>
      </c>
      <c r="J8" s="54" t="inlineStr">
        <is>
          <t>secretaria.executiva@ufj.edu.br</t>
        </is>
      </c>
      <c r="K8" s="18" t="inlineStr">
        <is>
          <t>https://ufj.edu.br</t>
        </is>
      </c>
      <c r="L8" s="51" t="inlineStr">
        <is>
          <t>CORREGIDO</t>
        </is>
      </c>
      <c r="M8" s="30" t="n"/>
    </row>
    <row r="9" ht="30" customHeight="1" s="182">
      <c r="A9" s="124" t="inlineStr">
        <is>
          <t>Brasil</t>
        </is>
      </c>
      <c r="B9" s="124" t="inlineStr">
        <is>
          <t>Universidades públicas</t>
        </is>
      </c>
      <c r="C9" s="124" t="inlineStr">
        <is>
          <t>Federal</t>
        </is>
      </c>
      <c r="D9" s="124" t="inlineStr">
        <is>
          <t>Universidade Federal de Rondonópolis (UFR)</t>
        </is>
      </c>
      <c r="E9" s="73" t="n"/>
      <c r="F9" s="124" t="inlineStr">
        <is>
          <t>Secretaria dos Órgãos Colegiados</t>
        </is>
      </c>
      <c r="G9" s="52" t="inlineStr">
        <is>
          <t>https://ufr.edu.br</t>
        </is>
      </c>
      <c r="H9" s="124" t="inlineStr">
        <is>
          <t>No disponible públicamente</t>
        </is>
      </c>
      <c r="I9" s="126" t="inlineStr">
        <is>
          <t>3410-4084</t>
        </is>
      </c>
      <c r="J9" s="124" t="inlineStr">
        <is>
          <t>secretaria.reitoria@ufr.edu.br</t>
        </is>
      </c>
      <c r="K9" s="36" t="inlineStr">
        <is>
          <t>https://ufr.edu.br</t>
        </is>
      </c>
      <c r="L9" s="51" t="inlineStr">
        <is>
          <t>CORREGIDO</t>
        </is>
      </c>
      <c r="M9" s="30" t="n"/>
    </row>
    <row r="10" ht="30" customHeight="1" s="182">
      <c r="A10" s="124" t="inlineStr">
        <is>
          <t>Brasil</t>
        </is>
      </c>
      <c r="B10" s="124" t="inlineStr">
        <is>
          <t>Universidades públicas</t>
        </is>
      </c>
      <c r="C10" s="124" t="inlineStr">
        <is>
          <t>Federal</t>
        </is>
      </c>
      <c r="D10" s="124" t="inlineStr">
        <is>
          <t>Universidade Federal da Bahia (UFBA)</t>
        </is>
      </c>
      <c r="E10" s="73" t="n"/>
      <c r="F10" s="124" t="inlineStr">
        <is>
          <t>Vicerectoria</t>
        </is>
      </c>
      <c r="G10" s="49" t="inlineStr">
        <is>
          <t>https://www.ufba.br</t>
        </is>
      </c>
      <c r="H10" s="124" t="inlineStr">
        <is>
          <t>Jamile Borges da Silva</t>
        </is>
      </c>
      <c r="I10" s="126" t="inlineStr">
        <is>
          <t>55 71 3283-7073</t>
        </is>
      </c>
      <c r="J10" s="124" t="inlineStr">
        <is>
          <t>v.reitor@ufba.br</t>
        </is>
      </c>
      <c r="K10" s="18" t="inlineStr">
        <is>
          <t>https://ufba.br/reitoria</t>
        </is>
      </c>
      <c r="L10" s="51" t="inlineStr">
        <is>
          <t>CORREGIDO</t>
        </is>
      </c>
      <c r="M10" s="30" t="n"/>
    </row>
    <row r="11" ht="30" customHeight="1" s="182">
      <c r="A11" s="124" t="inlineStr">
        <is>
          <t>Brasil</t>
        </is>
      </c>
      <c r="B11" s="124" t="inlineStr">
        <is>
          <t>Universidades públicas</t>
        </is>
      </c>
      <c r="C11" s="124" t="inlineStr">
        <is>
          <t>Federal</t>
        </is>
      </c>
      <c r="D11" s="124" t="inlineStr">
        <is>
          <t>Universidade Federal do Recôncavo da Bahia (UFRB)</t>
        </is>
      </c>
      <c r="E11" s="73" t="n"/>
      <c r="F11" s="124" t="inlineStr">
        <is>
          <t>Vicerectoria</t>
        </is>
      </c>
      <c r="G11" s="49" t="inlineStr">
        <is>
          <t>https://ufrb.edu.br</t>
        </is>
      </c>
      <c r="H11" s="124" t="inlineStr">
        <is>
          <t>Fábio Josué Souza dos Santos</t>
        </is>
      </c>
      <c r="I11" s="126" t="inlineStr">
        <is>
          <t>(75) 3621-9341</t>
        </is>
      </c>
      <c r="J11" s="124" t="inlineStr">
        <is>
          <t>vice@reitoria.ufrb.edu.br</t>
        </is>
      </c>
      <c r="K11" s="18" t="inlineStr">
        <is>
          <t>https://ufrb.edu.br/reitoria/vice-reitoria</t>
        </is>
      </c>
      <c r="L11" s="51" t="inlineStr">
        <is>
          <t>CONFIRMADO</t>
        </is>
      </c>
      <c r="M11" s="30" t="n"/>
    </row>
    <row r="12" ht="30" customHeight="1" s="182">
      <c r="A12" s="124" t="inlineStr">
        <is>
          <t>Brasil</t>
        </is>
      </c>
      <c r="B12" s="124" t="inlineStr">
        <is>
          <t>Universidades públicas</t>
        </is>
      </c>
      <c r="C12" s="124" t="inlineStr">
        <is>
          <t>Federal</t>
        </is>
      </c>
      <c r="D12" s="124" t="inlineStr">
        <is>
          <t>Universidade Federal do Sul da Bahia (UFSB)</t>
        </is>
      </c>
      <c r="E12" s="73" t="n"/>
      <c r="F12" s="124" t="inlineStr">
        <is>
          <t>Vicerectoria</t>
        </is>
      </c>
      <c r="G12" s="49" t="inlineStr">
        <is>
          <t>https://ufsb.edu.br</t>
        </is>
      </c>
      <c r="H12" s="124" t="inlineStr">
        <is>
          <t>Caroline Rezende Caputo</t>
        </is>
      </c>
      <c r="I12" s="126" t="inlineStr">
        <is>
          <t>(73) 2103-8402</t>
        </is>
      </c>
      <c r="J12" s="124" t="inlineStr">
        <is>
          <t>vicereitoria@ufsb.edu.br</t>
        </is>
      </c>
      <c r="K12" s="18" t="inlineStr">
        <is>
          <t>https://ufsb.edu.br/a-ufsb/reitoria/equipe-reitoria</t>
        </is>
      </c>
      <c r="L12" s="51" t="inlineStr">
        <is>
          <t>CORREGIDO</t>
        </is>
      </c>
      <c r="M12" s="30" t="n"/>
    </row>
    <row r="13" ht="30" customHeight="1" s="182">
      <c r="A13" s="124" t="inlineStr">
        <is>
          <t>Brasil</t>
        </is>
      </c>
      <c r="B13" s="124" t="inlineStr">
        <is>
          <t>Universidades públicas</t>
        </is>
      </c>
      <c r="C13" s="124" t="inlineStr">
        <is>
          <t>Federal</t>
        </is>
      </c>
      <c r="D13" s="124" t="inlineStr">
        <is>
          <t>Universidade Federal do Oeste da Bahia (UFOB)</t>
        </is>
      </c>
      <c r="E13" s="73" t="n"/>
      <c r="F13" s="124" t="inlineStr">
        <is>
          <t>Vicerectoria</t>
        </is>
      </c>
      <c r="G13" s="49" t="inlineStr">
        <is>
          <t>https://ufob.edu.br</t>
        </is>
      </c>
      <c r="H13" s="124" t="inlineStr">
        <is>
          <t>Antonio Oliveira de Souza</t>
        </is>
      </c>
      <c r="I13" s="126" t="inlineStr">
        <is>
          <t>no disponible publicamente</t>
        </is>
      </c>
      <c r="J13" s="124" t="inlineStr">
        <is>
          <t>vicereitoria@ufob.edu.br</t>
        </is>
      </c>
      <c r="K13" s="18" t="inlineStr">
        <is>
          <t>https://ufob.edu.br/a-ufob/estrutura/reitoria</t>
        </is>
      </c>
      <c r="L13" s="51" t="inlineStr">
        <is>
          <t>CONFIRMADO</t>
        </is>
      </c>
      <c r="M13" s="30" t="n"/>
    </row>
    <row r="14" ht="30" customHeight="1" s="182">
      <c r="A14" s="124" t="inlineStr">
        <is>
          <t>Brasil</t>
        </is>
      </c>
      <c r="B14" s="124" t="inlineStr">
        <is>
          <t>Universidades públicas</t>
        </is>
      </c>
      <c r="C14" s="124" t="inlineStr">
        <is>
          <t>Federal</t>
        </is>
      </c>
      <c r="D14" s="124" t="inlineStr">
        <is>
          <t>Universidade Federal do Ceará (UFC)</t>
        </is>
      </c>
      <c r="E14" s="73" t="n"/>
      <c r="F14" s="124" t="inlineStr">
        <is>
          <t>Vicerectoria</t>
        </is>
      </c>
      <c r="G14" s="49" t="inlineStr">
        <is>
          <t>https://www.ufc.br</t>
        </is>
      </c>
      <c r="H14" s="124" t="inlineStr">
        <is>
          <t>Diana Azevedo</t>
        </is>
      </c>
      <c r="I14" s="126" t="inlineStr">
        <is>
          <t xml:space="preserve">(85) 3366 7305 </t>
        </is>
      </c>
      <c r="J14" s="203" t="inlineStr">
        <is>
          <t>greitor@ufc.br / daagr@ufc.br</t>
        </is>
      </c>
      <c r="K14" s="18" t="inlineStr">
        <is>
          <t>https://reitoria.ufc.br/pt/contatos-reitoria</t>
        </is>
      </c>
      <c r="L14" s="51" t="inlineStr">
        <is>
          <t>CORREGIDO</t>
        </is>
      </c>
      <c r="M14" s="30" t="n"/>
    </row>
    <row r="15" ht="30" customHeight="1" s="182">
      <c r="A15" s="124" t="inlineStr">
        <is>
          <t>Brasil</t>
        </is>
      </c>
      <c r="B15" s="124" t="inlineStr">
        <is>
          <t>Universidades públicas</t>
        </is>
      </c>
      <c r="C15" s="124" t="inlineStr">
        <is>
          <t>Federal</t>
        </is>
      </c>
      <c r="D15" s="124" t="inlineStr">
        <is>
          <t>Universidade Federal do Cariri (UFCA)</t>
        </is>
      </c>
      <c r="E15" s="73" t="n"/>
      <c r="F15" s="124" t="inlineStr">
        <is>
          <t>Vicerectoria</t>
        </is>
      </c>
      <c r="G15" s="49" t="inlineStr">
        <is>
          <t>https://www.ufca.edu.br</t>
        </is>
      </c>
      <c r="H15" s="60" t="inlineStr">
        <is>
          <t>Ledjane Lima Sobrinho</t>
        </is>
      </c>
      <c r="I15" s="126" t="inlineStr">
        <is>
          <t>(88) 3221-9214</t>
        </is>
      </c>
      <c r="J15" s="61" t="inlineStr">
        <is>
          <t>vice.reitoria@ufca.edu.br</t>
        </is>
      </c>
      <c r="K15" s="18" t="inlineStr">
        <is>
          <t>https://www.ufca.edu.br/instituicao/administrativo/estrutura-organizacional/reitoria/</t>
        </is>
      </c>
      <c r="L15" s="51" t="inlineStr">
        <is>
          <t>CONFIRMADO</t>
        </is>
      </c>
      <c r="M15" s="30" t="n"/>
    </row>
    <row r="16" ht="30" customHeight="1" s="182">
      <c r="A16" s="124" t="inlineStr">
        <is>
          <t>Brasil</t>
        </is>
      </c>
      <c r="B16" s="124" t="inlineStr">
        <is>
          <t>Universidades públicas</t>
        </is>
      </c>
      <c r="C16" s="124" t="inlineStr">
        <is>
          <t>Federal</t>
        </is>
      </c>
      <c r="D16" s="124" t="inlineStr">
        <is>
          <t>Universidade da Integração Internacional da Lusofonia Afro-Brasileira (UNILAB)</t>
        </is>
      </c>
      <c r="E16" s="73" t="n"/>
      <c r="F16" s="124" t="inlineStr">
        <is>
          <t>Rectoria</t>
        </is>
      </c>
      <c r="G16" s="49" t="inlineStr">
        <is>
          <t>https://unilab.edu.br</t>
        </is>
      </c>
      <c r="H16" s="124" t="inlineStr">
        <is>
          <t>ROQUE DO NASCIMENTO ALBUQUERQUE</t>
        </is>
      </c>
      <c r="I16" s="126" t="inlineStr">
        <is>
          <t>no disponible publicamente</t>
        </is>
      </c>
      <c r="J16" s="124" t="inlineStr">
        <is>
          <t>secretariadareitoria@unilab.edu.br</t>
        </is>
      </c>
      <c r="K16" s="18" t="inlineStr">
        <is>
          <t>https://unilab.edu.br/reitoria/</t>
        </is>
      </c>
      <c r="L16" s="51" t="inlineStr">
        <is>
          <t>CONFIRMADO</t>
        </is>
      </c>
      <c r="M16" s="30" t="n"/>
    </row>
    <row r="17" ht="30" customHeight="1" s="182">
      <c r="A17" s="124" t="inlineStr">
        <is>
          <t>Brasil</t>
        </is>
      </c>
      <c r="B17" s="124" t="inlineStr">
        <is>
          <t>Universidades públicas</t>
        </is>
      </c>
      <c r="C17" s="124" t="inlineStr">
        <is>
          <t>Federal</t>
        </is>
      </c>
      <c r="D17" s="124" t="inlineStr">
        <is>
          <t>Universidade Federal do Maranhão (UFMA)</t>
        </is>
      </c>
      <c r="E17" s="73" t="n"/>
      <c r="F17" s="124" t="inlineStr">
        <is>
          <t>Rectoria</t>
        </is>
      </c>
      <c r="G17" s="52" t="inlineStr">
        <is>
          <t>https://portalpadrao.ufma.br/site</t>
        </is>
      </c>
      <c r="H17" s="124" t="inlineStr">
        <is>
          <t xml:space="preserve">FERNANDO CARVALHO SILVA
</t>
        </is>
      </c>
      <c r="I17" s="126" t="inlineStr">
        <is>
          <t xml:space="preserve"> (98) 3272-8001 / 8003</t>
        </is>
      </c>
      <c r="J17" s="124" t="inlineStr">
        <is>
          <t>fernando.carvalho@ufma.br</t>
        </is>
      </c>
      <c r="K17" s="33" t="inlineStr">
        <is>
          <t>https://portalpadrao.ufma.br/transparencia/acesso-a-informacao/institucional/estrutura-organizacional-da-ufma-22-08-2025.pdf</t>
        </is>
      </c>
      <c r="L17" s="51" t="inlineStr">
        <is>
          <t>CONFIRMADO</t>
        </is>
      </c>
      <c r="M17" s="30" t="n"/>
    </row>
    <row r="18" ht="30" customHeight="1" s="182">
      <c r="A18" s="124" t="inlineStr">
        <is>
          <t>Brasil</t>
        </is>
      </c>
      <c r="B18" s="124" t="inlineStr">
        <is>
          <t>Universidades públicas</t>
        </is>
      </c>
      <c r="C18" s="124" t="inlineStr">
        <is>
          <t>Federal</t>
        </is>
      </c>
      <c r="D18" s="124" t="inlineStr">
        <is>
          <t>Universidade Federal da Paraíba (UFPB)</t>
        </is>
      </c>
      <c r="E18" s="73" t="n"/>
      <c r="F18" s="124" t="inlineStr">
        <is>
          <t>Secretaria dos Órgãos Colegiados</t>
        </is>
      </c>
      <c r="G18" s="49" t="inlineStr">
        <is>
          <t>https://www.ufpb.br</t>
        </is>
      </c>
      <c r="H18" s="124" t="inlineStr">
        <is>
          <t>Terezinha Domiciano</t>
        </is>
      </c>
      <c r="I18" s="126" t="inlineStr">
        <is>
          <t>(83) 3216 -7150</t>
        </is>
      </c>
      <c r="J18" s="124" t="inlineStr">
        <is>
          <t>gabinete@reitoria.ufpb.br</t>
        </is>
      </c>
      <c r="K18" s="18" t="inlineStr">
        <is>
          <t>https://www.ufpb.br/reitoria/</t>
        </is>
      </c>
      <c r="L18" s="51" t="inlineStr">
        <is>
          <t>CONFIRMADO</t>
        </is>
      </c>
      <c r="M18" s="30" t="n"/>
    </row>
    <row r="19" ht="30" customHeight="1" s="182">
      <c r="A19" s="124" t="inlineStr">
        <is>
          <t>Brasil</t>
        </is>
      </c>
      <c r="B19" s="124" t="inlineStr">
        <is>
          <t>Universidades públicas</t>
        </is>
      </c>
      <c r="C19" s="124" t="inlineStr">
        <is>
          <t>Federal</t>
        </is>
      </c>
      <c r="D19" s="124" t="inlineStr">
        <is>
          <t>Universidade Federal de Campina Grande (UFCG)</t>
        </is>
      </c>
      <c r="E19" s="73" t="n"/>
      <c r="F19" s="124" t="inlineStr">
        <is>
          <t>Servicio de Información al Ciudadano</t>
        </is>
      </c>
      <c r="G19" s="52" t="inlineStr">
        <is>
          <t>https://portal.ufcg.edu.br</t>
        </is>
      </c>
      <c r="H19" s="124" t="inlineStr">
        <is>
          <t>No disponible públicamente</t>
        </is>
      </c>
      <c r="I19" s="126" t="inlineStr">
        <is>
          <t>(83) 2101.1585</t>
        </is>
      </c>
      <c r="J19" s="124" t="inlineStr">
        <is>
          <t>ouvidoria@ufcg.edu.br</t>
        </is>
      </c>
      <c r="K19" s="18" t="inlineStr">
        <is>
          <t>https://portal.ufcg.edu.br</t>
        </is>
      </c>
      <c r="L19" s="188" t="inlineStr">
        <is>
          <t>PENDIENTE</t>
        </is>
      </c>
      <c r="M19" s="30" t="n"/>
    </row>
    <row r="20" ht="30" customHeight="1" s="182">
      <c r="A20" s="124" t="inlineStr">
        <is>
          <t>Brasil</t>
        </is>
      </c>
      <c r="B20" s="124" t="inlineStr">
        <is>
          <t>Universidades públicas</t>
        </is>
      </c>
      <c r="C20" s="124" t="inlineStr">
        <is>
          <t>Federal</t>
        </is>
      </c>
      <c r="D20" s="124" t="inlineStr">
        <is>
          <t>Universidade Federal de Pernambuco (UFPE)</t>
        </is>
      </c>
      <c r="E20" s="73" t="n"/>
      <c r="F20" s="124" t="inlineStr">
        <is>
          <t>Secretaria dos Órgãos Deliberativos</t>
        </is>
      </c>
      <c r="G20" s="52" t="inlineStr">
        <is>
          <t>https://www.ufpe.br</t>
        </is>
      </c>
      <c r="H20" s="124" t="inlineStr">
        <is>
          <t>No disponible públicamente</t>
        </is>
      </c>
      <c r="I20" s="126">
        <f>+55 81 2126-8000</f>
        <v/>
      </c>
      <c r="J20" s="124" t="inlineStr">
        <is>
          <t>sod@ufpe.br</t>
        </is>
      </c>
      <c r="K20" s="73" t="n"/>
      <c r="L20" s="188" t="inlineStr">
        <is>
          <t>PENDIENTE</t>
        </is>
      </c>
      <c r="M20" s="30" t="inlineStr">
        <is>
          <t>pagina caida</t>
        </is>
      </c>
    </row>
    <row r="21" ht="30" customHeight="1" s="182">
      <c r="A21" s="124" t="inlineStr">
        <is>
          <t>Brasil</t>
        </is>
      </c>
      <c r="B21" s="124" t="inlineStr">
        <is>
          <t>Universidades públicas</t>
        </is>
      </c>
      <c r="C21" s="124" t="inlineStr">
        <is>
          <t>Federal</t>
        </is>
      </c>
      <c r="D21" s="124" t="inlineStr">
        <is>
          <t>Universidade Federal Rural de Pernambuco (UFRPE)</t>
        </is>
      </c>
      <c r="E21" s="73" t="n"/>
      <c r="F21" s="124" t="inlineStr">
        <is>
          <t>Vicerectoria</t>
        </is>
      </c>
      <c r="G21" s="52" t="inlineStr">
        <is>
          <t>https://www.ufrpe.br</t>
        </is>
      </c>
      <c r="H21" s="124" t="inlineStr">
        <is>
          <t xml:space="preserve"> Maria do Socorro de Lima Oliveira</t>
        </is>
      </c>
      <c r="I21" s="126" t="n">
        <v>33206023</v>
      </c>
      <c r="J21" s="124" t="inlineStr">
        <is>
          <t>vicereitoria@ufrpe.br</t>
        </is>
      </c>
      <c r="K21" s="18" t="inlineStr">
        <is>
          <t>https://www.ufrpe.br</t>
        </is>
      </c>
      <c r="L21" s="51" t="inlineStr">
        <is>
          <t>CONFIRMADO</t>
        </is>
      </c>
      <c r="M21" s="30" t="n"/>
    </row>
    <row r="22" ht="30" customHeight="1" s="182">
      <c r="A22" s="124" t="inlineStr">
        <is>
          <t>Brasil</t>
        </is>
      </c>
      <c r="B22" s="124" t="inlineStr">
        <is>
          <t>Universidades públicas</t>
        </is>
      </c>
      <c r="C22" s="124" t="inlineStr">
        <is>
          <t>Federal</t>
        </is>
      </c>
      <c r="D22" s="124" t="inlineStr">
        <is>
          <t>Universidade Federal do Agreste de Pernambuco (UFAPE)</t>
        </is>
      </c>
      <c r="E22" s="73" t="n"/>
      <c r="F22" s="124" t="inlineStr">
        <is>
          <t>Vicerectoria</t>
        </is>
      </c>
      <c r="G22" s="52" t="inlineStr">
        <is>
          <t>https://ufape.edu.br</t>
        </is>
      </c>
      <c r="H22" s="124" t="inlineStr">
        <is>
          <t>Mácio Farias de Moura</t>
        </is>
      </c>
      <c r="I22" s="126" t="inlineStr">
        <is>
          <t>(87) 3764-5505</t>
        </is>
      </c>
      <c r="J22" s="124" t="inlineStr">
        <is>
          <t>vice.reitoria@ufape.edu.br</t>
        </is>
      </c>
      <c r="K22" s="18" t="inlineStr">
        <is>
          <t>https://ufape.edu.br</t>
        </is>
      </c>
      <c r="L22" s="51" t="inlineStr">
        <is>
          <t>CONFIRMADO</t>
        </is>
      </c>
      <c r="M22" s="30" t="n"/>
    </row>
    <row r="23" ht="30" customHeight="1" s="182">
      <c r="A23" s="124" t="inlineStr">
        <is>
          <t>Brasil</t>
        </is>
      </c>
      <c r="B23" s="124" t="inlineStr">
        <is>
          <t>Universidades públicas</t>
        </is>
      </c>
      <c r="C23" s="124" t="inlineStr">
        <is>
          <t>Federal</t>
        </is>
      </c>
      <c r="D23" s="124" t="inlineStr">
        <is>
          <t>Universidade Federal do Vale do São Francisco (UNIVASF)</t>
        </is>
      </c>
      <c r="E23" s="73" t="n"/>
      <c r="F23" s="203" t="inlineStr">
        <is>
          <t>Gabinete da Vice-Reitoria</t>
        </is>
      </c>
      <c r="G23" s="49" t="inlineStr">
        <is>
          <t>https://www.univasf.edu.br</t>
        </is>
      </c>
      <c r="H23" s="203" t="inlineStr">
        <is>
          <t>Gabinete da Vice-Reitoria</t>
        </is>
      </c>
      <c r="I23" s="204" t="inlineStr">
        <is>
          <t>+55 87 2101-6705</t>
        </is>
      </c>
      <c r="J23" s="203" t="inlineStr">
        <is>
          <t>vice.reitoria@univasf.edu.br</t>
        </is>
      </c>
      <c r="K23" s="185" t="inlineStr">
        <is>
          <t>https://portais.univasf.edu.br/reitoria/reitoria/gabinete-da-reitoria</t>
        </is>
      </c>
      <c r="L23" s="188" t="inlineStr">
        <is>
          <t>CORREGIDO</t>
        </is>
      </c>
      <c r="M23" s="184" t="inlineStr">
        <is>
          <t>Auditoría 08-oct-2026: Fuente anterior era de la UFAPE.</t>
        </is>
      </c>
    </row>
    <row r="24" ht="30" customHeight="1" s="182">
      <c r="A24" s="124" t="inlineStr">
        <is>
          <t>Brasil</t>
        </is>
      </c>
      <c r="B24" s="124" t="inlineStr">
        <is>
          <t>Universidades públicas</t>
        </is>
      </c>
      <c r="C24" s="124" t="inlineStr">
        <is>
          <t>Federal</t>
        </is>
      </c>
      <c r="D24" s="124" t="inlineStr">
        <is>
          <t>Universidade Federal do Piauí (UFPI)</t>
        </is>
      </c>
      <c r="E24" s="73" t="n"/>
      <c r="F24" s="124" t="inlineStr">
        <is>
          <t>Vicerectoria</t>
        </is>
      </c>
      <c r="G24" s="49" t="inlineStr">
        <is>
          <t>https://ufpi.br</t>
        </is>
      </c>
      <c r="H24" s="124" t="inlineStr">
        <is>
          <t>Edmilson Miranda de Moura</t>
        </is>
      </c>
      <c r="I24" s="126" t="inlineStr">
        <is>
          <t xml:space="preserve"> (86) 3215-5527</t>
        </is>
      </c>
      <c r="J24" s="124" t="inlineStr">
        <is>
          <t>viceretoria@ufpi.edu.br</t>
        </is>
      </c>
      <c r="K24" s="18" t="inlineStr">
        <is>
          <t>https://ufpi.br/vice-reitoria</t>
        </is>
      </c>
      <c r="L24" s="188" t="inlineStr">
        <is>
          <t>CONFIRMADO</t>
        </is>
      </c>
      <c r="M24" s="30" t="n"/>
    </row>
    <row r="25" ht="30" customHeight="1" s="182">
      <c r="A25" s="124" t="inlineStr">
        <is>
          <t>Brasil</t>
        </is>
      </c>
      <c r="B25" s="124" t="inlineStr">
        <is>
          <t>Universidades públicas</t>
        </is>
      </c>
      <c r="C25" s="124" t="inlineStr">
        <is>
          <t>Federal</t>
        </is>
      </c>
      <c r="D25" s="124" t="inlineStr">
        <is>
          <t>Universidade Federal do Delta do Parnaíba (UFDPar)</t>
        </is>
      </c>
      <c r="E25" s="73" t="n"/>
      <c r="F25" s="124" t="inlineStr">
        <is>
          <t>Secretaria dos Órgãos Colegiados</t>
        </is>
      </c>
      <c r="G25" s="49" t="inlineStr">
        <is>
          <t>https://ufdpar.edu.br</t>
        </is>
      </c>
      <c r="H25" s="124" t="inlineStr">
        <is>
          <t>No disponible públicamente</t>
        </is>
      </c>
      <c r="I25" s="126">
        <f>+55 86 3323-5200</f>
        <v/>
      </c>
      <c r="J25" s="124" t="inlineStr">
        <is>
          <t>soc@ufdpar.edu.br</t>
        </is>
      </c>
      <c r="K25" s="73" t="n"/>
      <c r="L25" s="51" t="inlineStr">
        <is>
          <t>PENDIENTE</t>
        </is>
      </c>
      <c r="M25" s="30" t="inlineStr">
        <is>
          <t>pagina caida</t>
        </is>
      </c>
    </row>
    <row r="26" ht="30" customHeight="1" s="182">
      <c r="A26" s="124" t="inlineStr">
        <is>
          <t>Brasil</t>
        </is>
      </c>
      <c r="B26" s="124" t="inlineStr">
        <is>
          <t>Universidades públicas</t>
        </is>
      </c>
      <c r="C26" s="124" t="inlineStr">
        <is>
          <t>Federal</t>
        </is>
      </c>
      <c r="D26" s="124" t="inlineStr">
        <is>
          <t>Universidade Federal do Rio Grande do Norte (UFRN)</t>
        </is>
      </c>
      <c r="E26" s="73" t="n"/>
      <c r="F26" s="124" t="inlineStr">
        <is>
          <t>Vicerectoria</t>
        </is>
      </c>
      <c r="G26" s="49" t="inlineStr">
        <is>
          <t>https://www.ufrn.br</t>
        </is>
      </c>
      <c r="H26" s="124" t="inlineStr">
        <is>
          <t>Henio Ferreira de Miranda</t>
        </is>
      </c>
      <c r="I26" s="126" t="inlineStr">
        <is>
          <t>55 84 3342-2317</t>
        </is>
      </c>
      <c r="J26" s="124" t="inlineStr">
        <is>
          <t>vice-reitor@ufrn.br</t>
        </is>
      </c>
      <c r="K26" s="18" t="inlineStr">
        <is>
          <t>https://acessoainformacao.ufrn.br/institucional/quem-e-quem#reitoria</t>
        </is>
      </c>
      <c r="L26" s="188" t="inlineStr">
        <is>
          <t>CONFIRMADO</t>
        </is>
      </c>
      <c r="M26" s="30" t="n"/>
    </row>
    <row r="27" ht="30" customHeight="1" s="182">
      <c r="A27" s="124" t="inlineStr">
        <is>
          <t>Brasil</t>
        </is>
      </c>
      <c r="B27" s="124" t="inlineStr">
        <is>
          <t>Universidades públicas</t>
        </is>
      </c>
      <c r="C27" s="124" t="inlineStr">
        <is>
          <t>Federal</t>
        </is>
      </c>
      <c r="D27" s="124" t="inlineStr">
        <is>
          <t>Universidade Federal Rural do Semi-Árido (UFERSA)</t>
        </is>
      </c>
      <c r="E27" s="73" t="n"/>
      <c r="F27" s="124" t="inlineStr">
        <is>
          <t>Vicerectoria</t>
        </is>
      </c>
      <c r="G27" s="49" t="inlineStr">
        <is>
          <t>https://ufersa.edu.br</t>
        </is>
      </c>
      <c r="H27" s="124" t="inlineStr">
        <is>
          <t xml:space="preserve"> Dr. Nildo da Silva Dias</t>
        </is>
      </c>
      <c r="I27" s="126" t="inlineStr">
        <is>
          <t xml:space="preserve"> (84) 99803-0705</t>
        </is>
      </c>
      <c r="J27" s="124" t="inlineStr">
        <is>
          <t>vicereitor@ufersa.edu.br</t>
        </is>
      </c>
      <c r="K27" s="18" t="inlineStr">
        <is>
          <t>https://reitoria.ufersa.edu.br/equipe/</t>
        </is>
      </c>
      <c r="L27" s="188" t="inlineStr">
        <is>
          <t>CONFIRMADO</t>
        </is>
      </c>
      <c r="M27" s="30" t="n"/>
    </row>
    <row r="28" ht="30" customHeight="1" s="182">
      <c r="A28" s="124" t="inlineStr">
        <is>
          <t>Brasil</t>
        </is>
      </c>
      <c r="B28" s="124" t="inlineStr">
        <is>
          <t>Universidades públicas</t>
        </is>
      </c>
      <c r="C28" s="124" t="inlineStr">
        <is>
          <t>Federal</t>
        </is>
      </c>
      <c r="D28" s="124" t="inlineStr">
        <is>
          <t>Universidade Federal de Sergipe (UFS)</t>
        </is>
      </c>
      <c r="E28" s="73" t="n"/>
      <c r="F28" s="124" t="inlineStr">
        <is>
          <t>Vicerectoria</t>
        </is>
      </c>
      <c r="G28" s="49" t="inlineStr">
        <is>
          <t>https://www.ufs.br</t>
        </is>
      </c>
      <c r="H28" s="124" t="inlineStr">
        <is>
          <t>Silvana Aparecida Bretas</t>
        </is>
      </c>
      <c r="I28" s="126" t="inlineStr">
        <is>
          <t>(79) 3194-6407</t>
        </is>
      </c>
      <c r="J28" s="124" t="inlineStr">
        <is>
          <t>gvr@academico.ufs.br</t>
        </is>
      </c>
      <c r="K28" s="18" t="inlineStr">
        <is>
          <t>https://reitoria.ufs.br/pagina/6622</t>
        </is>
      </c>
      <c r="L28" s="188" t="inlineStr">
        <is>
          <t>CONFIRMADO</t>
        </is>
      </c>
      <c r="M28" s="30" t="n"/>
    </row>
    <row r="29" ht="30" customHeight="1" s="182">
      <c r="A29" s="124" t="inlineStr">
        <is>
          <t>Brasil</t>
        </is>
      </c>
      <c r="B29" s="124" t="inlineStr">
        <is>
          <t>Universidades públicas</t>
        </is>
      </c>
      <c r="C29" s="124" t="inlineStr">
        <is>
          <t>Federal</t>
        </is>
      </c>
      <c r="D29" s="124" t="inlineStr">
        <is>
          <t>Universidade Federal de Alagoas (UFAL)</t>
        </is>
      </c>
      <c r="E29" s="73" t="n"/>
      <c r="F29" s="124" t="inlineStr">
        <is>
          <t>COORDINACIÓN DEL PLAN DE ESTUDIOS Y SEGUIMIENTO DE PROYECTOS PEDAGÓGICOS DE LOS CURSOS</t>
        </is>
      </c>
      <c r="G29" s="49" t="inlineStr">
        <is>
          <t>https://ufal.br</t>
        </is>
      </c>
      <c r="H29" s="124" t="inlineStr">
        <is>
          <t xml:space="preserve"> Aline Vieira Bezerra</t>
        </is>
      </c>
      <c r="I29" s="126" t="inlineStr">
        <is>
          <t>no disponible publicamente</t>
        </is>
      </c>
      <c r="J29" s="124" t="inlineStr">
        <is>
          <t>ccap@prograd.ufal.br</t>
        </is>
      </c>
      <c r="K29" s="18" t="inlineStr">
        <is>
          <t>https://ufal.br/ufal/institucional/pro-reitorias/prograd</t>
        </is>
      </c>
      <c r="L29" s="188" t="inlineStr">
        <is>
          <t>CONFIRMADO</t>
        </is>
      </c>
      <c r="M29" s="30" t="n"/>
    </row>
    <row r="30" ht="30" customHeight="1" s="182">
      <c r="A30" s="124" t="inlineStr">
        <is>
          <t>Brasil</t>
        </is>
      </c>
      <c r="B30" s="124" t="inlineStr">
        <is>
          <t>Universidades públicas</t>
        </is>
      </c>
      <c r="C30" s="124" t="inlineStr">
        <is>
          <t>Federal</t>
        </is>
      </c>
      <c r="D30" s="124" t="inlineStr">
        <is>
          <t>Universidade Federal do Acre (UFAC)</t>
        </is>
      </c>
      <c r="E30" s="73" t="n"/>
      <c r="F30" s="124" t="inlineStr">
        <is>
          <t>Vicerectoria</t>
        </is>
      </c>
      <c r="G30" s="49" t="inlineStr">
        <is>
          <t>https://www.ufac.br</t>
        </is>
      </c>
      <c r="H30" s="124" t="inlineStr">
        <is>
          <t>Almecina Balbino Ferreira</t>
        </is>
      </c>
      <c r="I30" s="126" t="inlineStr">
        <is>
          <t>(68) 99254-773</t>
        </is>
      </c>
      <c r="J30" s="203" t="inlineStr">
        <is>
          <t>vicereitoria@ufac.br</t>
        </is>
      </c>
      <c r="K30" s="18" t="inlineStr">
        <is>
          <t>https://www.ufac.br/site/ufac/institucional</t>
        </is>
      </c>
      <c r="L30" s="188" t="inlineStr">
        <is>
          <t>CONFIRMADO</t>
        </is>
      </c>
      <c r="M30" s="30" t="n"/>
    </row>
    <row r="31" ht="30" customHeight="1" s="182">
      <c r="A31" s="124" t="inlineStr">
        <is>
          <t>Brasil</t>
        </is>
      </c>
      <c r="B31" s="124" t="inlineStr">
        <is>
          <t>Universidades públicas</t>
        </is>
      </c>
      <c r="C31" s="124" t="inlineStr">
        <is>
          <t>Federal</t>
        </is>
      </c>
      <c r="D31" s="124" t="inlineStr">
        <is>
          <t>Universidade Federal do Amazonas (UFAM)</t>
        </is>
      </c>
      <c r="E31" s="73" t="n"/>
      <c r="F31" s="124" t="inlineStr">
        <is>
          <t>Vicerectoria</t>
        </is>
      </c>
      <c r="G31" s="49" t="inlineStr">
        <is>
          <t>https://www.ufam.edu.br</t>
        </is>
      </c>
      <c r="H31" s="124" t="inlineStr">
        <is>
          <t>Geone Maia Corrêa</t>
        </is>
      </c>
      <c r="I31" s="126" t="inlineStr">
        <is>
          <t>no disponible publicamente</t>
        </is>
      </c>
      <c r="J31" s="203" t="inlineStr">
        <is>
          <t>gabinete@ufam.edu.br</t>
        </is>
      </c>
      <c r="K31" s="18" t="inlineStr">
        <is>
          <t>https://www.ufam.edu.br/reitoria.html</t>
        </is>
      </c>
      <c r="L31" s="188" t="inlineStr">
        <is>
          <t>CONFIRMADO</t>
        </is>
      </c>
      <c r="M31" s="30" t="n"/>
    </row>
    <row r="32" ht="30" customHeight="1" s="182">
      <c r="A32" s="124" t="inlineStr">
        <is>
          <t>Brasil</t>
        </is>
      </c>
      <c r="B32" s="124" t="inlineStr">
        <is>
          <t>Universidades públicas</t>
        </is>
      </c>
      <c r="C32" s="124" t="inlineStr">
        <is>
          <t>Federal</t>
        </is>
      </c>
      <c r="D32" s="124" t="inlineStr">
        <is>
          <t>Universidade Federal do Amapá (UNIFAP)</t>
        </is>
      </c>
      <c r="E32" s="73" t="n"/>
      <c r="F32" s="124" t="inlineStr">
        <is>
          <t>Vicerectoria</t>
        </is>
      </c>
      <c r="G32" s="49" t="inlineStr">
        <is>
          <t>https://www.unifap.br</t>
        </is>
      </c>
      <c r="H32" s="124" t="inlineStr">
        <is>
          <t>Cristina de Paula Maués Soares</t>
        </is>
      </c>
      <c r="I32" s="126" t="inlineStr">
        <is>
          <t>no disponible publicamente</t>
        </is>
      </c>
      <c r="J32" s="124" t="inlineStr">
        <is>
          <t>Leal@unifap.br</t>
        </is>
      </c>
      <c r="K32" s="18" t="inlineStr">
        <is>
          <t>https://www2.unifap.br/reitoria/reitoria/</t>
        </is>
      </c>
      <c r="L32" s="188" t="inlineStr">
        <is>
          <t>CONFIRMADO</t>
        </is>
      </c>
      <c r="M32" s="30" t="n"/>
    </row>
    <row r="33" ht="30" customHeight="1" s="182">
      <c r="A33" s="124" t="inlineStr">
        <is>
          <t>Brasil</t>
        </is>
      </c>
      <c r="B33" s="124" t="inlineStr">
        <is>
          <t>Universidades públicas</t>
        </is>
      </c>
      <c r="C33" s="124" t="inlineStr">
        <is>
          <t>Federal</t>
        </is>
      </c>
      <c r="D33" s="124" t="inlineStr">
        <is>
          <t>Universidade Federal do Pará (UFPA)</t>
        </is>
      </c>
      <c r="E33" s="73" t="n"/>
      <c r="F33" s="124" t="inlineStr">
        <is>
          <t>Secretaria Geral dos Órgãos Colegiados</t>
        </is>
      </c>
      <c r="G33" s="49" t="inlineStr">
        <is>
          <t>https://ufpa.br</t>
        </is>
      </c>
      <c r="H33" s="124" t="inlineStr">
        <is>
          <t>No disponible públicamente</t>
        </is>
      </c>
      <c r="I33" s="126" t="inlineStr">
        <is>
          <t>55 91 3201-7117 | +55 91 3201-7119</t>
        </is>
      </c>
      <c r="J33" s="124" t="inlineStr">
        <is>
          <t>VICEREITORIA@UFPA.BR</t>
        </is>
      </c>
      <c r="K33" s="18" t="inlineStr">
        <is>
          <t>https://ufpa.br/?post_type=orgaos&amp;_sft_categoria-do-orgao=administracao-superior</t>
        </is>
      </c>
      <c r="L33" s="188" t="inlineStr">
        <is>
          <t>CONFIRMADO</t>
        </is>
      </c>
      <c r="M33" s="30" t="n"/>
    </row>
    <row r="34" ht="30" customHeight="1" s="182">
      <c r="A34" s="124" t="inlineStr">
        <is>
          <t>Brasil</t>
        </is>
      </c>
      <c r="B34" s="124" t="inlineStr">
        <is>
          <t>Universidades públicas</t>
        </is>
      </c>
      <c r="C34" s="124" t="inlineStr">
        <is>
          <t>Federal</t>
        </is>
      </c>
      <c r="D34" s="124" t="inlineStr">
        <is>
          <t>Universidade Federal Rural da Amazônia (UFRA)</t>
        </is>
      </c>
      <c r="E34" s="73" t="n"/>
      <c r="F34" s="124" t="inlineStr">
        <is>
          <t>no disponible</t>
        </is>
      </c>
      <c r="G34" s="124" t="inlineStr">
        <is>
          <t>no disponible</t>
        </is>
      </c>
      <c r="H34" s="124" t="inlineStr">
        <is>
          <t>No disponible públicamente</t>
        </is>
      </c>
      <c r="I34" s="126" t="inlineStr">
        <is>
          <t>no disponible publicamente</t>
        </is>
      </c>
      <c r="J34" s="124" t="n"/>
      <c r="K34" s="73" t="n"/>
      <c r="L34" s="188" t="inlineStr">
        <is>
          <t>SIN PAGINA WEB</t>
        </is>
      </c>
      <c r="M34" s="30" t="n"/>
    </row>
    <row r="35" ht="30" customHeight="1" s="182">
      <c r="A35" s="124" t="inlineStr">
        <is>
          <t>Brasil</t>
        </is>
      </c>
      <c r="B35" s="124" t="inlineStr">
        <is>
          <t>Universidades públicas</t>
        </is>
      </c>
      <c r="C35" s="124" t="inlineStr">
        <is>
          <t>Federal</t>
        </is>
      </c>
      <c r="D35" s="124" t="inlineStr">
        <is>
          <t>Universidade Federal do Oeste do Pará (UFOPA)</t>
        </is>
      </c>
      <c r="E35" s="73" t="n"/>
      <c r="F35" s="124" t="inlineStr">
        <is>
          <t>Vicerectoria</t>
        </is>
      </c>
      <c r="G35" s="49" t="inlineStr">
        <is>
          <t>https://www.ufopa.edu.br</t>
        </is>
      </c>
      <c r="H35" s="124" t="inlineStr">
        <is>
          <t>Solange Helena Ximenes Rocha</t>
        </is>
      </c>
      <c r="I35" s="126" t="inlineStr">
        <is>
          <t>no disponible publicamente</t>
        </is>
      </c>
      <c r="J35" s="203" t="inlineStr">
        <is>
          <t>reitoria@ufopa.edu.br</t>
        </is>
      </c>
      <c r="K35" s="18" t="inlineStr">
        <is>
          <t>https://www.ufopa.edu.br/ufopa/institucional/reitoria-2/gabinete/</t>
        </is>
      </c>
      <c r="L35" s="188" t="inlineStr">
        <is>
          <t>CONFIRMADO</t>
        </is>
      </c>
      <c r="M35" s="30" t="n"/>
    </row>
    <row r="36" ht="30" customHeight="1" s="182">
      <c r="A36" s="124" t="inlineStr">
        <is>
          <t>Brasil</t>
        </is>
      </c>
      <c r="B36" s="124" t="inlineStr">
        <is>
          <t>Universidades públicas</t>
        </is>
      </c>
      <c r="C36" s="124" t="inlineStr">
        <is>
          <t>Federal</t>
        </is>
      </c>
      <c r="D36" s="124" t="inlineStr">
        <is>
          <t>Universidade Federal do Sul e Sudeste do Pará (UNIFESSPA)</t>
        </is>
      </c>
      <c r="E36" s="73" t="n"/>
      <c r="F36" s="124" t="inlineStr">
        <is>
          <t>Vicerectoria</t>
        </is>
      </c>
      <c r="G36" s="49" t="inlineStr">
        <is>
          <t>https://unifesspa.edu.br</t>
        </is>
      </c>
      <c r="H36" s="124" t="inlineStr">
        <is>
          <t>Lucélia Cardoso Cavalcante</t>
        </is>
      </c>
      <c r="I36" s="126" t="inlineStr">
        <is>
          <t>(94) 2101-7179</t>
        </is>
      </c>
      <c r="J36" s="124" t="inlineStr">
        <is>
          <t>vicereitoria@unifesspa.edu.br / luceliaccr@unifesspa.edu.br</t>
        </is>
      </c>
      <c r="K36" s="18" t="inlineStr">
        <is>
          <t>https://unifesspa.edu.br/gabinete-unifesspa.html</t>
        </is>
      </c>
      <c r="L36" s="188" t="inlineStr">
        <is>
          <t>CONFIRMADO</t>
        </is>
      </c>
      <c r="M36" s="30" t="n"/>
    </row>
    <row r="37" ht="30" customHeight="1" s="182">
      <c r="A37" s="124" t="inlineStr">
        <is>
          <t>Brasil</t>
        </is>
      </c>
      <c r="B37" s="124" t="inlineStr">
        <is>
          <t>Universidades públicas</t>
        </is>
      </c>
      <c r="C37" s="124" t="inlineStr">
        <is>
          <t>Federal</t>
        </is>
      </c>
      <c r="D37" s="124" t="inlineStr">
        <is>
          <t>Universidade Federal de Rondônia (UNIR)</t>
        </is>
      </c>
      <c r="E37" s="73" t="n"/>
      <c r="F37" s="124" t="inlineStr">
        <is>
          <t>Secretaria dos Órgãos Colegiados</t>
        </is>
      </c>
      <c r="G37" s="49" t="inlineStr">
        <is>
          <t>https://www.unir.br</t>
        </is>
      </c>
      <c r="H37" s="124" t="inlineStr">
        <is>
          <t>No disponible públicamente</t>
        </is>
      </c>
      <c r="I37" s="126">
        <f>+55 69 2182-2100</f>
        <v/>
      </c>
      <c r="J37" s="124" t="inlineStr">
        <is>
          <t>soc@unir.br</t>
        </is>
      </c>
      <c r="K37" s="73" t="n"/>
      <c r="L37" s="51" t="inlineStr">
        <is>
          <t>PENDIENTE</t>
        </is>
      </c>
      <c r="M37" s="30" t="inlineStr">
        <is>
          <t>pagina web caida</t>
        </is>
      </c>
    </row>
    <row r="38" ht="30" customHeight="1" s="182">
      <c r="A38" s="124" t="inlineStr">
        <is>
          <t>Brasil</t>
        </is>
      </c>
      <c r="B38" s="124" t="inlineStr">
        <is>
          <t>Universidades públicas</t>
        </is>
      </c>
      <c r="C38" s="124" t="inlineStr">
        <is>
          <t>Federal</t>
        </is>
      </c>
      <c r="D38" s="124" t="inlineStr">
        <is>
          <t>Universidade Federal de Roraima (UFRR)</t>
        </is>
      </c>
      <c r="E38" s="73" t="n"/>
      <c r="F38" s="124" t="inlineStr">
        <is>
          <t>Vicerectoria</t>
        </is>
      </c>
      <c r="G38" s="52" t="inlineStr">
        <is>
          <t>https://ufrr.br</t>
        </is>
      </c>
      <c r="H38" s="124" t="inlineStr">
        <is>
          <t>SILVESTRE LOPES DA NÓBREGA</t>
        </is>
      </c>
      <c r="I38" s="126" t="inlineStr">
        <is>
          <t>no disponible publicamente</t>
        </is>
      </c>
      <c r="J38" s="203" t="inlineStr">
        <is>
          <t>vicereitoria@ufrr.br</t>
        </is>
      </c>
      <c r="K38" s="18" t="inlineStr">
        <is>
          <t>https://ufrr.br/reitoria/</t>
        </is>
      </c>
      <c r="L38" s="188" t="inlineStr">
        <is>
          <t>CONFIRMADO</t>
        </is>
      </c>
      <c r="M38" s="30" t="n"/>
    </row>
    <row r="39" ht="30" customHeight="1" s="182">
      <c r="A39" s="124" t="inlineStr">
        <is>
          <t>Brasil</t>
        </is>
      </c>
      <c r="B39" s="124" t="inlineStr">
        <is>
          <t>Universidades públicas</t>
        </is>
      </c>
      <c r="C39" s="124" t="inlineStr">
        <is>
          <t>Federal</t>
        </is>
      </c>
      <c r="D39" s="124" t="inlineStr">
        <is>
          <t>Universidade Federal do Tocantins (UFT)</t>
        </is>
      </c>
      <c r="E39" s="73" t="n"/>
      <c r="F39" s="124" t="inlineStr">
        <is>
          <t>Rectoria</t>
        </is>
      </c>
      <c r="G39" s="52" t="inlineStr">
        <is>
          <t>https://www.uft.edu.br</t>
        </is>
      </c>
      <c r="H39" s="124" t="inlineStr">
        <is>
          <t>No disponible públicamente</t>
        </is>
      </c>
      <c r="I39" s="126" t="inlineStr">
        <is>
          <t>(+55 63) 3229-4012 | (+55 63) 3229-4220</t>
        </is>
      </c>
      <c r="J39" s="124" t="inlineStr">
        <is>
          <t>reitora@uft.edu.br</t>
        </is>
      </c>
      <c r="K39" s="75" t="inlineStr">
        <is>
          <t>https://www.uft.edu.br/gestao/gabinete/contatos/gabinete-da-reitoria</t>
        </is>
      </c>
      <c r="L39" s="188" t="inlineStr">
        <is>
          <t>CONFIRMADO</t>
        </is>
      </c>
      <c r="M39" s="30" t="n"/>
    </row>
    <row r="40" ht="30" customHeight="1" s="182">
      <c r="A40" s="124" t="inlineStr">
        <is>
          <t>Brasil</t>
        </is>
      </c>
      <c r="B40" s="124" t="inlineStr">
        <is>
          <t>Universidades públicas</t>
        </is>
      </c>
      <c r="C40" s="124" t="inlineStr">
        <is>
          <t>Federal</t>
        </is>
      </c>
      <c r="D40" s="124" t="inlineStr">
        <is>
          <t>Universidade Federal do Norte do Tocantins (UFNT)</t>
        </is>
      </c>
      <c r="E40" s="73" t="n"/>
      <c r="F40" s="124" t="inlineStr">
        <is>
          <t>Vicerectoria</t>
        </is>
      </c>
      <c r="G40" s="76" t="inlineStr">
        <is>
          <t>https://ufnt.edu.br</t>
        </is>
      </c>
      <c r="H40" s="124" t="inlineStr">
        <is>
          <t>Nataniel da Vera</t>
        </is>
      </c>
      <c r="I40" s="126" t="inlineStr">
        <is>
          <t>no disponible publicamente</t>
        </is>
      </c>
      <c r="J40" s="124" t="inlineStr">
        <is>
          <t>vicereitoria@ufnt.edu.br</t>
        </is>
      </c>
      <c r="K40" s="18" t="inlineStr">
        <is>
          <t>https://ufnt.edu.br/reitoria-e-pro-reitorias/</t>
        </is>
      </c>
      <c r="L40" s="188" t="inlineStr">
        <is>
          <t>CONFIRMADO</t>
        </is>
      </c>
      <c r="M40" s="30" t="n"/>
    </row>
    <row r="41" ht="30" customHeight="1" s="182">
      <c r="A41" s="124" t="inlineStr">
        <is>
          <t>Brasil</t>
        </is>
      </c>
      <c r="B41" s="124" t="inlineStr">
        <is>
          <t>Universidades públicas</t>
        </is>
      </c>
      <c r="C41" s="124" t="inlineStr">
        <is>
          <t>Federal</t>
        </is>
      </c>
      <c r="D41" s="124" t="inlineStr">
        <is>
          <t>Universidade Federal do Espírito Santo (UFES)</t>
        </is>
      </c>
      <c r="E41" s="73" t="n"/>
      <c r="F41" s="124" t="inlineStr">
        <is>
          <t>Rectoria</t>
        </is>
      </c>
      <c r="G41" s="49" t="inlineStr">
        <is>
          <t>https://www.ufes.br</t>
        </is>
      </c>
      <c r="H41" s="124" t="inlineStr">
        <is>
          <t>EUSTÁQUIO VINÍCIUS DE CASTRO</t>
        </is>
      </c>
      <c r="I41" s="126" t="inlineStr">
        <is>
          <t>no disponible publicamente</t>
        </is>
      </c>
      <c r="J41" s="124" t="inlineStr">
        <is>
          <t>rector@ufes.br</t>
        </is>
      </c>
      <c r="K41" s="18" t="inlineStr">
        <is>
          <t>https://www.ufes.br/reitoria</t>
        </is>
      </c>
      <c r="L41" s="188" t="inlineStr">
        <is>
          <t>CONFIRMADO</t>
        </is>
      </c>
      <c r="M41" s="30" t="n"/>
    </row>
    <row r="42" ht="30" customHeight="1" s="182">
      <c r="A42" s="124" t="inlineStr">
        <is>
          <t>Brasil</t>
        </is>
      </c>
      <c r="B42" s="124" t="inlineStr">
        <is>
          <t>Universidades públicas</t>
        </is>
      </c>
      <c r="C42" s="124" t="inlineStr">
        <is>
          <t>Federal</t>
        </is>
      </c>
      <c r="D42" s="124" t="inlineStr">
        <is>
          <t>Universidade Federal de Minas Gerais (UFMG)</t>
        </is>
      </c>
      <c r="E42" s="73" t="n"/>
      <c r="F42" s="124" t="inlineStr">
        <is>
          <t>Secretaria Geral</t>
        </is>
      </c>
      <c r="G42" s="52" t="inlineStr">
        <is>
          <t>https://ufmg.br</t>
        </is>
      </c>
      <c r="H42" s="124" t="inlineStr">
        <is>
          <t>Alamanda Kfoury Pereira</t>
        </is>
      </c>
      <c r="I42" s="126" t="inlineStr">
        <is>
          <t>no disponible publicamente</t>
        </is>
      </c>
      <c r="J42" s="203" t="inlineStr">
        <is>
          <t>vicereitora@ufmg.br</t>
        </is>
      </c>
      <c r="K42" s="18" t="inlineStr">
        <is>
          <t>https://www.ufmg.br/a-universidade/gestao/dirigentes/</t>
        </is>
      </c>
      <c r="L42" s="188" t="inlineStr">
        <is>
          <t>CONFIRMADO</t>
        </is>
      </c>
      <c r="M42" s="30" t="n"/>
    </row>
    <row r="43" ht="30" customHeight="1" s="182">
      <c r="A43" s="124" t="inlineStr">
        <is>
          <t>Brasil</t>
        </is>
      </c>
      <c r="B43" s="124" t="inlineStr">
        <is>
          <t>Universidades públicas</t>
        </is>
      </c>
      <c r="C43" s="124" t="inlineStr">
        <is>
          <t>Federal</t>
        </is>
      </c>
      <c r="D43" s="124" t="inlineStr">
        <is>
          <t>Universidade Federal de Viçosa (UFV)</t>
        </is>
      </c>
      <c r="E43" s="73" t="n"/>
      <c r="F43" s="124" t="inlineStr">
        <is>
          <t>rectoria</t>
        </is>
      </c>
      <c r="G43" s="76" t="inlineStr">
        <is>
          <t>https://www.ufv.br</t>
        </is>
      </c>
      <c r="H43" s="124" t="inlineStr">
        <is>
          <t>Elilce de Figueiredo Rodrigues</t>
        </is>
      </c>
      <c r="I43" s="126" t="inlineStr">
        <is>
          <t xml:space="preserve"> (31) 3612-1010</t>
        </is>
      </c>
      <c r="J43" s="124" t="inlineStr">
        <is>
          <t>reitoria@ufv.br</t>
        </is>
      </c>
      <c r="K43" s="33" t="inlineStr">
        <is>
          <t>https://www.ufv.br/reitoria/</t>
        </is>
      </c>
      <c r="L43" s="186" t="inlineStr">
        <is>
          <t>CONFIRMADO</t>
        </is>
      </c>
      <c r="M43" s="30" t="n"/>
    </row>
    <row r="44" ht="30" customHeight="1" s="182">
      <c r="A44" s="124" t="inlineStr">
        <is>
          <t>Brasil</t>
        </is>
      </c>
      <c r="B44" s="124" t="inlineStr">
        <is>
          <t>Universidades públicas</t>
        </is>
      </c>
      <c r="C44" s="124" t="inlineStr">
        <is>
          <t>Federal</t>
        </is>
      </c>
      <c r="D44" s="124" t="inlineStr">
        <is>
          <t>Universidade Federal de Uberlândia (UFU)</t>
        </is>
      </c>
      <c r="E44" s="73" t="n"/>
      <c r="F44" s="124" t="inlineStr">
        <is>
          <t>Vicerectoria</t>
        </is>
      </c>
      <c r="G44" s="49" t="inlineStr">
        <is>
          <t>https://www.ufu.br</t>
        </is>
      </c>
      <c r="H44" s="124" t="inlineStr">
        <is>
          <t>Carlos Henrique de Carvalho</t>
        </is>
      </c>
      <c r="I44" s="126" t="inlineStr">
        <is>
          <t>34 3239-4805</t>
        </is>
      </c>
      <c r="J44" s="124" t="inlineStr">
        <is>
          <t>reitoria@ufu.br</t>
        </is>
      </c>
      <c r="K44" s="18" t="inlineStr">
        <is>
          <t>https://ufu.br/unidades-organizacionais/reitoria-reito</t>
        </is>
      </c>
      <c r="L44" s="186" t="inlineStr">
        <is>
          <t>CONFIRMADO</t>
        </is>
      </c>
      <c r="M44" s="30" t="n"/>
    </row>
    <row r="45" ht="30" customHeight="1" s="182">
      <c r="A45" s="124" t="inlineStr">
        <is>
          <t>Brasil</t>
        </is>
      </c>
      <c r="B45" s="124" t="inlineStr">
        <is>
          <t>Universidades públicas</t>
        </is>
      </c>
      <c r="C45" s="124" t="inlineStr">
        <is>
          <t>Federal</t>
        </is>
      </c>
      <c r="D45" s="124" t="inlineStr">
        <is>
          <t>Universidade Federal de Juiz de Fora (UFJF)</t>
        </is>
      </c>
      <c r="E45" s="73" t="n"/>
      <c r="F45" s="124" t="inlineStr">
        <is>
          <t>Vicerectoria</t>
        </is>
      </c>
      <c r="G45" s="49" t="inlineStr">
        <is>
          <t>https://www.ufjf.br</t>
        </is>
      </c>
      <c r="H45" s="77" t="inlineStr">
        <is>
          <t>Telmo Mota Ronzani</t>
        </is>
      </c>
      <c r="I45" s="126" t="inlineStr">
        <is>
          <t>(32) 2102-3903</t>
        </is>
      </c>
      <c r="J45" s="124" t="inlineStr">
        <is>
          <t>gabinete.reitoria@ufjf.br</t>
        </is>
      </c>
      <c r="K45" s="18" t="inlineStr">
        <is>
          <t>https://www2.ufjf.br/ufjf/sobre/organizacao/reitoria/</t>
        </is>
      </c>
      <c r="L45" s="186" t="inlineStr">
        <is>
          <t>CONFIRMADO</t>
        </is>
      </c>
      <c r="M45" s="30" t="n"/>
    </row>
    <row r="46" ht="30" customHeight="1" s="182">
      <c r="A46" s="124" t="inlineStr">
        <is>
          <t>Brasil</t>
        </is>
      </c>
      <c r="B46" s="124" t="inlineStr">
        <is>
          <t>Universidades públicas</t>
        </is>
      </c>
      <c r="C46" s="124" t="inlineStr">
        <is>
          <t>Federal</t>
        </is>
      </c>
      <c r="D46" s="124" t="inlineStr">
        <is>
          <t>Universidade Federal de Ouro Preto (UFOP)</t>
        </is>
      </c>
      <c r="E46" s="73" t="n"/>
      <c r="F46" s="124" t="inlineStr">
        <is>
          <t>Secretaria dos Órgãos Colegiados</t>
        </is>
      </c>
      <c r="G46" s="49" t="inlineStr">
        <is>
          <t>https://ufop.br</t>
        </is>
      </c>
      <c r="H46" s="124" t="inlineStr">
        <is>
          <t>No disponible públicamente</t>
        </is>
      </c>
      <c r="I46" s="126" t="inlineStr">
        <is>
          <t>no disponible publicamente</t>
        </is>
      </c>
      <c r="J46" s="124" t="inlineStr">
        <is>
          <t>soc@ufop.edu.br</t>
        </is>
      </c>
      <c r="K46" s="18" t="inlineStr">
        <is>
          <t>https://sites.ufop.br/soc</t>
        </is>
      </c>
      <c r="L46" s="186" t="inlineStr">
        <is>
          <t>CONFIRMADO</t>
        </is>
      </c>
      <c r="M46" s="30" t="n"/>
    </row>
    <row r="47" ht="30" customHeight="1" s="182">
      <c r="A47" s="124" t="inlineStr">
        <is>
          <t>Brasil</t>
        </is>
      </c>
      <c r="B47" s="124" t="inlineStr">
        <is>
          <t>Universidades públicas</t>
        </is>
      </c>
      <c r="C47" s="124" t="inlineStr">
        <is>
          <t>Federal</t>
        </is>
      </c>
      <c r="D47" s="124" t="inlineStr">
        <is>
          <t>Universidade Federal de Lavras (UFLA)</t>
        </is>
      </c>
      <c r="E47" s="73" t="n"/>
      <c r="F47" s="124" t="inlineStr">
        <is>
          <t>Vicerectoria</t>
        </is>
      </c>
      <c r="G47" s="49" t="inlineStr">
        <is>
          <t>https://ufla.br</t>
        </is>
      </c>
      <c r="H47" s="124" t="inlineStr">
        <is>
          <t>Jackson Antonio Barbosa</t>
        </is>
      </c>
      <c r="I47" s="126" t="inlineStr">
        <is>
          <t>(35) 3829-7001</t>
        </is>
      </c>
      <c r="J47" s="124" t="inlineStr">
        <is>
          <t>vicereitoria@ufla.br</t>
        </is>
      </c>
      <c r="K47" s="33" t="inlineStr">
        <is>
          <t>https://ufla.br/sobre/administracao/equipe-de-gestao</t>
        </is>
      </c>
      <c r="L47" s="186" t="inlineStr">
        <is>
          <t>CONFIRMADO</t>
        </is>
      </c>
      <c r="M47" s="30" t="n"/>
    </row>
    <row r="48" ht="30" customHeight="1" s="182">
      <c r="A48" s="124" t="inlineStr">
        <is>
          <t>Brasil</t>
        </is>
      </c>
      <c r="B48" s="124" t="inlineStr">
        <is>
          <t>Universidades públicas</t>
        </is>
      </c>
      <c r="C48" s="124" t="inlineStr">
        <is>
          <t>Federal</t>
        </is>
      </c>
      <c r="D48" s="124" t="inlineStr">
        <is>
          <t>Universidade Federal de São João del-Rei (UFSJ)</t>
        </is>
      </c>
      <c r="E48" s="73" t="n"/>
      <c r="F48" s="124" t="inlineStr">
        <is>
          <t>Vicerectoria</t>
        </is>
      </c>
      <c r="G48" s="49" t="inlineStr">
        <is>
          <t>https://www.ufsj.edu.br</t>
        </is>
      </c>
      <c r="H48" s="124" t="inlineStr">
        <is>
          <t>Rosy Iara Maciel de Azambuja Ribeiro</t>
        </is>
      </c>
      <c r="I48" s="126" t="inlineStr">
        <is>
          <t>55(32)3379-5801</t>
        </is>
      </c>
      <c r="J48" s="124" t="inlineStr">
        <is>
          <t>reitoria@ufsj.edu.br</t>
        </is>
      </c>
      <c r="K48" s="18" t="inlineStr">
        <is>
          <t>https://ufsj.edu.br/reitoria/</t>
        </is>
      </c>
      <c r="L48" s="186" t="inlineStr">
        <is>
          <t>CONFIRMADO</t>
        </is>
      </c>
      <c r="M48" s="30" t="n"/>
    </row>
    <row r="49" ht="15.75" customHeight="1" s="182">
      <c r="A49" s="124" t="inlineStr">
        <is>
          <t>Brasil</t>
        </is>
      </c>
      <c r="B49" s="124" t="inlineStr">
        <is>
          <t>Universidades públicas</t>
        </is>
      </c>
      <c r="C49" s="124" t="inlineStr">
        <is>
          <t>Federal</t>
        </is>
      </c>
      <c r="D49" s="124" t="inlineStr">
        <is>
          <t>Universidade Federal de Itajubá (UNIFEI)</t>
        </is>
      </c>
      <c r="E49" s="73" t="n"/>
      <c r="F49" s="124" t="inlineStr">
        <is>
          <t>Vicerectoria</t>
        </is>
      </c>
      <c r="G49" s="49" t="inlineStr">
        <is>
          <t>https://unifei.edu.br</t>
        </is>
      </c>
      <c r="H49" s="124" t="inlineStr">
        <is>
          <t>Janaina Roberta dos Santos</t>
        </is>
      </c>
      <c r="I49" s="126" t="inlineStr">
        <is>
          <t xml:space="preserve">
(35) 3629 - 1108 / (35) 3629 - 1107</t>
        </is>
      </c>
      <c r="J49" s="124" t="inlineStr">
        <is>
          <t>reitoria@unifei.edu.br</t>
        </is>
      </c>
      <c r="K49" s="33" t="inlineStr">
        <is>
          <t>https://reitoria.unifei.edu.br/equipe/</t>
        </is>
      </c>
      <c r="L49" s="186" t="inlineStr">
        <is>
          <t>CONFIRMADO</t>
        </is>
      </c>
      <c r="M49" s="30" t="n"/>
    </row>
    <row r="50" ht="15.75" customHeight="1" s="182">
      <c r="A50" s="124" t="inlineStr">
        <is>
          <t>Brasil</t>
        </is>
      </c>
      <c r="B50" s="124" t="inlineStr">
        <is>
          <t>Universidades públicas</t>
        </is>
      </c>
      <c r="C50" s="124" t="inlineStr">
        <is>
          <t>Federal</t>
        </is>
      </c>
      <c r="D50" s="124" t="inlineStr">
        <is>
          <t>Universidade Federal de Alfenas (UNIFAL-MG)</t>
        </is>
      </c>
      <c r="E50" s="73" t="n"/>
      <c r="F50" s="124" t="inlineStr">
        <is>
          <t>Dirección de Relaciones Internacionales e Interinstitucionales</t>
        </is>
      </c>
      <c r="G50" s="49" t="inlineStr">
        <is>
          <t>https://www.unifal-mg.edu.br</t>
        </is>
      </c>
      <c r="H50" s="124" t="inlineStr">
        <is>
          <t>Rua Gabriel Monteiro da Silva</t>
        </is>
      </c>
      <c r="I50" s="126" t="inlineStr">
        <is>
          <t>55 35 3701-9013</t>
        </is>
      </c>
      <c r="J50" s="124" t="inlineStr">
        <is>
          <t>dri@unifal-mg.edu.br</t>
        </is>
      </c>
      <c r="K50" s="18" t="inlineStr">
        <is>
          <t>https://www.unifal-mg.edu.br/portal/international/espanol/como-encontrarnos/</t>
        </is>
      </c>
      <c r="L50" s="186" t="inlineStr">
        <is>
          <t>CONFIRMADO</t>
        </is>
      </c>
      <c r="M50" s="30" t="n"/>
    </row>
    <row r="51" ht="15.75" customHeight="1" s="182">
      <c r="A51" s="124" t="inlineStr">
        <is>
          <t>Brasil</t>
        </is>
      </c>
      <c r="B51" s="124" t="inlineStr">
        <is>
          <t>Universidades públicas</t>
        </is>
      </c>
      <c r="C51" s="124" t="inlineStr">
        <is>
          <t>Federal</t>
        </is>
      </c>
      <c r="D51" s="124" t="inlineStr">
        <is>
          <t>Universidade Federal do Triângulo Mineiro (UFTM)</t>
        </is>
      </c>
      <c r="E51" s="73" t="n"/>
      <c r="F51" s="124" t="inlineStr">
        <is>
          <t>Vicerectoria</t>
        </is>
      </c>
      <c r="G51" s="49" t="inlineStr">
        <is>
          <t>https://www.uftm.edu.br</t>
        </is>
      </c>
      <c r="H51" s="124" t="inlineStr">
        <is>
          <t>Meire Soares Ataíde</t>
        </is>
      </c>
      <c r="I51" s="126" t="inlineStr">
        <is>
          <t>(34) 3700 6002</t>
        </is>
      </c>
      <c r="J51" s="203" t="inlineStr">
        <is>
          <t>sec.reitoria@uftm.edu.br</t>
        </is>
      </c>
      <c r="K51" s="18" t="inlineStr">
        <is>
          <t>https://www.uftm.edu.br/reitoria</t>
        </is>
      </c>
      <c r="L51" s="186" t="inlineStr">
        <is>
          <t>CONFIRMADO</t>
        </is>
      </c>
      <c r="M51" s="30" t="n"/>
    </row>
    <row r="52" ht="15.75" customHeight="1" s="182">
      <c r="A52" s="124" t="inlineStr">
        <is>
          <t>Brasil</t>
        </is>
      </c>
      <c r="B52" s="124" t="inlineStr">
        <is>
          <t>Universidades públicas</t>
        </is>
      </c>
      <c r="C52" s="124" t="inlineStr">
        <is>
          <t>Federal</t>
        </is>
      </c>
      <c r="D52" s="124" t="inlineStr">
        <is>
          <t>Universidade Federal dos Vales do Jequitinhonha e Mucuri (UFVJM)</t>
        </is>
      </c>
      <c r="E52" s="73" t="n"/>
      <c r="F52" s="124" t="inlineStr">
        <is>
          <t>Vicerectoria</t>
        </is>
      </c>
      <c r="G52" s="49" t="inlineStr">
        <is>
          <t>https://www.ufvjm.edu.br</t>
        </is>
      </c>
      <c r="H52" s="124" t="inlineStr">
        <is>
          <t>Flaviana Tavares Vieira</t>
        </is>
      </c>
      <c r="I52" s="126" t="inlineStr">
        <is>
          <t>(38) 3532-1200 / (38) 3532-6800</t>
        </is>
      </c>
      <c r="J52" s="124" t="inlineStr">
        <is>
          <t>vicereitoria@ufvjm.edu.br</t>
        </is>
      </c>
      <c r="K52" s="18" t="inlineStr">
        <is>
          <t>https://portal.ufvjm.edu.br/a-universidade/reitoria/contatos</t>
        </is>
      </c>
      <c r="L52" s="186" t="inlineStr">
        <is>
          <t>CONFIRMADO</t>
        </is>
      </c>
      <c r="M52" s="30" t="n"/>
    </row>
    <row r="53" ht="15.75" customHeight="1" s="182">
      <c r="A53" s="124" t="inlineStr">
        <is>
          <t>Brasil</t>
        </is>
      </c>
      <c r="B53" s="124" t="inlineStr">
        <is>
          <t>Universidades públicas</t>
        </is>
      </c>
      <c r="C53" s="124" t="inlineStr">
        <is>
          <t>Federal</t>
        </is>
      </c>
      <c r="D53" s="124" t="inlineStr">
        <is>
          <t>Universidade Federal do Rio de Janeiro (UFRJ)</t>
        </is>
      </c>
      <c r="E53" s="73" t="n"/>
      <c r="F53" s="124" t="inlineStr">
        <is>
          <t>Vicerectoria</t>
        </is>
      </c>
      <c r="G53" s="49" t="inlineStr">
        <is>
          <t>https://ufrj.br</t>
        </is>
      </c>
      <c r="H53" s="124" t="inlineStr">
        <is>
          <t>Cassia Curan Turci</t>
        </is>
      </c>
      <c r="I53" s="126" t="inlineStr">
        <is>
          <t>no disponible publicamente</t>
        </is>
      </c>
      <c r="J53" s="203" t="inlineStr">
        <is>
          <t>vicereitoria@reitoria.ufrj.br</t>
        </is>
      </c>
      <c r="K53" s="18" t="inlineStr">
        <is>
          <t>https://ufrj.br/a-ufrj/contatos/reitoria/</t>
        </is>
      </c>
      <c r="L53" s="186" t="inlineStr">
        <is>
          <t>CONFIRMADO</t>
        </is>
      </c>
      <c r="M53" s="30" t="n"/>
    </row>
    <row r="54" ht="15.75" customHeight="1" s="182">
      <c r="A54" s="124" t="inlineStr">
        <is>
          <t>Brasil</t>
        </is>
      </c>
      <c r="B54" s="124" t="inlineStr">
        <is>
          <t>Universidades públicas</t>
        </is>
      </c>
      <c r="C54" s="124" t="inlineStr">
        <is>
          <t>Federal</t>
        </is>
      </c>
      <c r="D54" s="124" t="inlineStr">
        <is>
          <t>Universidade Federal Fluminense (UFF)</t>
        </is>
      </c>
      <c r="E54" s="73" t="n"/>
      <c r="F54" s="124" t="inlineStr">
        <is>
          <t>Vicerectoria</t>
        </is>
      </c>
      <c r="G54" s="49" t="inlineStr">
        <is>
          <t>https://www.uff.br</t>
        </is>
      </c>
      <c r="H54" s="124" t="inlineStr">
        <is>
          <t>No disponible públicamente</t>
        </is>
      </c>
      <c r="I54" s="126" t="inlineStr">
        <is>
          <t>no disponible publicamente</t>
        </is>
      </c>
      <c r="J54" s="124" t="inlineStr">
        <is>
          <t>vice.reitor@id.uff.br</t>
        </is>
      </c>
      <c r="K54" s="18" t="inlineStr">
        <is>
          <t>https://www.uff.br/setores/</t>
        </is>
      </c>
      <c r="L54" s="186" t="inlineStr">
        <is>
          <t>CONFIRMADO</t>
        </is>
      </c>
      <c r="M54" s="30" t="n"/>
    </row>
    <row r="55" ht="15.75" customHeight="1" s="182">
      <c r="A55" s="124" t="inlineStr">
        <is>
          <t>Brasil</t>
        </is>
      </c>
      <c r="B55" s="124" t="inlineStr">
        <is>
          <t>Universidades públicas</t>
        </is>
      </c>
      <c r="C55" s="124" t="inlineStr">
        <is>
          <t>Federal</t>
        </is>
      </c>
      <c r="D55" s="124" t="inlineStr">
        <is>
          <t>Universidade Federal Rural do Rio de Janeiro (UFRRJ)</t>
        </is>
      </c>
      <c r="E55" s="73" t="n"/>
      <c r="F55" s="124" t="inlineStr">
        <is>
          <t>rectoria</t>
        </is>
      </c>
      <c r="G55" s="49" t="inlineStr">
        <is>
          <t>https://portal.ufrrj.br</t>
        </is>
      </c>
      <c r="H55" s="124" t="inlineStr">
        <is>
          <t>No disponible públicamente</t>
        </is>
      </c>
      <c r="I55" s="126" t="inlineStr">
        <is>
          <t>no disponible publicamente</t>
        </is>
      </c>
      <c r="J55" s="203" t="inlineStr">
        <is>
          <t>gabinete@ufrrj.br</t>
        </is>
      </c>
      <c r="K55" s="18" t="inlineStr">
        <is>
          <t>https://portal.ufrrj.br/institucional/</t>
        </is>
      </c>
      <c r="L55" s="186" t="inlineStr">
        <is>
          <t>CONFIRMADO</t>
        </is>
      </c>
      <c r="M55" s="30" t="n"/>
    </row>
    <row r="56" ht="15.75" customHeight="1" s="182">
      <c r="A56" s="124" t="inlineStr">
        <is>
          <t>Brasil</t>
        </is>
      </c>
      <c r="B56" s="124" t="inlineStr">
        <is>
          <t>Universidades públicas</t>
        </is>
      </c>
      <c r="C56" s="124" t="inlineStr">
        <is>
          <t>Federal</t>
        </is>
      </c>
      <c r="D56" s="124" t="inlineStr">
        <is>
          <t>Universidade Federal do Estado do Rio de Janeiro (UNIRIO)</t>
        </is>
      </c>
      <c r="E56" s="73" t="n"/>
      <c r="F56" s="124" t="n"/>
      <c r="G56" s="49" t="inlineStr">
        <is>
          <t>https://www.unirio.br</t>
        </is>
      </c>
      <c r="H56" s="124" t="inlineStr">
        <is>
          <t>No disponible públicamente</t>
        </is>
      </c>
      <c r="I56" s="126">
        <f>+55 21 2542-7000</f>
        <v/>
      </c>
      <c r="J56" s="124" t="inlineStr">
        <is>
          <t>soc@unirio.br</t>
        </is>
      </c>
      <c r="K56" s="73" t="n"/>
      <c r="L56" s="186" t="inlineStr">
        <is>
          <t>PENDIENTE</t>
        </is>
      </c>
      <c r="M56" s="30" t="inlineStr">
        <is>
          <t>paga caida</t>
        </is>
      </c>
    </row>
    <row r="57" ht="15.75" customHeight="1" s="182">
      <c r="A57" s="124" t="inlineStr">
        <is>
          <t>Brasil</t>
        </is>
      </c>
      <c r="B57" s="124" t="inlineStr">
        <is>
          <t>Universidades públicas</t>
        </is>
      </c>
      <c r="C57" s="124" t="inlineStr">
        <is>
          <t>Federal</t>
        </is>
      </c>
      <c r="D57" s="124" t="inlineStr">
        <is>
          <t>Universidade Federal de São Paulo (UNIFESP)</t>
        </is>
      </c>
      <c r="E57" s="73" t="n"/>
      <c r="F57" s="124" t="inlineStr">
        <is>
          <t>Vicerectoria</t>
        </is>
      </c>
      <c r="G57" s="49" t="inlineStr">
        <is>
          <t>https://www.unifesp.br</t>
        </is>
      </c>
      <c r="H57" s="124" t="inlineStr">
        <is>
          <t>Lia Rita Azeredo Bittencourt</t>
        </is>
      </c>
      <c r="I57" s="126" t="inlineStr">
        <is>
          <t xml:space="preserve">(11) 3385-4100 </t>
        </is>
      </c>
      <c r="J57" s="124" t="inlineStr">
        <is>
          <t>vicereitoria@unifesp.br</t>
        </is>
      </c>
      <c r="K57" s="33" t="inlineStr">
        <is>
          <t>https://portal.unifesp.br/institucional/reitoria/gabinete-reitoria#vice-reitora</t>
        </is>
      </c>
      <c r="L57" s="186" t="inlineStr">
        <is>
          <t>CONFIRMADO</t>
        </is>
      </c>
      <c r="M57" s="30" t="n"/>
    </row>
    <row r="58" ht="15.75" customHeight="1" s="182">
      <c r="A58" s="124" t="inlineStr">
        <is>
          <t>Brasil</t>
        </is>
      </c>
      <c r="B58" s="124" t="inlineStr">
        <is>
          <t>Universidades públicas</t>
        </is>
      </c>
      <c r="C58" s="124" t="inlineStr">
        <is>
          <t>Federal</t>
        </is>
      </c>
      <c r="D58" s="124" t="inlineStr">
        <is>
          <t>Universidade Federal de São Carlos (UFSCar)</t>
        </is>
      </c>
      <c r="E58" s="73" t="n"/>
      <c r="F58" s="124" t="inlineStr">
        <is>
          <t>Vicerectoria</t>
        </is>
      </c>
      <c r="G58" s="49" t="inlineStr">
        <is>
          <t>https://www.ufscar.br</t>
        </is>
      </c>
      <c r="H58" s="124" t="inlineStr">
        <is>
          <t>Maria de Jesus Dutra dos Reis</t>
        </is>
      </c>
      <c r="I58" s="126" t="inlineStr">
        <is>
          <t>no disponible publicamente</t>
        </is>
      </c>
      <c r="J58" s="124" t="inlineStr">
        <is>
          <t>dmjr@ufscar.br</t>
        </is>
      </c>
      <c r="K58" s="18" t="inlineStr">
        <is>
          <t>https://www.ufscar.br/busca-docente?docente=MARIA%20DE%20JESUS%20DUTRA%20DOS%20REIS</t>
        </is>
      </c>
      <c r="L58" s="205" t="inlineStr">
        <is>
          <t>CONFIRMADO</t>
        </is>
      </c>
      <c r="M58" s="30" t="n"/>
    </row>
    <row r="59" ht="15.75" customHeight="1" s="182">
      <c r="A59" s="124" t="inlineStr">
        <is>
          <t>Brasil</t>
        </is>
      </c>
      <c r="B59" s="124" t="inlineStr">
        <is>
          <t>Universidades públicas</t>
        </is>
      </c>
      <c r="C59" s="124" t="inlineStr">
        <is>
          <t>Federal</t>
        </is>
      </c>
      <c r="D59" s="124" t="inlineStr">
        <is>
          <t>Universidade Federal do ABC (UFABC)</t>
        </is>
      </c>
      <c r="E59" s="73" t="n"/>
      <c r="F59" s="124" t="inlineStr">
        <is>
          <t>Vicerectoria</t>
        </is>
      </c>
      <c r="G59" s="52" t="inlineStr">
        <is>
          <t>https://www.ufabc.edu.br</t>
        </is>
      </c>
      <c r="H59" s="124" t="inlineStr">
        <is>
          <t>No disponible públicamente</t>
        </is>
      </c>
      <c r="I59" s="126" t="inlineStr">
        <is>
          <t>(11) 3356-7085</t>
        </is>
      </c>
      <c r="J59" s="124" t="inlineStr">
        <is>
          <t>vice.reitoria@ufabc.edu.br</t>
        </is>
      </c>
      <c r="K59" s="18" t="inlineStr">
        <is>
          <t>https://www.ufabc.edu.br</t>
        </is>
      </c>
      <c r="L59" s="205" t="inlineStr">
        <is>
          <t>CONFIRMADO</t>
        </is>
      </c>
      <c r="M59" s="30" t="n"/>
    </row>
    <row r="60" ht="15.75" customHeight="1" s="182">
      <c r="A60" s="124" t="inlineStr">
        <is>
          <t>Brasil</t>
        </is>
      </c>
      <c r="B60" s="124" t="inlineStr">
        <is>
          <t>Universidades públicas</t>
        </is>
      </c>
      <c r="C60" s="124" t="inlineStr">
        <is>
          <t>Federal</t>
        </is>
      </c>
      <c r="D60" s="124" t="inlineStr">
        <is>
          <t>Universidade Federal do Paraná (UFPR)</t>
        </is>
      </c>
      <c r="E60" s="73" t="n"/>
      <c r="F60" s="124" t="inlineStr">
        <is>
          <t>Rectoria</t>
        </is>
      </c>
      <c r="G60" s="49" t="inlineStr">
        <is>
          <t>https://www.ufpr.br</t>
        </is>
      </c>
      <c r="H60" s="158" t="inlineStr">
        <is>
          <t>No disponible públicamente</t>
        </is>
      </c>
      <c r="I60" s="126" t="inlineStr">
        <is>
          <t xml:space="preserve">(41) 3360-5001 / 5003 / 5090 </t>
        </is>
      </c>
      <c r="J60" s="124" t="inlineStr">
        <is>
          <t>reitoria@ufpr.br</t>
        </is>
      </c>
      <c r="K60" s="18" t="inlineStr">
        <is>
          <t>https://ufpr.br/gabinete-do-reitor/</t>
        </is>
      </c>
      <c r="L60" s="205" t="inlineStr">
        <is>
          <t>CONFIRMADO</t>
        </is>
      </c>
      <c r="M60" s="30" t="n"/>
    </row>
    <row r="61" ht="15.75" customHeight="1" s="182">
      <c r="A61" s="124" t="inlineStr">
        <is>
          <t>Brasil</t>
        </is>
      </c>
      <c r="B61" s="124" t="inlineStr">
        <is>
          <t>Universidades públicas</t>
        </is>
      </c>
      <c r="C61" s="124" t="inlineStr">
        <is>
          <t>Federal</t>
        </is>
      </c>
      <c r="D61" s="124" t="inlineStr">
        <is>
          <t>Universidade Tecnológica Federal do Paraná (UTFPR)</t>
        </is>
      </c>
      <c r="E61" s="80" t="n"/>
      <c r="F61" s="124" t="inlineStr">
        <is>
          <t>Vicerectoria</t>
        </is>
      </c>
      <c r="G61" s="49" t="inlineStr">
        <is>
          <t>https://www.utfpr.edu.br</t>
        </is>
      </c>
      <c r="H61" s="158" t="inlineStr">
        <is>
          <t>Vanessa Ishikawa Rasotto</t>
        </is>
      </c>
      <c r="I61" s="126" t="inlineStr">
        <is>
          <t>no disponible publicamente</t>
        </is>
      </c>
      <c r="J61" s="203" t="inlineStr">
        <is>
          <t>reitoria@utfpr.edu.br</t>
        </is>
      </c>
      <c r="K61" s="95" t="inlineStr">
        <is>
          <t>https://www.utfpr.edu.br/institucional/quem-e-quem</t>
        </is>
      </c>
      <c r="L61" s="205" t="inlineStr">
        <is>
          <t>CONFIRMADO</t>
        </is>
      </c>
      <c r="M61" s="206" t="inlineStr">
        <is>
          <t>Auditoría 08-oct-2026: Eliminado carácter "|" sobrante.</t>
        </is>
      </c>
    </row>
    <row r="62" ht="15.75" customHeight="1" s="182">
      <c r="A62" s="124" t="inlineStr">
        <is>
          <t>Brasil</t>
        </is>
      </c>
      <c r="B62" s="124" t="inlineStr">
        <is>
          <t>Universidades públicas</t>
        </is>
      </c>
      <c r="C62" s="124" t="inlineStr">
        <is>
          <t>Federal</t>
        </is>
      </c>
      <c r="D62" s="124" t="inlineStr">
        <is>
          <t>Universidade Federal da Integração Latino-Americana (UNILA)</t>
        </is>
      </c>
      <c r="E62" s="98" t="n"/>
      <c r="F62" s="124" t="inlineStr">
        <is>
          <t>Vicerectoria</t>
        </is>
      </c>
      <c r="G62" s="49" t="inlineStr">
        <is>
          <t>https://unila.edu.br</t>
        </is>
      </c>
      <c r="H62" s="99" t="inlineStr">
        <is>
          <t>Rodne de Oliveira Lima</t>
        </is>
      </c>
      <c r="I62" s="126" t="inlineStr">
        <is>
          <t>no disponible publicamente</t>
        </is>
      </c>
      <c r="J62" s="124" t="inlineStr">
        <is>
          <t>rodne.lima@unila.edu.br</t>
        </is>
      </c>
      <c r="K62" s="100" t="inlineStr">
        <is>
          <t>https://portal.unila.edu.br/reitoria/vice-reitoria</t>
        </is>
      </c>
      <c r="L62" s="205" t="inlineStr">
        <is>
          <t>CONFIRMADO</t>
        </is>
      </c>
      <c r="M62" s="86" t="n"/>
    </row>
    <row r="63" ht="15.75" customHeight="1" s="182">
      <c r="A63" s="124" t="inlineStr">
        <is>
          <t>Brasil</t>
        </is>
      </c>
      <c r="B63" s="124" t="inlineStr">
        <is>
          <t>Universidades públicas</t>
        </is>
      </c>
      <c r="C63" s="124" t="inlineStr">
        <is>
          <t>Federal</t>
        </is>
      </c>
      <c r="D63" s="124" t="inlineStr">
        <is>
          <t>Universidade Federal de Santa Catarina (UFSC)</t>
        </is>
      </c>
      <c r="E63" s="98" t="n"/>
      <c r="F63" s="124" t="inlineStr">
        <is>
          <t>Vicerectoria</t>
        </is>
      </c>
      <c r="G63" s="49" t="inlineStr">
        <is>
          <t>https://ufsc.br</t>
        </is>
      </c>
      <c r="H63" s="158" t="inlineStr">
        <is>
          <t>Felipa Rafaela Amadigi</t>
        </is>
      </c>
      <c r="I63" s="126" t="inlineStr">
        <is>
          <t>(48) 3721-6018</t>
        </is>
      </c>
      <c r="J63" s="124" t="inlineStr">
        <is>
          <t>gr@contato.ufsc.br</t>
        </is>
      </c>
      <c r="K63" s="100" t="inlineStr">
        <is>
          <t>https://reitoria.ufsc.br/gabinete-da-reitoria/</t>
        </is>
      </c>
      <c r="L63" s="205" t="inlineStr">
        <is>
          <t>CONFIRMADO</t>
        </is>
      </c>
      <c r="M63" s="86" t="n"/>
    </row>
    <row r="64" ht="15.75" customHeight="1" s="182">
      <c r="A64" s="124" t="inlineStr">
        <is>
          <t>Brasil</t>
        </is>
      </c>
      <c r="B64" s="124" t="inlineStr">
        <is>
          <t>Universidades públicas</t>
        </is>
      </c>
      <c r="C64" s="124" t="inlineStr">
        <is>
          <t>Federal</t>
        </is>
      </c>
      <c r="D64" s="124" t="inlineStr">
        <is>
          <t>Universidade Federal da Fronteira Sul (UFFS)</t>
        </is>
      </c>
      <c r="E64" s="98" t="n"/>
      <c r="F64" s="124" t="inlineStr">
        <is>
          <t>Rectoria</t>
        </is>
      </c>
      <c r="G64" s="49" t="inlineStr">
        <is>
          <t>https://www.uffs.edu.br</t>
        </is>
      </c>
      <c r="H64" s="124" t="inlineStr">
        <is>
          <t>Joao Alfredo Braida</t>
        </is>
      </c>
      <c r="I64" s="126" t="inlineStr">
        <is>
          <t>no disponible publicamente</t>
        </is>
      </c>
      <c r="J64" s="124" t="inlineStr">
        <is>
          <t>gabinete@uffs.edu.br</t>
        </is>
      </c>
      <c r="K64" s="100" t="inlineStr">
        <is>
          <t>https://www.uffs.edu.br/uffs/gabinete-do-reitor/apresentacao</t>
        </is>
      </c>
      <c r="L64" s="205" t="inlineStr">
        <is>
          <t>CONFIRMADO</t>
        </is>
      </c>
      <c r="M64" s="86" t="n"/>
    </row>
    <row r="65" ht="15.75" customHeight="1" s="182">
      <c r="A65" s="124" t="inlineStr">
        <is>
          <t>Brasil</t>
        </is>
      </c>
      <c r="B65" s="124" t="inlineStr">
        <is>
          <t>Universidades públicas</t>
        </is>
      </c>
      <c r="C65" s="124" t="inlineStr">
        <is>
          <t>Federal</t>
        </is>
      </c>
      <c r="D65" s="124" t="inlineStr">
        <is>
          <t>Universidade Federal do Rio Grande do Sul (UFRGS)</t>
        </is>
      </c>
      <c r="E65" s="98" t="n"/>
      <c r="F65" s="124" t="inlineStr">
        <is>
          <t>Secretaria-Geral</t>
        </is>
      </c>
      <c r="G65" s="49" t="inlineStr">
        <is>
          <t>https://www.ufrgs.br</t>
        </is>
      </c>
      <c r="H65" s="124" t="inlineStr">
        <is>
          <t>No disponible públicamente</t>
        </is>
      </c>
      <c r="I65" s="126" t="inlineStr">
        <is>
          <t>no disponible publicamente</t>
        </is>
      </c>
      <c r="J65" s="124" t="inlineStr">
        <is>
          <t>no disponible publicamente</t>
        </is>
      </c>
      <c r="K65" s="98" t="n"/>
      <c r="L65" s="205" t="inlineStr">
        <is>
          <t>PENDIENTE</t>
        </is>
      </c>
      <c r="M65" s="86" t="inlineStr">
        <is>
          <t>pagina caida</t>
        </is>
      </c>
    </row>
    <row r="66" ht="15.75" customHeight="1" s="182">
      <c r="A66" s="124" t="inlineStr">
        <is>
          <t>Brasil</t>
        </is>
      </c>
      <c r="B66" s="124" t="inlineStr">
        <is>
          <t>Universidades públicas</t>
        </is>
      </c>
      <c r="C66" s="124" t="inlineStr">
        <is>
          <t>Federal</t>
        </is>
      </c>
      <c r="D66" s="124" t="inlineStr">
        <is>
          <t>Universidade Federal de Santa Maria (UFSM)</t>
        </is>
      </c>
      <c r="E66" s="98" t="n"/>
      <c r="F66" s="124" t="inlineStr">
        <is>
          <t>Secretaria Genrral</t>
        </is>
      </c>
      <c r="G66" s="49" t="inlineStr">
        <is>
          <t>https://www.ufsm.br</t>
        </is>
      </c>
      <c r="H66" s="124" t="inlineStr">
        <is>
          <t>No disponible públicamente</t>
        </is>
      </c>
      <c r="I66" s="126" t="inlineStr">
        <is>
          <t>no disponible publicamente</t>
        </is>
      </c>
      <c r="J66" s="124" t="inlineStr">
        <is>
          <t>gabinetereitoria@ufsm.br</t>
        </is>
      </c>
      <c r="K66" s="100" t="inlineStr">
        <is>
          <t>https://www.ufsm.br/reitoria/gabinete/contatos</t>
        </is>
      </c>
      <c r="L66" s="207" t="inlineStr">
        <is>
          <t>CONFIRMADO</t>
        </is>
      </c>
      <c r="M66" s="86" t="n"/>
    </row>
    <row r="67" ht="15.75" customHeight="1" s="182">
      <c r="A67" s="124" t="inlineStr">
        <is>
          <t>Brasil</t>
        </is>
      </c>
      <c r="B67" s="124" t="inlineStr">
        <is>
          <t>Universidades públicas</t>
        </is>
      </c>
      <c r="C67" s="124" t="inlineStr">
        <is>
          <t>Federal</t>
        </is>
      </c>
      <c r="D67" s="124" t="inlineStr">
        <is>
          <t>Universidade Federal de Pelotas (UFPel)</t>
        </is>
      </c>
      <c r="E67" s="98" t="n"/>
      <c r="F67" s="124" t="inlineStr">
        <is>
          <t>Vicerectoria</t>
        </is>
      </c>
      <c r="G67" s="49" t="inlineStr">
        <is>
          <t>https://www.ufpel.edu.br</t>
        </is>
      </c>
      <c r="H67" s="124" t="inlineStr">
        <is>
          <t>Eraldo dos Santos Pinheiro</t>
        </is>
      </c>
      <c r="I67" s="102" t="inlineStr">
        <is>
          <t>(53) 32844030</t>
        </is>
      </c>
      <c r="J67" s="124" t="inlineStr">
        <is>
          <t>vicereitoria@ufpel.edu.br</t>
        </is>
      </c>
      <c r="K67" s="100" t="inlineStr">
        <is>
          <t>https://wp.ufpel.edu.br/gabinete/vice-reitor/</t>
        </is>
      </c>
      <c r="L67" s="207" t="inlineStr">
        <is>
          <t>CONFIRMADO</t>
        </is>
      </c>
      <c r="M67" s="86" t="n"/>
    </row>
    <row r="68" ht="15.75" customHeight="1" s="182">
      <c r="A68" s="124" t="inlineStr">
        <is>
          <t>Brasil</t>
        </is>
      </c>
      <c r="B68" s="124" t="inlineStr">
        <is>
          <t>Universidades públicas</t>
        </is>
      </c>
      <c r="C68" s="124" t="inlineStr">
        <is>
          <t>Federal</t>
        </is>
      </c>
      <c r="D68" s="124" t="inlineStr">
        <is>
          <t>Universidade Federal do Rio Grande (FURG)</t>
        </is>
      </c>
      <c r="E68" s="98" t="n"/>
      <c r="F68" s="124" t="inlineStr">
        <is>
          <t>Atencion al Ciudadano</t>
        </is>
      </c>
      <c r="G68" s="49" t="inlineStr">
        <is>
          <t>https://www.furg.br</t>
        </is>
      </c>
      <c r="H68" s="124" t="inlineStr">
        <is>
          <t>No disponible públicamente</t>
        </is>
      </c>
      <c r="I68" s="102" t="inlineStr">
        <is>
          <t>(53) 3293-5450</t>
        </is>
      </c>
      <c r="J68" s="124" t="inlineStr">
        <is>
          <t>sic@furg.br</t>
        </is>
      </c>
      <c r="K68" s="100" t="inlineStr">
        <is>
          <t>https://acessoainformacao.furg.br/servico-de-informacao-ao-cidadao-sic</t>
        </is>
      </c>
      <c r="L68" s="207" t="inlineStr">
        <is>
          <t>CONFIRMADO</t>
        </is>
      </c>
      <c r="M68" s="86" t="n"/>
    </row>
    <row r="69" ht="15.75" customHeight="1" s="182">
      <c r="A69" s="124" t="inlineStr">
        <is>
          <t>Brasil</t>
        </is>
      </c>
      <c r="B69" s="124" t="inlineStr">
        <is>
          <t>Universidades públicas</t>
        </is>
      </c>
      <c r="C69" s="124" t="inlineStr">
        <is>
          <t>Federal</t>
        </is>
      </c>
      <c r="D69" s="124" t="inlineStr">
        <is>
          <t>Universidade Federal de Ciências da Saúde de Porto Alegre (UFCSPA)</t>
        </is>
      </c>
      <c r="E69" s="98" t="n"/>
      <c r="F69" s="124" t="inlineStr">
        <is>
          <t>Vicerectoria</t>
        </is>
      </c>
      <c r="G69" s="49" t="inlineStr">
        <is>
          <t>https://www.ufcspa.edu.br</t>
        </is>
      </c>
      <c r="H69" s="124" t="inlineStr">
        <is>
          <t>Rafael José Vargas Alves</t>
        </is>
      </c>
      <c r="I69" s="126" t="inlineStr">
        <is>
          <t>(51) 3303-8824</t>
        </is>
      </c>
      <c r="J69" s="124" t="inlineStr">
        <is>
          <t>vicereitoria@ufcspa.edu.br</t>
        </is>
      </c>
      <c r="K69" s="100" t="inlineStr">
        <is>
          <t>https://ufcspa.edu.br/sobre-a-ufcspa/quem-somos/reitoria-pro-reitorias-e-secretarias</t>
        </is>
      </c>
      <c r="L69" s="207" t="inlineStr">
        <is>
          <t>CONFIRMADO</t>
        </is>
      </c>
      <c r="M69" s="86" t="n"/>
    </row>
    <row r="70" ht="15.75" customHeight="1" s="182">
      <c r="A70" s="124" t="inlineStr">
        <is>
          <t>Brasil</t>
        </is>
      </c>
      <c r="B70" s="124" t="inlineStr">
        <is>
          <t>Universidades públicas</t>
        </is>
      </c>
      <c r="C70" s="124" t="inlineStr">
        <is>
          <t>Federal</t>
        </is>
      </c>
      <c r="D70" s="124" t="inlineStr">
        <is>
          <t>Universidade Federal do Pampa (UNIPAMPA)</t>
        </is>
      </c>
      <c r="E70" s="98" t="n"/>
      <c r="F70" s="124" t="inlineStr">
        <is>
          <t>Vicerectoria</t>
        </is>
      </c>
      <c r="G70" s="49" t="inlineStr">
        <is>
          <t>https://unipampa.edu.br</t>
        </is>
      </c>
      <c r="H70" s="124" t="inlineStr">
        <is>
          <t>Francéli Brizolla</t>
        </is>
      </c>
      <c r="I70" s="126" t="inlineStr">
        <is>
          <t>no disponible publicamente</t>
        </is>
      </c>
      <c r="J70" s="124" t="inlineStr">
        <is>
          <t>vicereitoria@unipampa.edu.br</t>
        </is>
      </c>
      <c r="K70" s="100" t="inlineStr">
        <is>
          <t>https://unipampa.edu.br/portal/4518</t>
        </is>
      </c>
      <c r="L70" s="207" t="inlineStr">
        <is>
          <t>CORREGIDO</t>
        </is>
      </c>
      <c r="M70" s="86" t="n"/>
    </row>
    <row r="71" ht="15.75" customHeight="1" s="182">
      <c r="A71" s="124" t="inlineStr">
        <is>
          <t>Brasil</t>
        </is>
      </c>
      <c r="B71" s="124" t="inlineStr">
        <is>
          <t>Universidades públicas</t>
        </is>
      </c>
      <c r="C71" s="124" t="inlineStr">
        <is>
          <t>Estadual</t>
        </is>
      </c>
      <c r="D71" s="124" t="inlineStr">
        <is>
          <t>Universidade de São Paulo (USP)</t>
        </is>
      </c>
      <c r="E71" s="98" t="n"/>
      <c r="F71" s="124" t="inlineStr">
        <is>
          <t>Atencion al ciudadano</t>
        </is>
      </c>
      <c r="G71" s="49" t="inlineStr">
        <is>
          <t>https://www.usp.br</t>
        </is>
      </c>
      <c r="H71" s="124" t="inlineStr">
        <is>
          <t>No disponible públicamente</t>
        </is>
      </c>
      <c r="I71" s="126" t="inlineStr">
        <is>
          <t xml:space="preserve"> (11) 2648-0333</t>
        </is>
      </c>
      <c r="J71" s="124" t="inlineStr">
        <is>
          <t>no dispinible publicamente</t>
        </is>
      </c>
      <c r="K71" s="100" t="inlineStr">
        <is>
          <t>https://www5.usp.br/transparencia/servico-de-informacao-ao-cidadao-usp/</t>
        </is>
      </c>
      <c r="L71" s="207" t="inlineStr">
        <is>
          <t>CONFIRMADO</t>
        </is>
      </c>
      <c r="M71" s="86" t="n"/>
    </row>
    <row r="72" ht="15.75" customHeight="1" s="182">
      <c r="A72" s="124" t="inlineStr">
        <is>
          <t>Brasil</t>
        </is>
      </c>
      <c r="B72" s="124" t="inlineStr">
        <is>
          <t>Universidades públicas</t>
        </is>
      </c>
      <c r="C72" s="124" t="inlineStr">
        <is>
          <t>Estadual</t>
        </is>
      </c>
      <c r="D72" s="124" t="inlineStr">
        <is>
          <t>Universidade Estadual de Campinas (UNICAMP)</t>
        </is>
      </c>
      <c r="E72" s="98" t="n"/>
      <c r="F72" s="124" t="inlineStr">
        <is>
          <t>Rectoria</t>
        </is>
      </c>
      <c r="G72" s="49" t="inlineStr">
        <is>
          <t>https://www.unicamp.br</t>
        </is>
      </c>
      <c r="H72" s="124" t="inlineStr">
        <is>
          <t>Paulo Cesar Montagner</t>
        </is>
      </c>
      <c r="I72" s="126" t="inlineStr">
        <is>
          <t>(19) 3521-4722</t>
        </is>
      </c>
      <c r="J72" s="124" t="inlineStr">
        <is>
          <t>reitor@unicamp.br</t>
        </is>
      </c>
      <c r="K72" s="100" t="inlineStr">
        <is>
          <t>https://www.gr.unicamp.br/equipe/</t>
        </is>
      </c>
      <c r="L72" s="207" t="inlineStr">
        <is>
          <t>CONFIRMADO</t>
        </is>
      </c>
      <c r="M72" s="86" t="n"/>
    </row>
    <row r="73" ht="15.75" customHeight="1" s="182">
      <c r="A73" s="124" t="inlineStr">
        <is>
          <t>Brasil</t>
        </is>
      </c>
      <c r="B73" s="124" t="inlineStr">
        <is>
          <t>Universidades públicas</t>
        </is>
      </c>
      <c r="C73" s="124" t="inlineStr">
        <is>
          <t>Estadual</t>
        </is>
      </c>
      <c r="D73" s="124" t="inlineStr">
        <is>
          <t>Universidade Estadual Paulista (UNESP)</t>
        </is>
      </c>
      <c r="E73" s="98" t="n"/>
      <c r="F73" s="124" t="inlineStr">
        <is>
          <t>Vicerectoria</t>
        </is>
      </c>
      <c r="G73" s="49" t="inlineStr">
        <is>
          <t>https://www.unesp.br</t>
        </is>
      </c>
      <c r="H73" s="124" t="inlineStr">
        <is>
          <t>Cesar Martins</t>
        </is>
      </c>
      <c r="I73" s="126" t="inlineStr">
        <is>
          <t>no disponible publicamente</t>
        </is>
      </c>
      <c r="J73" s="124" t="inlineStr">
        <is>
          <t>assessores.vice@unesp.br</t>
        </is>
      </c>
      <c r="K73" s="100" t="inlineStr">
        <is>
          <t>https://www2.unesp.br/portal#!/vicereitor_ses/gabinete3869/</t>
        </is>
      </c>
      <c r="L73" s="207" t="inlineStr">
        <is>
          <t>CONFIRMADO</t>
        </is>
      </c>
      <c r="M73" s="86" t="n"/>
    </row>
    <row r="74" ht="15.75" customHeight="1" s="182">
      <c r="A74" s="124" t="inlineStr">
        <is>
          <t>Brasil</t>
        </is>
      </c>
      <c r="B74" s="124" t="inlineStr">
        <is>
          <t>Universidades públicas</t>
        </is>
      </c>
      <c r="C74" s="124" t="inlineStr">
        <is>
          <t>Estadual</t>
        </is>
      </c>
      <c r="D74" s="124" t="inlineStr">
        <is>
          <t>Universidade Virtual do Estado de São Paulo (UNIVESP)</t>
        </is>
      </c>
      <c r="E74" s="98" t="n"/>
      <c r="F74" s="124" t="inlineStr">
        <is>
          <t>Oficina de prensa</t>
        </is>
      </c>
      <c r="G74" s="49" t="inlineStr">
        <is>
          <t>https://univesp.br</t>
        </is>
      </c>
      <c r="H74" s="124" t="inlineStr">
        <is>
          <t>No disponible públicamente</t>
        </is>
      </c>
      <c r="I74" s="126" t="inlineStr">
        <is>
          <t>no disponible publicamente</t>
        </is>
      </c>
      <c r="J74" s="124" t="inlineStr">
        <is>
          <t>imprensa@univesp.br</t>
        </is>
      </c>
      <c r="K74" s="100" t="inlineStr">
        <is>
          <t>https://univesp.br/atendimento-carta-de-servicos-ao-usuario/</t>
        </is>
      </c>
      <c r="L74" s="101" t="inlineStr">
        <is>
          <t>CONFIRMADO</t>
        </is>
      </c>
      <c r="M74" s="86" t="n"/>
    </row>
    <row r="75" ht="15.75" customHeight="1" s="182">
      <c r="A75" s="124" t="inlineStr">
        <is>
          <t>Brasil</t>
        </is>
      </c>
      <c r="B75" s="124" t="inlineStr">
        <is>
          <t>Universidades públicas</t>
        </is>
      </c>
      <c r="C75" s="124" t="inlineStr">
        <is>
          <t>Estadual</t>
        </is>
      </c>
      <c r="D75" s="124" t="inlineStr">
        <is>
          <t>Universidade do Estado do Rio de Janeiro (UERJ)</t>
        </is>
      </c>
      <c r="E75" s="98" t="n"/>
      <c r="F75" s="124" t="inlineStr">
        <is>
          <t>Vicerectoria</t>
        </is>
      </c>
      <c r="G75" s="49" t="inlineStr">
        <is>
          <t>https://www.uerj.br</t>
        </is>
      </c>
      <c r="H75" s="124" t="inlineStr">
        <is>
          <t>Luiz Fellipe Dias da Rocha</t>
        </is>
      </c>
      <c r="I75" s="107" t="inlineStr">
        <is>
          <t>(21) 2334-0200 / 2334-0339 / 2334-2167</t>
        </is>
      </c>
      <c r="J75" s="124" t="inlineStr">
        <is>
          <t>gvr@uerj.br</t>
        </is>
      </c>
      <c r="K75" s="100" t="inlineStr">
        <is>
          <t>https://www.uerj.br/a-uerj/institucional/reitoria/</t>
        </is>
      </c>
      <c r="L75" s="101" t="inlineStr">
        <is>
          <t>CONFIRMADO</t>
        </is>
      </c>
      <c r="M75" s="86" t="n"/>
    </row>
    <row r="76" ht="15.75" customHeight="1" s="182">
      <c r="A76" s="124" t="inlineStr">
        <is>
          <t>Brasil</t>
        </is>
      </c>
      <c r="B76" s="124" t="inlineStr">
        <is>
          <t>Universidades públicas</t>
        </is>
      </c>
      <c r="C76" s="124" t="inlineStr">
        <is>
          <t>Estadual</t>
        </is>
      </c>
      <c r="D76" s="124" t="inlineStr">
        <is>
          <t>Universidade Estadual do Norte Fluminense Darcy Ribeiro (UENF)</t>
        </is>
      </c>
      <c r="E76" s="98" t="n"/>
      <c r="F76" s="124" t="inlineStr">
        <is>
          <t>Secretaria Geral / Reitoria</t>
        </is>
      </c>
      <c r="G76" s="49" t="inlineStr">
        <is>
          <t>https://uenf.br</t>
        </is>
      </c>
      <c r="H76" s="124" t="inlineStr">
        <is>
          <t>No disponible públicamente</t>
        </is>
      </c>
      <c r="I76" s="126" t="inlineStr">
        <is>
          <t>no disponible publicamente</t>
        </is>
      </c>
      <c r="J76" s="124" t="inlineStr">
        <is>
          <t>secgeral@uenf.br</t>
        </is>
      </c>
      <c r="K76" s="98" t="n"/>
      <c r="L76" s="207" t="inlineStr">
        <is>
          <t>PENDIENTE</t>
        </is>
      </c>
      <c r="M76" s="86" t="inlineStr">
        <is>
          <t>pagina caida</t>
        </is>
      </c>
    </row>
    <row r="77" ht="15.75" customHeight="1" s="182">
      <c r="A77" s="124" t="inlineStr">
        <is>
          <t>Brasil</t>
        </is>
      </c>
      <c r="B77" s="124" t="inlineStr">
        <is>
          <t>Universidades públicas</t>
        </is>
      </c>
      <c r="C77" s="124" t="inlineStr">
        <is>
          <t>Estadual</t>
        </is>
      </c>
      <c r="D77" s="124" t="inlineStr">
        <is>
          <t>Universidade do Estado de Minas Gerais (UEMG)</t>
        </is>
      </c>
      <c r="E77" s="98" t="n"/>
      <c r="F77" s="124" t="inlineStr">
        <is>
          <t>Secretaria do Conselho Universitario</t>
        </is>
      </c>
      <c r="G77" s="49" t="inlineStr">
        <is>
          <t>https://www.uemg.br</t>
        </is>
      </c>
      <c r="H77" s="124" t="inlineStr">
        <is>
          <t>No disponible públicamente</t>
        </is>
      </c>
      <c r="I77" s="126" t="inlineStr">
        <is>
          <t>no disponible publicamente</t>
        </is>
      </c>
      <c r="J77" s="124" t="inlineStr">
        <is>
          <t>conselho.universitario@uemg.br</t>
        </is>
      </c>
      <c r="K77" s="98" t="n"/>
      <c r="L77" s="207" t="inlineStr">
        <is>
          <t>PENDIENTE</t>
        </is>
      </c>
      <c r="M77" s="86" t="inlineStr">
        <is>
          <t>pagina caida</t>
        </is>
      </c>
    </row>
    <row r="78" ht="15.75" customHeight="1" s="182">
      <c r="A78" s="124" t="inlineStr">
        <is>
          <t>Brasil</t>
        </is>
      </c>
      <c r="B78" s="124" t="inlineStr">
        <is>
          <t>Universidades públicas</t>
        </is>
      </c>
      <c r="C78" s="124" t="inlineStr">
        <is>
          <t>Estadual</t>
        </is>
      </c>
      <c r="D78" s="124" t="inlineStr">
        <is>
          <t>Universidade Estadual de Montes Claros (UNIMONTES)</t>
        </is>
      </c>
      <c r="E78" s="98" t="n"/>
      <c r="F78" s="203" t="inlineStr">
        <is>
          <t>Vice-Reitoria</t>
        </is>
      </c>
      <c r="G78" s="49" t="inlineStr">
        <is>
          <t>https://unimontes.br</t>
        </is>
      </c>
      <c r="H78" s="203" t="inlineStr">
        <is>
          <t>Prof. Dalton Caldeira Rocha (Vice-Reitor)</t>
        </is>
      </c>
      <c r="I78" s="204" t="inlineStr">
        <is>
          <t>+55 38 3229-8110 / 3229-8111</t>
        </is>
      </c>
      <c r="J78" s="203" t="inlineStr">
        <is>
          <t>vicereitor@unimontes.br</t>
        </is>
      </c>
      <c r="K78" s="208" t="inlineStr">
        <is>
          <t>https://unimontes.br/apresentacao/organograma/</t>
        </is>
      </c>
      <c r="L78" s="207" t="inlineStr">
        <is>
          <t>CORREGIDO</t>
        </is>
      </c>
      <c r="M78" s="197" t="inlineStr">
        <is>
          <t>Auditoría 08-oct-2026: Contacto anterior era de la UEMG (otra universidad).</t>
        </is>
      </c>
    </row>
    <row r="79" ht="15.75" customHeight="1" s="182">
      <c r="A79" s="124" t="inlineStr">
        <is>
          <t>Brasil</t>
        </is>
      </c>
      <c r="B79" s="124" t="inlineStr">
        <is>
          <t>Universidades públicas</t>
        </is>
      </c>
      <c r="C79" s="124" t="inlineStr">
        <is>
          <t>Estadual</t>
        </is>
      </c>
      <c r="D79" s="124" t="inlineStr">
        <is>
          <t>Universidade Estadual de Londrina (UEL)</t>
        </is>
      </c>
      <c r="E79" s="98" t="n"/>
      <c r="F79" s="124" t="inlineStr">
        <is>
          <t>Rectoria</t>
        </is>
      </c>
      <c r="G79" s="49" t="inlineStr">
        <is>
          <t>https://www.uel.br</t>
        </is>
      </c>
      <c r="H79" s="124" t="inlineStr">
        <is>
          <t>Andrea Name Colado Simão</t>
        </is>
      </c>
      <c r="I79" s="126" t="inlineStr">
        <is>
          <t>(43) 3371-4311</t>
        </is>
      </c>
      <c r="J79" s="108" t="inlineStr">
        <is>
          <t>reitoria@uel.br</t>
        </is>
      </c>
      <c r="K79" s="100" t="inlineStr">
        <is>
          <t>https://portal.uel.br/reitoria-equipe/</t>
        </is>
      </c>
      <c r="L79" s="207" t="inlineStr">
        <is>
          <t>CONFIRMADO</t>
        </is>
      </c>
      <c r="M79" s="86" t="n"/>
    </row>
    <row r="80" ht="15.75" customHeight="1" s="182">
      <c r="A80" s="124" t="inlineStr">
        <is>
          <t>Brasil</t>
        </is>
      </c>
      <c r="B80" s="124" t="inlineStr">
        <is>
          <t>Universidades públicas</t>
        </is>
      </c>
      <c r="C80" s="124" t="inlineStr">
        <is>
          <t>Estadual</t>
        </is>
      </c>
      <c r="D80" s="124" t="inlineStr">
        <is>
          <t>Universidade Estadual de Maringá (UEM)</t>
        </is>
      </c>
      <c r="E80" s="98" t="n"/>
      <c r="F80" s="124" t="inlineStr">
        <is>
          <t>Rectoria</t>
        </is>
      </c>
      <c r="G80" s="49" t="inlineStr">
        <is>
          <t>https://www.uem.br</t>
        </is>
      </c>
      <c r="H80" s="124" t="inlineStr">
        <is>
          <t>Leandro Vanalli</t>
        </is>
      </c>
      <c r="I80" s="126" t="inlineStr">
        <is>
          <t>no disponible publicamente</t>
        </is>
      </c>
      <c r="J80" s="124" t="inlineStr">
        <is>
          <t>sec-gre@uem.br</t>
        </is>
      </c>
      <c r="K80" s="100" t="inlineStr">
        <is>
          <t>https://www.uem.br/a-uem/reitoria</t>
        </is>
      </c>
      <c r="L80" s="207" t="inlineStr">
        <is>
          <t>CONFIRMADO</t>
        </is>
      </c>
      <c r="M80" s="86" t="n"/>
    </row>
    <row r="81" ht="15.75" customHeight="1" s="182">
      <c r="A81" s="124" t="inlineStr">
        <is>
          <t>Brasil</t>
        </is>
      </c>
      <c r="B81" s="124" t="inlineStr">
        <is>
          <t>Universidades públicas</t>
        </is>
      </c>
      <c r="C81" s="124" t="inlineStr">
        <is>
          <t>Estadual</t>
        </is>
      </c>
      <c r="D81" s="124" t="inlineStr">
        <is>
          <t>Universidade Estadual de Ponta Grossa (UEPG)</t>
        </is>
      </c>
      <c r="E81" s="98" t="n"/>
      <c r="F81" s="124" t="inlineStr">
        <is>
          <t>Vicerectoria</t>
        </is>
      </c>
      <c r="G81" s="49" t="inlineStr">
        <is>
          <t>https://www.uepg.br</t>
        </is>
      </c>
      <c r="H81" s="124" t="inlineStr">
        <is>
          <t>Adriana de Fátima Pilatti Ferreira Campagnoli</t>
        </is>
      </c>
      <c r="I81" s="126" t="inlineStr">
        <is>
          <t>no disponible publicamente</t>
        </is>
      </c>
      <c r="J81" s="124" t="inlineStr">
        <is>
          <t>reitoria@uepg.br</t>
        </is>
      </c>
      <c r="K81" s="100" t="inlineStr">
        <is>
          <t>https://www.uepg.br/reitoria-2/</t>
        </is>
      </c>
      <c r="L81" s="207" t="inlineStr">
        <is>
          <t>CONFIRMADO</t>
        </is>
      </c>
      <c r="M81" s="86" t="n"/>
    </row>
    <row r="82" ht="15.75" customHeight="1" s="182">
      <c r="A82" s="124" t="inlineStr">
        <is>
          <t>Brasil</t>
        </is>
      </c>
      <c r="B82" s="124" t="inlineStr">
        <is>
          <t>Universidades públicas</t>
        </is>
      </c>
      <c r="C82" s="124" t="inlineStr">
        <is>
          <t>Estadual</t>
        </is>
      </c>
      <c r="D82" s="124" t="inlineStr">
        <is>
          <t>Universidade Estadual do Oeste do Paraná (UNIOESTE)</t>
        </is>
      </c>
      <c r="E82" s="98" t="n"/>
      <c r="F82" s="124" t="inlineStr">
        <is>
          <t>Vicerectoria</t>
        </is>
      </c>
      <c r="G82" s="49" t="inlineStr">
        <is>
          <t>https://www.unioeste.br</t>
        </is>
      </c>
      <c r="H82" s="124" t="inlineStr">
        <is>
          <t>Gilmar Ribeiro de Mello</t>
        </is>
      </c>
      <c r="I82" s="126" t="inlineStr">
        <is>
          <t xml:space="preserve"> (45) 3220-3090</t>
        </is>
      </c>
      <c r="J82" s="124" t="inlineStr">
        <is>
          <t>gabinete@unioeste.br</t>
        </is>
      </c>
      <c r="K82" s="100" t="inlineStr">
        <is>
          <t>https://www.unioeste.br/portal/inicio/administracao/gabinete-reitoria</t>
        </is>
      </c>
      <c r="L82" s="207" t="inlineStr">
        <is>
          <t>CONFIRMADO</t>
        </is>
      </c>
      <c r="M82" s="86" t="n"/>
    </row>
    <row r="83" ht="15.75" customHeight="1" s="182">
      <c r="A83" s="124" t="inlineStr">
        <is>
          <t>Brasil</t>
        </is>
      </c>
      <c r="B83" s="124" t="inlineStr">
        <is>
          <t>Universidades públicas</t>
        </is>
      </c>
      <c r="C83" s="124" t="inlineStr">
        <is>
          <t>Estadual</t>
        </is>
      </c>
      <c r="D83" s="124" t="inlineStr">
        <is>
          <t>Universidade Estadual do Centro-Oeste (UNICENTRO)</t>
        </is>
      </c>
      <c r="E83" s="98" t="n"/>
      <c r="F83" s="124" t="inlineStr">
        <is>
          <t>Vicerectoria</t>
        </is>
      </c>
      <c r="G83" s="49" t="inlineStr">
        <is>
          <t>https://www3.unicentro.br</t>
        </is>
      </c>
      <c r="H83" s="124" t="inlineStr">
        <is>
          <t>Ademir Juracy Fanfa Ribas</t>
        </is>
      </c>
      <c r="I83" s="126" t="inlineStr">
        <is>
          <t>no disponible publicamente</t>
        </is>
      </c>
      <c r="J83" s="124" t="inlineStr">
        <is>
          <t>ademir@unicentro.br</t>
        </is>
      </c>
      <c r="K83" s="100" t="inlineStr">
        <is>
          <t>https://www3.unicentro.br/docentes/ademir-juracy-fanfa-ribas/</t>
        </is>
      </c>
      <c r="L83" s="207" t="inlineStr">
        <is>
          <t>CONFIRMADO</t>
        </is>
      </c>
      <c r="M83" s="86" t="n"/>
    </row>
    <row r="84" ht="15.75" customHeight="1" s="182">
      <c r="A84" s="124" t="inlineStr">
        <is>
          <t>Brasil</t>
        </is>
      </c>
      <c r="B84" s="124" t="inlineStr">
        <is>
          <t>Universidades públicas</t>
        </is>
      </c>
      <c r="C84" s="124" t="inlineStr">
        <is>
          <t>Estadual</t>
        </is>
      </c>
      <c r="D84" s="124" t="inlineStr">
        <is>
          <t>Universidade Estadual do Norte do Paraná (UENP)</t>
        </is>
      </c>
      <c r="E84" s="98" t="n"/>
      <c r="F84" s="124" t="inlineStr">
        <is>
          <t>Rectoria</t>
        </is>
      </c>
      <c r="G84" s="52" t="inlineStr">
        <is>
          <t>https://uenp.edu.br/?entrar=1</t>
        </is>
      </c>
      <c r="H84" s="124" t="inlineStr">
        <is>
          <t>Josiane Petenaci de Araújo</t>
        </is>
      </c>
      <c r="I84" s="126" t="inlineStr">
        <is>
          <t xml:space="preserve">(43) 3511-3202 </t>
        </is>
      </c>
      <c r="J84" s="203" t="inlineStr">
        <is>
          <t>gabinete@uenp.edu.br</t>
        </is>
      </c>
      <c r="K84" s="100" t="inlineStr">
        <is>
          <t>https://uenp.edu.br/contato.html#gsc.tab=0</t>
        </is>
      </c>
      <c r="L84" s="207" t="inlineStr">
        <is>
          <t>CONFIRMADO</t>
        </is>
      </c>
      <c r="M84" s="86" t="n"/>
    </row>
    <row r="85" ht="15.75" customHeight="1" s="182">
      <c r="A85" s="124" t="inlineStr">
        <is>
          <t>Brasil</t>
        </is>
      </c>
      <c r="B85" s="124" t="inlineStr">
        <is>
          <t>Universidades públicas</t>
        </is>
      </c>
      <c r="C85" s="124" t="inlineStr">
        <is>
          <t>Estadual</t>
        </is>
      </c>
      <c r="D85" s="124" t="inlineStr">
        <is>
          <t>Universidade Estadual do Paraná (UNESPAR)</t>
        </is>
      </c>
      <c r="E85" s="98" t="n"/>
      <c r="F85" s="124" t="inlineStr">
        <is>
          <t>Vicerectoria</t>
        </is>
      </c>
      <c r="G85" s="49" t="inlineStr">
        <is>
          <t>https://unespar.edu.br</t>
        </is>
      </c>
      <c r="H85" s="124" t="inlineStr">
        <is>
          <t xml:space="preserve"> Carlos Alexandre Molena Fernandes</t>
        </is>
      </c>
      <c r="I85" s="126" t="inlineStr">
        <is>
          <t>no disponible publicamente</t>
        </is>
      </c>
      <c r="J85" s="124" t="inlineStr">
        <is>
          <t>gabinete.reitoria@unespar.edu.br</t>
        </is>
      </c>
      <c r="K85" s="100" t="inlineStr">
        <is>
          <t>https://unespar.edu.br/a_reitoria/administracao</t>
        </is>
      </c>
      <c r="L85" s="207" t="inlineStr">
        <is>
          <t>CONFIRMADO</t>
        </is>
      </c>
      <c r="M85" s="86" t="n"/>
    </row>
    <row r="86" ht="15.75" customHeight="1" s="182">
      <c r="A86" s="124" t="inlineStr">
        <is>
          <t>Brasil</t>
        </is>
      </c>
      <c r="B86" s="124" t="inlineStr">
        <is>
          <t>Universidades públicas</t>
        </is>
      </c>
      <c r="C86" s="124" t="inlineStr">
        <is>
          <t>Estadual</t>
        </is>
      </c>
      <c r="D86" s="124" t="inlineStr">
        <is>
          <t>Universidade do Estado de Santa Catarina (UDESC)</t>
        </is>
      </c>
      <c r="E86" s="98" t="n"/>
      <c r="F86" s="124" t="inlineStr">
        <is>
          <t>Contacto general</t>
        </is>
      </c>
      <c r="G86" s="49" t="inlineStr">
        <is>
          <t>https://www.udesc.br</t>
        </is>
      </c>
      <c r="H86" s="124" t="inlineStr">
        <is>
          <t>No disponible públicamente</t>
        </is>
      </c>
      <c r="I86" s="126" t="inlineStr">
        <is>
          <t>(48) 3664-8000</t>
        </is>
      </c>
      <c r="J86" s="124" t="inlineStr">
        <is>
          <t>contato@udesc.br</t>
        </is>
      </c>
      <c r="K86" s="100" t="inlineStr">
        <is>
          <t>https://www.udesc.br</t>
        </is>
      </c>
      <c r="L86" s="207" t="inlineStr">
        <is>
          <t>CONFIRMADO</t>
        </is>
      </c>
      <c r="M86" s="86" t="n"/>
    </row>
    <row r="87" ht="15.75" customHeight="1" s="182">
      <c r="A87" s="124" t="inlineStr">
        <is>
          <t>Brasil</t>
        </is>
      </c>
      <c r="B87" s="124" t="inlineStr">
        <is>
          <t>Universidades públicas</t>
        </is>
      </c>
      <c r="C87" s="124" t="inlineStr">
        <is>
          <t>Estadual</t>
        </is>
      </c>
      <c r="D87" s="124" t="inlineStr">
        <is>
          <t>Universidade Estadual do Rio Grande do Sul (UERGS)</t>
        </is>
      </c>
      <c r="E87" s="98" t="n"/>
      <c r="F87" s="124" t="inlineStr">
        <is>
          <t>Secretaria Geral</t>
        </is>
      </c>
      <c r="G87" s="49" t="inlineStr">
        <is>
          <t>https://www.uergs.edu.br</t>
        </is>
      </c>
      <c r="H87" s="124" t="inlineStr">
        <is>
          <t>No disponible públicamente</t>
        </is>
      </c>
      <c r="I87" s="126">
        <f>+55 51 3288-9000</f>
        <v/>
      </c>
      <c r="J87" s="124" t="inlineStr">
        <is>
          <t>secretaria-geral@uergs.edu.br</t>
        </is>
      </c>
      <c r="K87" s="98" t="n"/>
      <c r="L87" s="207" t="inlineStr">
        <is>
          <t>CONFIRMADO</t>
        </is>
      </c>
      <c r="M87" s="86" t="n"/>
    </row>
    <row r="88" ht="15.75" customHeight="1" s="182">
      <c r="A88" s="124" t="inlineStr">
        <is>
          <t>Brasil</t>
        </is>
      </c>
      <c r="B88" s="124" t="inlineStr">
        <is>
          <t>Universidades públicas</t>
        </is>
      </c>
      <c r="C88" s="124" t="inlineStr">
        <is>
          <t>Estadual</t>
        </is>
      </c>
      <c r="D88" s="124" t="inlineStr">
        <is>
          <t>Universidade do Estado da Bahia (UNEB)</t>
        </is>
      </c>
      <c r="E88" s="98" t="n"/>
      <c r="F88" s="124" t="inlineStr">
        <is>
          <t>Rectoria</t>
        </is>
      </c>
      <c r="G88" s="49" t="inlineStr">
        <is>
          <t>https://portal.uneb.br</t>
        </is>
      </c>
      <c r="H88" s="124" t="inlineStr">
        <is>
          <t>Adriana dos Santos Marmori Lima</t>
        </is>
      </c>
      <c r="I88" s="126" t="inlineStr">
        <is>
          <t>no disponible publicamente</t>
        </is>
      </c>
      <c r="J88" s="124" t="inlineStr">
        <is>
          <t>asmlima@uneb.br</t>
        </is>
      </c>
      <c r="K88" s="100" t="inlineStr">
        <is>
          <t>https://reitoria.uneb.br/estrutura/</t>
        </is>
      </c>
      <c r="L88" s="207" t="inlineStr">
        <is>
          <t>CONFIRMADO</t>
        </is>
      </c>
      <c r="M88" s="86" t="n"/>
    </row>
    <row r="89" ht="15.75" customHeight="1" s="182">
      <c r="A89" s="124" t="inlineStr">
        <is>
          <t>Brasil</t>
        </is>
      </c>
      <c r="B89" s="124" t="inlineStr">
        <is>
          <t>Universidades públicas</t>
        </is>
      </c>
      <c r="C89" s="124" t="inlineStr">
        <is>
          <t>Estadual</t>
        </is>
      </c>
      <c r="D89" s="124" t="inlineStr">
        <is>
          <t>Universidade Estadual de Feira de Santana (UEFS)</t>
        </is>
      </c>
      <c r="E89" s="98" t="n"/>
      <c r="F89" s="124" t="inlineStr">
        <is>
          <t>Rectoria</t>
        </is>
      </c>
      <c r="G89" s="49" t="inlineStr">
        <is>
          <t>https://www.uefs.br</t>
        </is>
      </c>
      <c r="H89" s="110" t="inlineStr">
        <is>
          <t>Amali de Angelis Mussi</t>
        </is>
      </c>
      <c r="I89" s="126" t="inlineStr">
        <is>
          <t>(75) 3161.8175 - 3161.8714 - 3161.8315 - 3161.8390</t>
        </is>
      </c>
      <c r="J89" s="124" t="inlineStr">
        <is>
          <t>gabinete.reitora@uefs.br</t>
        </is>
      </c>
      <c r="K89" s="100" t="inlineStr">
        <is>
          <t>https://www.uefs.br/modules/conteudo/conteudo.php?conteudo=26</t>
        </is>
      </c>
      <c r="L89" s="207" t="inlineStr">
        <is>
          <t>CONFIRMADO</t>
        </is>
      </c>
      <c r="M89" s="86" t="n"/>
    </row>
    <row r="90" ht="15.75" customHeight="1" s="182">
      <c r="A90" s="124" t="inlineStr">
        <is>
          <t>Brasil</t>
        </is>
      </c>
      <c r="B90" s="124" t="inlineStr">
        <is>
          <t>Universidades públicas</t>
        </is>
      </c>
      <c r="C90" s="124" t="inlineStr">
        <is>
          <t>Estadual</t>
        </is>
      </c>
      <c r="D90" s="124" t="inlineStr">
        <is>
          <t>Universidade Estadual de Santa Cruz (UESC)</t>
        </is>
      </c>
      <c r="E90" s="98" t="n"/>
      <c r="F90" s="124" t="inlineStr">
        <is>
          <t>Vicerectoria</t>
        </is>
      </c>
      <c r="G90" s="49" t="inlineStr">
        <is>
          <t>https://www.uesc.br</t>
        </is>
      </c>
      <c r="H90" s="111" t="inlineStr">
        <is>
          <t>Maurício Santana Moreau</t>
        </is>
      </c>
      <c r="I90" s="126" t="inlineStr">
        <is>
          <t>no disponible publicamente</t>
        </is>
      </c>
      <c r="J90" s="124" t="inlineStr">
        <is>
          <t>vice-retoria@uesc.br</t>
        </is>
      </c>
      <c r="K90" s="100" t="inlineStr">
        <is>
          <t>https://www.uesc.br/reitoria/</t>
        </is>
      </c>
      <c r="L90" s="207" t="inlineStr">
        <is>
          <t>CONFIRMADO</t>
        </is>
      </c>
      <c r="M90" s="86" t="n"/>
    </row>
    <row r="91" ht="15.75" customHeight="1" s="182">
      <c r="A91" s="124" t="inlineStr">
        <is>
          <t>Brasil</t>
        </is>
      </c>
      <c r="B91" s="124" t="inlineStr">
        <is>
          <t>Universidades públicas</t>
        </is>
      </c>
      <c r="C91" s="124" t="inlineStr">
        <is>
          <t>Estadual</t>
        </is>
      </c>
      <c r="D91" s="124" t="inlineStr">
        <is>
          <t>Universidade Estadual do Sudoeste da Bahia (UESB)</t>
        </is>
      </c>
      <c r="E91" s="98" t="n"/>
      <c r="F91" s="124" t="inlineStr">
        <is>
          <t>Contacto general</t>
        </is>
      </c>
      <c r="G91" s="49" t="inlineStr">
        <is>
          <t>https://www.uesb.br</t>
        </is>
      </c>
      <c r="H91" s="112" t="inlineStr">
        <is>
          <t>no disponible públicamente</t>
        </is>
      </c>
      <c r="I91" s="126" t="inlineStr">
        <is>
          <t>no disponible publicamente</t>
        </is>
      </c>
      <c r="J91" s="124" t="inlineStr">
        <is>
          <t>ascom@uesb.edu.br</t>
        </is>
      </c>
      <c r="K91" s="100" t="inlineStr">
        <is>
          <t>https://www.uesb.br/reitoria/</t>
        </is>
      </c>
      <c r="L91" s="207" t="inlineStr">
        <is>
          <t>CONFIRMADO</t>
        </is>
      </c>
      <c r="M91" s="86" t="n"/>
    </row>
    <row r="92" ht="15.75" customHeight="1" s="182">
      <c r="A92" s="124" t="inlineStr">
        <is>
          <t>Brasil</t>
        </is>
      </c>
      <c r="B92" s="124" t="inlineStr">
        <is>
          <t>Universidades públicas</t>
        </is>
      </c>
      <c r="C92" s="124" t="inlineStr">
        <is>
          <t>Estadual</t>
        </is>
      </c>
      <c r="D92" s="124" t="inlineStr">
        <is>
          <t>Universidade Estadual do Ceará (UECE)</t>
        </is>
      </c>
      <c r="E92" s="98" t="n"/>
      <c r="F92" s="124" t="inlineStr">
        <is>
          <t>no disponible</t>
        </is>
      </c>
      <c r="G92" s="49" t="inlineStr">
        <is>
          <t>https://www.uece.br</t>
        </is>
      </c>
      <c r="H92" s="124" t="inlineStr">
        <is>
          <t>No disponible públicamente</t>
        </is>
      </c>
      <c r="I92" s="126" t="inlineStr">
        <is>
          <t>no disponible publicamente</t>
        </is>
      </c>
      <c r="J92" s="124" t="inlineStr">
        <is>
          <t>no disponible publicamente</t>
        </is>
      </c>
      <c r="K92" s="100" t="inlineStr">
        <is>
          <t>https://www.uece.br/?utm_source=gemini#</t>
        </is>
      </c>
      <c r="L92" s="207" t="inlineStr">
        <is>
          <t>CONFIRMADO</t>
        </is>
      </c>
      <c r="M92" s="86" t="inlineStr">
        <is>
          <t>la interfaz de la pagina no permite ver los contactos institucionales</t>
        </is>
      </c>
    </row>
    <row r="93" ht="15.75" customHeight="1" s="182">
      <c r="A93" s="124" t="inlineStr">
        <is>
          <t>Brasil</t>
        </is>
      </c>
      <c r="B93" s="124" t="inlineStr">
        <is>
          <t>Universidades públicas</t>
        </is>
      </c>
      <c r="C93" s="124" t="inlineStr">
        <is>
          <t>Estadual</t>
        </is>
      </c>
      <c r="D93" s="124" t="inlineStr">
        <is>
          <t>Universidade Estadual do Vale do Acaraú (UVA)</t>
        </is>
      </c>
      <c r="E93" s="98" t="n"/>
      <c r="F93" s="124" t="inlineStr">
        <is>
          <t>Contacto general</t>
        </is>
      </c>
      <c r="G93" s="53" t="inlineStr">
        <is>
          <t>https://www.uva.br</t>
        </is>
      </c>
      <c r="H93" s="124" t="inlineStr">
        <is>
          <t>No disponible públicamente</t>
        </is>
      </c>
      <c r="I93" s="126" t="inlineStr">
        <is>
          <t xml:space="preserve">(21) 2574-8888 - 0800-024-6172 </t>
        </is>
      </c>
      <c r="J93" s="124" t="inlineStr">
        <is>
          <t>no disponible publicamente</t>
        </is>
      </c>
      <c r="K93" s="100" t="inlineStr">
        <is>
          <t>https://www.uva.br</t>
        </is>
      </c>
      <c r="L93" s="207" t="inlineStr">
        <is>
          <t>CONFIRMADO</t>
        </is>
      </c>
      <c r="M93" s="86" t="n"/>
    </row>
    <row r="94" ht="15.75" customHeight="1" s="182">
      <c r="A94" s="124" t="inlineStr">
        <is>
          <t>Brasil</t>
        </is>
      </c>
      <c r="B94" s="124" t="inlineStr">
        <is>
          <t>Universidades públicas</t>
        </is>
      </c>
      <c r="C94" s="124" t="inlineStr">
        <is>
          <t>Estadual</t>
        </is>
      </c>
      <c r="D94" s="124" t="inlineStr">
        <is>
          <t>Universidade Regional do Cariri (URCA)</t>
        </is>
      </c>
      <c r="E94" s="98" t="n"/>
      <c r="F94" s="124" t="inlineStr">
        <is>
          <t>Contacto general</t>
        </is>
      </c>
      <c r="G94" s="49" t="inlineStr">
        <is>
          <t>https://urca.br</t>
        </is>
      </c>
      <c r="H94" s="124" t="inlineStr">
        <is>
          <t>No disponible públicamente</t>
        </is>
      </c>
      <c r="I94" s="126" t="inlineStr">
        <is>
          <t>no disponible publicamente</t>
        </is>
      </c>
      <c r="J94" s="124" t="inlineStr">
        <is>
          <t>GABINETE@URCA.BR</t>
        </is>
      </c>
      <c r="K94" s="100" t="inlineStr">
        <is>
          <t>https://www.urca.br/#</t>
        </is>
      </c>
      <c r="L94" s="207" t="inlineStr">
        <is>
          <t>CONFIRMADO</t>
        </is>
      </c>
      <c r="M94" s="86" t="n"/>
    </row>
    <row r="95" ht="15.75" customHeight="1" s="182">
      <c r="A95" s="124" t="inlineStr">
        <is>
          <t>Brasil</t>
        </is>
      </c>
      <c r="B95" s="124" t="inlineStr">
        <is>
          <t>Universidades públicas</t>
        </is>
      </c>
      <c r="C95" s="124" t="inlineStr">
        <is>
          <t>Estadual</t>
        </is>
      </c>
      <c r="D95" s="124" t="inlineStr">
        <is>
          <t>Universidade do Estado do Rio Grande do Norte (UERN)</t>
        </is>
      </c>
      <c r="E95" s="98" t="n"/>
      <c r="F95" s="124" t="inlineStr">
        <is>
          <t>Vicerectoria</t>
        </is>
      </c>
      <c r="G95" s="49" t="inlineStr">
        <is>
          <t>https://uern.br</t>
        </is>
      </c>
      <c r="H95" s="124" t="inlineStr">
        <is>
          <t>Francisco Dantas de Medeiros Neto</t>
        </is>
      </c>
      <c r="I95" s="126" t="inlineStr">
        <is>
          <t>no disponible publicamente</t>
        </is>
      </c>
      <c r="J95" s="124" t="inlineStr">
        <is>
          <t>vicereitoria@uern.br</t>
        </is>
      </c>
      <c r="K95" s="100" t="inlineStr">
        <is>
          <t>https://portal.uern.br/administracao-superior/</t>
        </is>
      </c>
      <c r="L95" s="207" t="inlineStr">
        <is>
          <t>CONFIRMADO</t>
        </is>
      </c>
      <c r="M95" s="86" t="n"/>
    </row>
    <row r="96" ht="15.75" customHeight="1" s="182">
      <c r="A96" s="124" t="inlineStr">
        <is>
          <t>Brasil</t>
        </is>
      </c>
      <c r="B96" s="124" t="inlineStr">
        <is>
          <t>Universidades públicas</t>
        </is>
      </c>
      <c r="C96" s="124" t="inlineStr">
        <is>
          <t>Estadual</t>
        </is>
      </c>
      <c r="D96" s="124" t="inlineStr">
        <is>
          <t>Universidade Estadual da Paraíba (UEPB)</t>
        </is>
      </c>
      <c r="E96" s="98" t="n"/>
      <c r="F96" s="124" t="inlineStr">
        <is>
          <t>Secretaria Geral</t>
        </is>
      </c>
      <c r="G96" s="49" t="inlineStr">
        <is>
          <t>https://uepb.edu.br</t>
        </is>
      </c>
      <c r="H96" s="124" t="inlineStr">
        <is>
          <t>Célia Regina Diniz</t>
        </is>
      </c>
      <c r="I96" s="126" t="inlineStr">
        <is>
          <t>(83) 2017-0360</t>
        </is>
      </c>
      <c r="J96" s="124" t="inlineStr">
        <is>
          <t>reitoria@setor.uepb.edu.br</t>
        </is>
      </c>
      <c r="K96" s="100" t="inlineStr">
        <is>
          <t>https://uepb.edu.br/gabinete-da-reitoria/</t>
        </is>
      </c>
      <c r="L96" s="207" t="inlineStr">
        <is>
          <t>CONFIRMADO</t>
        </is>
      </c>
      <c r="M96" s="86" t="n"/>
    </row>
    <row r="97" ht="15.75" customHeight="1" s="182">
      <c r="A97" s="124" t="inlineStr">
        <is>
          <t>Brasil</t>
        </is>
      </c>
      <c r="B97" s="124" t="inlineStr">
        <is>
          <t>Universidades públicas</t>
        </is>
      </c>
      <c r="C97" s="124" t="inlineStr">
        <is>
          <t>Estadual</t>
        </is>
      </c>
      <c r="D97" s="124" t="inlineStr">
        <is>
          <t>Universidade Estadual do Piauí (UESPI)</t>
        </is>
      </c>
      <c r="E97" s="98" t="n"/>
      <c r="F97" s="124" t="inlineStr">
        <is>
          <t>Secretaria Geral</t>
        </is>
      </c>
      <c r="G97" s="49" t="inlineStr">
        <is>
          <t>https://uespi.br</t>
        </is>
      </c>
      <c r="H97" s="124" t="inlineStr">
        <is>
          <t>No disponible públicamente</t>
        </is>
      </c>
      <c r="I97" s="126">
        <f>+55 86 3213-7126</f>
        <v/>
      </c>
      <c r="J97" s="124" t="inlineStr">
        <is>
          <t>secgeral@uespi.br</t>
        </is>
      </c>
      <c r="K97" s="98" t="n"/>
      <c r="L97" s="207" t="inlineStr"/>
      <c r="M97" s="86" t="n"/>
    </row>
    <row r="98" ht="15.75" customHeight="1" s="182">
      <c r="A98" s="124" t="inlineStr">
        <is>
          <t>Brasil</t>
        </is>
      </c>
      <c r="B98" s="124" t="inlineStr">
        <is>
          <t>Universidades públicas</t>
        </is>
      </c>
      <c r="C98" s="124" t="inlineStr">
        <is>
          <t>Estadual</t>
        </is>
      </c>
      <c r="D98" s="124" t="inlineStr">
        <is>
          <t>Universidade Estadual do Maranhão (UEMA)</t>
        </is>
      </c>
      <c r="E98" s="98" t="n"/>
      <c r="F98" s="124" t="inlineStr">
        <is>
          <t>Contacto general</t>
        </is>
      </c>
      <c r="G98" s="49" t="inlineStr">
        <is>
          <t>https://uema.br</t>
        </is>
      </c>
      <c r="H98" s="124" t="inlineStr">
        <is>
          <t>No disponible públicamente</t>
        </is>
      </c>
      <c r="I98" s="126" t="inlineStr">
        <is>
          <t xml:space="preserve"> (98) 2016-8100.</t>
        </is>
      </c>
      <c r="J98" s="124" t="inlineStr">
        <is>
          <t>no disponible publicamente</t>
        </is>
      </c>
      <c r="K98" s="100" t="inlineStr">
        <is>
          <t>https://www.uema.br/reitoria/</t>
        </is>
      </c>
      <c r="L98" s="207" t="inlineStr">
        <is>
          <t>CONFIRMADO</t>
        </is>
      </c>
      <c r="M98" s="86" t="n"/>
    </row>
    <row r="99" ht="15.75" customHeight="1" s="182">
      <c r="A99" s="124" t="inlineStr">
        <is>
          <t>Brasil</t>
        </is>
      </c>
      <c r="B99" s="124" t="inlineStr">
        <is>
          <t>Universidades públicas</t>
        </is>
      </c>
      <c r="C99" s="124" t="inlineStr">
        <is>
          <t>Estadual</t>
        </is>
      </c>
      <c r="D99" s="124" t="inlineStr">
        <is>
          <t>Universidade Estadual da Região Tocantina do Maranhão (UEMASUL)</t>
        </is>
      </c>
      <c r="E99" s="98" t="n"/>
      <c r="F99" s="124" t="inlineStr">
        <is>
          <t>Vicerectoria</t>
        </is>
      </c>
      <c r="G99" s="49" t="inlineStr">
        <is>
          <t>https://uemasul.edu.br</t>
        </is>
      </c>
      <c r="H99" s="124" t="inlineStr">
        <is>
          <t>Jorge Diniz de Oliveira</t>
        </is>
      </c>
      <c r="I99" s="126" t="inlineStr">
        <is>
          <t>no disponible publicamente</t>
        </is>
      </c>
      <c r="J99" s="124" t="inlineStr">
        <is>
          <t>vicereitoria@uemasul.edu.br</t>
        </is>
      </c>
      <c r="K99" s="100" t="inlineStr">
        <is>
          <t>https://www.uemasul.edu.br/institucional/reitoria/</t>
        </is>
      </c>
      <c r="L99" s="207" t="inlineStr">
        <is>
          <t>CONFIRMADO</t>
        </is>
      </c>
      <c r="M99" s="86" t="n"/>
    </row>
    <row r="100" ht="15.75" customHeight="1" s="182">
      <c r="A100" s="124" t="inlineStr">
        <is>
          <t>Brasil</t>
        </is>
      </c>
      <c r="B100" s="124" t="inlineStr">
        <is>
          <t>Universidades públicas</t>
        </is>
      </c>
      <c r="C100" s="124" t="inlineStr">
        <is>
          <t>Estadual</t>
        </is>
      </c>
      <c r="D100" s="124" t="inlineStr">
        <is>
          <t>Universidade Estadual de Alagoas (UNEAL)</t>
        </is>
      </c>
      <c r="E100" s="98" t="n"/>
      <c r="F100" s="124" t="inlineStr">
        <is>
          <t>no disponible</t>
        </is>
      </c>
      <c r="G100" s="49" t="inlineStr">
        <is>
          <t>https://uneal.edu.br</t>
        </is>
      </c>
      <c r="H100" s="124" t="inlineStr">
        <is>
          <t>No disponible públicamente</t>
        </is>
      </c>
      <c r="I100" s="126" t="inlineStr">
        <is>
          <t>no disponible publicamente</t>
        </is>
      </c>
      <c r="J100" s="124" t="inlineStr">
        <is>
          <t>no disponible publicamente</t>
        </is>
      </c>
      <c r="K100" s="115" t="inlineStr">
        <is>
          <t>https://www.uneal.edu.br</t>
        </is>
      </c>
      <c r="L100" s="207" t="inlineStr">
        <is>
          <t>CONFIRMADO</t>
        </is>
      </c>
      <c r="M100" s="86" t="n"/>
    </row>
    <row r="101" ht="15.75" customHeight="1" s="182">
      <c r="A101" s="124" t="inlineStr">
        <is>
          <t>Brasil</t>
        </is>
      </c>
      <c r="B101" s="124" t="inlineStr">
        <is>
          <t>Universidades públicas</t>
        </is>
      </c>
      <c r="C101" s="124" t="inlineStr">
        <is>
          <t>Estadual</t>
        </is>
      </c>
      <c r="D101" s="124" t="inlineStr">
        <is>
          <t>Universidade Estadual de Ciências da Saúde de Alagoas (UNCISAL)</t>
        </is>
      </c>
      <c r="E101" s="98" t="n"/>
      <c r="F101" s="124" t="inlineStr">
        <is>
          <t>Secretaria Geral</t>
        </is>
      </c>
      <c r="G101" s="49" t="inlineStr">
        <is>
          <t>https://uncisal.edu.br</t>
        </is>
      </c>
      <c r="H101" s="124" t="inlineStr">
        <is>
          <t>No disponible públicamente</t>
        </is>
      </c>
      <c r="I101" s="126">
        <f>+55 82 3315-6700</f>
        <v/>
      </c>
      <c r="J101" s="124" t="inlineStr">
        <is>
          <t>secgeral@uncisal.edu.br</t>
        </is>
      </c>
      <c r="K101" s="98" t="n"/>
      <c r="L101" s="207" t="inlineStr">
        <is>
          <t>PENDIENTE</t>
        </is>
      </c>
      <c r="M101" s="86" t="inlineStr">
        <is>
          <t>PAG CAIDA</t>
        </is>
      </c>
    </row>
    <row r="102" ht="15.75" customHeight="1" s="182">
      <c r="A102" s="124" t="inlineStr">
        <is>
          <t>Brasil</t>
        </is>
      </c>
      <c r="B102" s="124" t="inlineStr">
        <is>
          <t>Universidades públicas</t>
        </is>
      </c>
      <c r="C102" s="124" t="inlineStr">
        <is>
          <t>Estadual</t>
        </is>
      </c>
      <c r="D102" s="124" t="inlineStr">
        <is>
          <t>Universidade do Estado do Amapá (UEAP)</t>
        </is>
      </c>
      <c r="E102" s="98" t="n"/>
      <c r="F102" s="124" t="inlineStr">
        <is>
          <t>Secretaria Geral</t>
        </is>
      </c>
      <c r="G102" s="49" t="inlineStr">
        <is>
          <t>https://ueap.edu.br</t>
        </is>
      </c>
      <c r="H102" s="124" t="inlineStr">
        <is>
          <t>No disponible públicamente</t>
        </is>
      </c>
      <c r="I102" s="126">
        <f>+55 96 2101-0300</f>
        <v/>
      </c>
      <c r="J102" s="124" t="inlineStr">
        <is>
          <t>secgeral@ueap.edu.br</t>
        </is>
      </c>
      <c r="K102" s="98" t="n"/>
      <c r="L102" s="207" t="inlineStr">
        <is>
          <t>PENDIENTE</t>
        </is>
      </c>
      <c r="M102" s="86" t="inlineStr">
        <is>
          <t>PAG CAIDA</t>
        </is>
      </c>
    </row>
    <row r="103" ht="15.75" customHeight="1" s="182">
      <c r="A103" s="124" t="inlineStr">
        <is>
          <t>Brasil</t>
        </is>
      </c>
      <c r="B103" s="124" t="inlineStr">
        <is>
          <t>Universidades públicas</t>
        </is>
      </c>
      <c r="C103" s="124" t="inlineStr">
        <is>
          <t>Estadual</t>
        </is>
      </c>
      <c r="D103" s="124" t="inlineStr">
        <is>
          <t>Universidade do Estado do Amazonas (UEA)</t>
        </is>
      </c>
      <c r="E103" s="98" t="n"/>
      <c r="F103" s="124" t="inlineStr">
        <is>
          <t>Rectoria</t>
        </is>
      </c>
      <c r="G103" s="49" t="inlineStr">
        <is>
          <t>https://www.uea.edu.br</t>
        </is>
      </c>
      <c r="H103" s="124" t="inlineStr">
        <is>
          <t>André Luiz Nunes Zogahib</t>
        </is>
      </c>
      <c r="I103" s="126" t="inlineStr">
        <is>
          <t>9299517-3052</t>
        </is>
      </c>
      <c r="J103" s="124" t="inlineStr">
        <is>
          <t>gabinetechefia@uea.edu.br</t>
        </is>
      </c>
      <c r="K103" s="100" t="inlineStr">
        <is>
          <t>https://uea.edu.br/index.php/reitor/</t>
        </is>
      </c>
      <c r="L103" s="207" t="inlineStr">
        <is>
          <t>CONFIRMADO</t>
        </is>
      </c>
      <c r="M103" s="86" t="n"/>
    </row>
    <row r="104" ht="15.75" customHeight="1" s="182">
      <c r="A104" s="124" t="inlineStr">
        <is>
          <t>Brasil</t>
        </is>
      </c>
      <c r="B104" s="124" t="inlineStr">
        <is>
          <t>Universidades públicas</t>
        </is>
      </c>
      <c r="C104" s="124" t="inlineStr">
        <is>
          <t>Estadual</t>
        </is>
      </c>
      <c r="D104" s="124" t="inlineStr">
        <is>
          <t>Universidade do Estado do Pará (UEPA)</t>
        </is>
      </c>
      <c r="E104" s="98" t="n"/>
      <c r="F104" s="124" t="inlineStr">
        <is>
          <t>Secretaria dos Órgãos Colegiados</t>
        </is>
      </c>
      <c r="G104" s="49" t="inlineStr">
        <is>
          <t>https://www.uepa.br</t>
        </is>
      </c>
      <c r="H104" s="124" t="inlineStr">
        <is>
          <t>No disponible públicamente</t>
        </is>
      </c>
      <c r="I104" s="126" t="n"/>
      <c r="J104" s="124" t="inlineStr">
        <is>
          <t>soc@uepa.br</t>
        </is>
      </c>
      <c r="K104" s="98" t="n"/>
      <c r="L104" s="207" t="inlineStr">
        <is>
          <t>PENDIENTE</t>
        </is>
      </c>
      <c r="M104" s="86" t="inlineStr">
        <is>
          <t>PAG CAIDA</t>
        </is>
      </c>
    </row>
    <row r="105" ht="15.75" customHeight="1" s="182">
      <c r="A105" s="124" t="inlineStr">
        <is>
          <t>Brasil</t>
        </is>
      </c>
      <c r="B105" s="124" t="inlineStr">
        <is>
          <t>Universidades públicas</t>
        </is>
      </c>
      <c r="C105" s="124" t="inlineStr">
        <is>
          <t>Estadual</t>
        </is>
      </c>
      <c r="D105" s="124" t="inlineStr">
        <is>
          <t>Universidade Estadual de Roraima (UERR)</t>
        </is>
      </c>
      <c r="E105" s="98" t="n"/>
      <c r="F105" s="124" t="inlineStr">
        <is>
          <t>Secretaria Geral</t>
        </is>
      </c>
      <c r="G105" s="49" t="inlineStr">
        <is>
          <t>https://uerr.edu.br</t>
        </is>
      </c>
      <c r="H105" s="124" t="inlineStr">
        <is>
          <t>No disponible públicamente</t>
        </is>
      </c>
      <c r="I105" s="126" t="inlineStr">
        <is>
          <t>no disponible publicamente</t>
        </is>
      </c>
      <c r="J105" s="124" t="inlineStr">
        <is>
          <t>vice-reitoria@uerr.edu.br</t>
        </is>
      </c>
      <c r="K105" s="117" t="inlineStr">
        <is>
          <t>https://uerr.edu.br/vice-reitoria/</t>
        </is>
      </c>
      <c r="L105" s="207" t="inlineStr">
        <is>
          <t>CONFIRMADO</t>
        </is>
      </c>
      <c r="M105" s="86" t="n"/>
    </row>
    <row r="106" ht="15.75" customHeight="1" s="182">
      <c r="A106" s="124" t="inlineStr">
        <is>
          <t>Brasil</t>
        </is>
      </c>
      <c r="B106" s="124" t="inlineStr">
        <is>
          <t>Universidades públicas</t>
        </is>
      </c>
      <c r="C106" s="124" t="inlineStr">
        <is>
          <t>Estadual</t>
        </is>
      </c>
      <c r="D106" s="124" t="inlineStr">
        <is>
          <t>Universidade Estadual do Tocantins (UNITINS)</t>
        </is>
      </c>
      <c r="E106" s="98" t="n"/>
      <c r="F106" s="124" t="inlineStr">
        <is>
          <t>Vicerectoria de Extension</t>
        </is>
      </c>
      <c r="G106" s="209" t="inlineStr">
        <is>
          <t>https://unitins.br</t>
        </is>
      </c>
      <c r="H106" s="124" t="inlineStr">
        <is>
          <t>Ana Flávia Gouveia de Faria</t>
        </is>
      </c>
      <c r="I106" s="126" t="inlineStr">
        <is>
          <t>(63) 3901-4293</t>
        </is>
      </c>
      <c r="J106" s="124" t="inlineStr">
        <is>
          <t>ppes@unitins.br</t>
        </is>
      </c>
      <c r="K106" s="210" t="inlineStr">
        <is>
          <t>https://unitins.br</t>
        </is>
      </c>
      <c r="L106" s="101" t="inlineStr">
        <is>
          <t>CONFIRMADO</t>
        </is>
      </c>
      <c r="M106" s="86" t="n"/>
    </row>
    <row r="107" ht="15.75" customHeight="1" s="182">
      <c r="A107" s="124" t="inlineStr">
        <is>
          <t>Brasil</t>
        </is>
      </c>
      <c r="B107" s="124" t="inlineStr">
        <is>
          <t>Universidades públicas</t>
        </is>
      </c>
      <c r="C107" s="124" t="inlineStr">
        <is>
          <t>Estadual</t>
        </is>
      </c>
      <c r="D107" s="124" t="inlineStr">
        <is>
          <t>Universidade Estadual de Goiás (UEG)</t>
        </is>
      </c>
      <c r="E107" s="98" t="n"/>
      <c r="F107" s="124" t="inlineStr">
        <is>
          <t>Rectoria</t>
        </is>
      </c>
      <c r="G107" s="49" t="inlineStr">
        <is>
          <t>https://www.ueg.br</t>
        </is>
      </c>
      <c r="H107" s="124" t="inlineStr">
        <is>
          <t>Antonio Cruvinel Borges Neto</t>
        </is>
      </c>
      <c r="I107" s="126" t="inlineStr">
        <is>
          <t>no disponible publicamente</t>
        </is>
      </c>
      <c r="J107" s="124" t="inlineStr">
        <is>
          <t>reitor@ueg.br</t>
        </is>
      </c>
      <c r="K107" s="115" t="inlineStr">
        <is>
          <t>https://www.ueg.br/conteudo/13646_reitoria</t>
        </is>
      </c>
      <c r="L107" s="101" t="inlineStr">
        <is>
          <t>CONFIRMADO</t>
        </is>
      </c>
      <c r="M107" s="86" t="n"/>
    </row>
    <row r="108" ht="15.75" customHeight="1" s="182">
      <c r="A108" s="124" t="inlineStr">
        <is>
          <t>Brasil</t>
        </is>
      </c>
      <c r="B108" s="124" t="inlineStr">
        <is>
          <t>Universidades públicas</t>
        </is>
      </c>
      <c r="C108" s="124" t="inlineStr">
        <is>
          <t>Estadual</t>
        </is>
      </c>
      <c r="D108" s="124" t="inlineStr">
        <is>
          <t>Universidade do Estado de Mato Grosso (UNEMAT)</t>
        </is>
      </c>
      <c r="E108" s="98" t="n"/>
      <c r="F108" s="124" t="inlineStr">
        <is>
          <t>Vicerectoria</t>
        </is>
      </c>
      <c r="G108" s="49" t="inlineStr">
        <is>
          <t>https://unemat.br</t>
        </is>
      </c>
      <c r="H108" s="124" t="inlineStr">
        <is>
          <t>ALEXANDRE GONÇALVES PORTO</t>
        </is>
      </c>
      <c r="I108" s="126" t="inlineStr">
        <is>
          <t xml:space="preserve"> (65) 8120-0226 </t>
        </is>
      </c>
      <c r="J108" s="124" t="inlineStr">
        <is>
          <t>reitoria@unemat.br</t>
        </is>
      </c>
      <c r="K108" s="100" t="inlineStr">
        <is>
          <t>https://unemat.br/site/rtr/vice</t>
        </is>
      </c>
      <c r="L108" s="101" t="inlineStr">
        <is>
          <t>CONFIRMADO</t>
        </is>
      </c>
      <c r="M108" s="86" t="n"/>
    </row>
    <row r="109" ht="15.75" customHeight="1" s="182">
      <c r="A109" s="124" t="inlineStr">
        <is>
          <t>Brasil</t>
        </is>
      </c>
      <c r="B109" s="124" t="inlineStr">
        <is>
          <t>Universidades públicas</t>
        </is>
      </c>
      <c r="C109" s="124" t="inlineStr">
        <is>
          <t>Estadual</t>
        </is>
      </c>
      <c r="D109" s="124" t="inlineStr">
        <is>
          <t>Universidade Estadual do Mato Grosso do Sul (UEMS)</t>
        </is>
      </c>
      <c r="E109" s="98" t="n"/>
      <c r="F109" s="124" t="inlineStr">
        <is>
          <t>Vicerectoria</t>
        </is>
      </c>
      <c r="G109" s="49" t="inlineStr">
        <is>
          <t>https://www.uems.br</t>
        </is>
      </c>
      <c r="H109" s="124" t="inlineStr">
        <is>
          <t>Luciana Ferreira da Silva</t>
        </is>
      </c>
      <c r="I109" s="126" t="inlineStr">
        <is>
          <t>(67) 3902-2360 /2363</t>
        </is>
      </c>
      <c r="J109" s="124" t="inlineStr">
        <is>
          <t>vicereitoria@uems.br</t>
        </is>
      </c>
      <c r="K109" s="100" t="inlineStr">
        <is>
          <t>https://www.uems.br/reitoria/reitoria</t>
        </is>
      </c>
      <c r="L109" s="101" t="inlineStr">
        <is>
          <t>CONFIRMADO</t>
        </is>
      </c>
      <c r="M109" s="86" t="n"/>
    </row>
    <row r="110" ht="15.75" customHeight="1" s="182">
      <c r="A110" s="124" t="inlineStr">
        <is>
          <t>Brasil</t>
        </is>
      </c>
      <c r="B110" s="124" t="inlineStr">
        <is>
          <t>Universidades públicas</t>
        </is>
      </c>
      <c r="C110" s="124" t="inlineStr">
        <is>
          <t>Distrital</t>
        </is>
      </c>
      <c r="D110" s="124" t="inlineStr">
        <is>
          <t>Universidade do Distrito Federal Prof. Jorge Amaury Maia Nunes (UnIDF)</t>
        </is>
      </c>
      <c r="E110" s="98" t="n"/>
      <c r="F110" s="124" t="inlineStr">
        <is>
          <t>Secretaria Geral</t>
        </is>
      </c>
      <c r="G110" s="52" t="inlineStr">
        <is>
          <t>https://unidf.edu.br</t>
        </is>
      </c>
      <c r="H110" s="124" t="inlineStr">
        <is>
          <t>No disponible públicamente</t>
        </is>
      </c>
      <c r="I110" s="126" t="inlineStr">
        <is>
          <t>no disponible publicamente</t>
        </is>
      </c>
      <c r="J110" s="124" t="inlineStr">
        <is>
          <t>no disponible publicamente</t>
        </is>
      </c>
      <c r="K110" s="100" t="inlineStr">
        <is>
          <t>https://unidf.edu.br</t>
        </is>
      </c>
      <c r="L110" s="101" t="inlineStr">
        <is>
          <t>CONFIRMADO</t>
        </is>
      </c>
      <c r="M110" s="86" t="n"/>
    </row>
    <row r="111" ht="15.75" customHeight="1" s="182">
      <c r="A111" s="124" t="inlineStr">
        <is>
          <t>Brasil</t>
        </is>
      </c>
      <c r="B111" s="124" t="inlineStr">
        <is>
          <t>Universidades públicas</t>
        </is>
      </c>
      <c r="C111" s="124" t="inlineStr">
        <is>
          <t>Municipal</t>
        </is>
      </c>
      <c r="D111" s="124" t="inlineStr">
        <is>
          <t>Universidade de Taubaté (UNITAU)</t>
        </is>
      </c>
      <c r="E111" s="98" t="n"/>
      <c r="F111" s="124" t="inlineStr">
        <is>
          <t>no disponible</t>
        </is>
      </c>
      <c r="G111" s="52" t="inlineStr">
        <is>
          <t>https://www.unitau.br</t>
        </is>
      </c>
      <c r="H111" s="124" t="inlineStr">
        <is>
          <t>No disponible públicamente</t>
        </is>
      </c>
      <c r="I111" s="126" t="inlineStr">
        <is>
          <t>no disponible publicamente</t>
        </is>
      </c>
      <c r="J111" s="124" t="inlineStr">
        <is>
          <t>no disponible publicamente</t>
        </is>
      </c>
      <c r="K111" s="100" t="inlineStr">
        <is>
          <t>https://www.unitau.br</t>
        </is>
      </c>
      <c r="L111" s="101" t="inlineStr">
        <is>
          <t>CONFIRMADO</t>
        </is>
      </c>
      <c r="M111" s="86" t="inlineStr">
        <is>
          <t>Apartado de contactos esta caido</t>
        </is>
      </c>
    </row>
    <row r="112" ht="15.75" customHeight="1" s="182">
      <c r="A112" s="124" t="inlineStr">
        <is>
          <t>Brasil</t>
        </is>
      </c>
      <c r="B112" s="124" t="inlineStr">
        <is>
          <t>Universidades públicas</t>
        </is>
      </c>
      <c r="C112" s="124" t="inlineStr">
        <is>
          <t>Municipal</t>
        </is>
      </c>
      <c r="D112" s="124" t="inlineStr">
        <is>
          <t>Universidade Municipal de São Caetano do Sul (USCS)</t>
        </is>
      </c>
      <c r="E112" s="98" t="n"/>
      <c r="F112" s="124" t="inlineStr">
        <is>
          <t>Sector de Relación con el Estudiante</t>
        </is>
      </c>
      <c r="G112" s="52" t="inlineStr">
        <is>
          <t>https://www.uscs.edu.br</t>
        </is>
      </c>
      <c r="H112" s="124" t="inlineStr">
        <is>
          <t>No disponible públicamente</t>
        </is>
      </c>
      <c r="I112" s="126" t="inlineStr">
        <is>
          <t>4239-3356 / 4239-3241</t>
        </is>
      </c>
      <c r="J112" s="124" t="inlineStr">
        <is>
          <t>atendimento@online.uscs.edu.br</t>
        </is>
      </c>
      <c r="K112" s="100" t="inlineStr">
        <is>
          <t>https://www.uscs.edu.br</t>
        </is>
      </c>
      <c r="L112" s="101" t="inlineStr">
        <is>
          <t>CONFIRMADO</t>
        </is>
      </c>
      <c r="M112" s="86" t="n"/>
    </row>
    <row r="113" ht="15.75" customHeight="1" s="182">
      <c r="A113" s="124" t="inlineStr">
        <is>
          <t>Brasil</t>
        </is>
      </c>
      <c r="B113" s="124" t="inlineStr">
        <is>
          <t>Universidades públicas</t>
        </is>
      </c>
      <c r="C113" s="124" t="inlineStr">
        <is>
          <t>Municipal</t>
        </is>
      </c>
      <c r="D113" s="124" t="inlineStr">
        <is>
          <t>Universidade de Rio Verde (UniRV)</t>
        </is>
      </c>
      <c r="E113" s="98" t="n"/>
      <c r="F113" s="124" t="inlineStr">
        <is>
          <t>Contacto general</t>
        </is>
      </c>
      <c r="G113" s="49" t="inlineStr">
        <is>
          <t>https://www.unirv.edu.br</t>
        </is>
      </c>
      <c r="H113" s="124" t="inlineStr">
        <is>
          <t>No disponible públicamente</t>
        </is>
      </c>
      <c r="I113" s="126" t="inlineStr">
        <is>
          <t>(55) 64 3620-3000</t>
        </is>
      </c>
      <c r="J113" s="124" t="inlineStr">
        <is>
          <t>atendimento@unirv.edu.br</t>
        </is>
      </c>
      <c r="K113" s="100" t="inlineStr">
        <is>
          <t>https://www.unirv.edu.br</t>
        </is>
      </c>
      <c r="L113" s="101" t="inlineStr">
        <is>
          <t>CONFIRMADO</t>
        </is>
      </c>
      <c r="M113" s="86" t="n"/>
    </row>
    <row r="114" ht="15.75" customHeight="1" s="182">
      <c r="A114" s="124" t="inlineStr">
        <is>
          <t>Brasil</t>
        </is>
      </c>
      <c r="B114" s="124" t="inlineStr">
        <is>
          <t>Universidades públicas</t>
        </is>
      </c>
      <c r="C114" s="124" t="inlineStr">
        <is>
          <t>Municipal</t>
        </is>
      </c>
      <c r="D114" s="124" t="inlineStr">
        <is>
          <t>Universidade de Gurupi (UnirG)</t>
        </is>
      </c>
      <c r="E114" s="98" t="n"/>
      <c r="F114" s="124" t="inlineStr">
        <is>
          <t>Rectoria</t>
        </is>
      </c>
      <c r="G114" s="49" t="inlineStr">
        <is>
          <t>https://www.unirg.edu.br</t>
        </is>
      </c>
      <c r="H114" s="124" t="inlineStr">
        <is>
          <t>No disponible públicamente</t>
        </is>
      </c>
      <c r="I114" s="126" t="inlineStr">
        <is>
          <t>(63) 3612-7619</t>
        </is>
      </c>
      <c r="J114" s="124" t="inlineStr">
        <is>
          <t>reitoria@unirg.edu.br</t>
        </is>
      </c>
      <c r="K114" s="100" t="inlineStr">
        <is>
          <t>https://www.unirg.edu.br/contatos</t>
        </is>
      </c>
      <c r="L114" s="101" t="inlineStr">
        <is>
          <t>CONFIRMADO</t>
        </is>
      </c>
      <c r="M114" s="86" t="n"/>
    </row>
    <row r="115" ht="15.75" customHeight="1" s="182">
      <c r="A115" s="124" t="inlineStr">
        <is>
          <t>Brasil</t>
        </is>
      </c>
      <c r="B115" s="124" t="inlineStr">
        <is>
          <t>Universidades públicas</t>
        </is>
      </c>
      <c r="C115" s="124" t="inlineStr">
        <is>
          <t>Municipal</t>
        </is>
      </c>
      <c r="D115" s="124" t="inlineStr">
        <is>
          <t>Centro Universitário de Adamantina (UNIFAI)</t>
        </is>
      </c>
      <c r="E115" s="98" t="n"/>
      <c r="F115" s="124" t="inlineStr">
        <is>
          <t>Secretaria</t>
        </is>
      </c>
      <c r="G115" s="53" t="inlineStr">
        <is>
          <t>https://www.fai.com.br/novo-portal/</t>
        </is>
      </c>
      <c r="H115" s="124" t="inlineStr">
        <is>
          <t>No disponible públicamente</t>
        </is>
      </c>
      <c r="I115" s="126" t="inlineStr">
        <is>
          <t>(18) 3502-7040 (18) 3502-7041 (18) 3502-7042 (18) 3502-7043</t>
        </is>
      </c>
      <c r="J115" s="124" t="inlineStr">
        <is>
          <t>no disponible publicamente</t>
        </is>
      </c>
      <c r="K115" s="100" t="inlineStr">
        <is>
          <t>https://www.fai.com.br/novo-portal/</t>
        </is>
      </c>
      <c r="L115" s="101" t="inlineStr">
        <is>
          <t>CONFIRMADO</t>
        </is>
      </c>
      <c r="M115" s="86" t="n"/>
    </row>
    <row r="116" ht="15.75" customHeight="1" s="182">
      <c r="A116" s="124" t="inlineStr">
        <is>
          <t>Brasil</t>
        </is>
      </c>
      <c r="B116" s="124" t="inlineStr">
        <is>
          <t>Universidades públicas</t>
        </is>
      </c>
      <c r="C116" s="124" t="inlineStr">
        <is>
          <t>Municipal</t>
        </is>
      </c>
      <c r="D116" s="124" t="inlineStr">
        <is>
          <t>Centro Universitário de Franca (Uni-FACEF)</t>
        </is>
      </c>
      <c r="E116" s="98" t="n"/>
      <c r="F116" s="124" t="inlineStr">
        <is>
          <t>Jefatura de Pregrado</t>
        </is>
      </c>
      <c r="G116" s="52" t="inlineStr">
        <is>
          <t>https://www.unifacef.com.br</t>
        </is>
      </c>
      <c r="H116" s="124" t="inlineStr">
        <is>
          <t>Cyro de Almeida Durigan</t>
        </is>
      </c>
      <c r="I116" s="126" t="inlineStr">
        <is>
          <t>no disponible publicamente</t>
        </is>
      </c>
      <c r="J116" s="124" t="inlineStr">
        <is>
          <t>cyro@facef.br</t>
        </is>
      </c>
      <c r="K116" s="100" t="inlineStr">
        <is>
          <t>https://www.unifacef.com.br</t>
        </is>
      </c>
      <c r="L116" s="101" t="inlineStr">
        <is>
          <t>CONFIRMADO</t>
        </is>
      </c>
      <c r="M116" s="86" t="n"/>
    </row>
    <row r="117" ht="15.75" customHeight="1" s="182">
      <c r="A117" s="124" t="inlineStr">
        <is>
          <t>Brasil</t>
        </is>
      </c>
      <c r="B117" s="124" t="inlineStr">
        <is>
          <t>Universidades públicas</t>
        </is>
      </c>
      <c r="C117" s="124" t="inlineStr">
        <is>
          <t>Municipal</t>
        </is>
      </c>
      <c r="D117" s="124" t="inlineStr">
        <is>
          <t>Universidade Regional de Blumenau (FURB)</t>
        </is>
      </c>
      <c r="E117" s="98" t="n"/>
      <c r="F117" s="124" t="inlineStr">
        <is>
          <t>Rectoria</t>
        </is>
      </c>
      <c r="G117" s="52" t="inlineStr">
        <is>
          <t>https://www.furb.br</t>
        </is>
      </c>
      <c r="H117" s="124" t="inlineStr">
        <is>
          <t>Marcia Cristina Sardá Espindola</t>
        </is>
      </c>
      <c r="I117" s="126" t="inlineStr">
        <is>
          <t>47 3321-0107</t>
        </is>
      </c>
      <c r="J117" s="124" t="inlineStr">
        <is>
          <t>reitoria@furb.br</t>
        </is>
      </c>
      <c r="K117" s="100" t="inlineStr">
        <is>
          <t>https://www.furb.br</t>
        </is>
      </c>
      <c r="L117" s="101" t="inlineStr">
        <is>
          <t>CONFIRMADO</t>
        </is>
      </c>
      <c r="M117" s="86" t="n"/>
    </row>
    <row r="118" ht="15.75" customHeight="1" s="182">
      <c r="A118" s="124" t="inlineStr">
        <is>
          <t>Brasil</t>
        </is>
      </c>
      <c r="B118" s="124" t="inlineStr">
        <is>
          <t>Universidades públicas</t>
        </is>
      </c>
      <c r="C118" s="124" t="inlineStr">
        <is>
          <t>Municipal</t>
        </is>
      </c>
      <c r="D118" s="124" t="inlineStr">
        <is>
          <t>Universidade do Contestado (UnC)</t>
        </is>
      </c>
      <c r="E118" s="98" t="n"/>
      <c r="F118" s="124" t="inlineStr">
        <is>
          <t>Contacto general</t>
        </is>
      </c>
      <c r="G118" s="53" t="inlineStr">
        <is>
          <t>https://www.unc.br</t>
        </is>
      </c>
      <c r="H118" s="124" t="inlineStr">
        <is>
          <t>No disponible públicamente</t>
        </is>
      </c>
      <c r="I118" s="118" t="inlineStr">
        <is>
          <t>(47) 3641-5500</t>
        </is>
      </c>
      <c r="J118" s="124" t="inlineStr">
        <is>
          <t>no disponible publicamente</t>
        </is>
      </c>
      <c r="K118" s="119" t="inlineStr">
        <is>
          <t>https://www.unc.br/?utm_source=gemini</t>
        </is>
      </c>
      <c r="L118" s="101" t="inlineStr">
        <is>
          <t>CONFIRMADO</t>
        </is>
      </c>
      <c r="M118" s="86" t="n"/>
    </row>
    <row r="119" ht="15.75" customHeight="1" s="182">
      <c r="A119" s="124" t="inlineStr">
        <is>
          <t>Brasil</t>
        </is>
      </c>
      <c r="B119" s="124" t="inlineStr">
        <is>
          <t>Universidades públicas</t>
        </is>
      </c>
      <c r="C119" s="124" t="inlineStr">
        <is>
          <t>Municipal</t>
        </is>
      </c>
      <c r="D119" s="124" t="inlineStr">
        <is>
          <t>Universidade de Cruz Alta (UNICRUZ)</t>
        </is>
      </c>
      <c r="E119" s="98" t="n"/>
      <c r="F119" s="124" t="inlineStr">
        <is>
          <t>Contacto general</t>
        </is>
      </c>
      <c r="G119" s="52" t="inlineStr">
        <is>
          <t>https://home.unicruz.edu.br</t>
        </is>
      </c>
      <c r="H119" s="124" t="inlineStr">
        <is>
          <t>No disponible públicamente</t>
        </is>
      </c>
      <c r="I119" s="120" t="inlineStr">
        <is>
          <t>55 3043-0111</t>
        </is>
      </c>
      <c r="J119" s="124" t="inlineStr">
        <is>
          <t>no disponible publicamente</t>
        </is>
      </c>
      <c r="K119" s="100" t="inlineStr">
        <is>
          <t>https://home.unicruz.edu.br</t>
        </is>
      </c>
      <c r="L119" s="101" t="inlineStr">
        <is>
          <t>CONFIRMADO</t>
        </is>
      </c>
      <c r="M119" s="86" t="n"/>
    </row>
    <row r="120" ht="15.75" customHeight="1" s="182">
      <c r="A120" s="124" t="inlineStr">
        <is>
          <t>Brasil</t>
        </is>
      </c>
      <c r="B120" s="124" t="inlineStr">
        <is>
          <t>Universidades públicas</t>
        </is>
      </c>
      <c r="C120" s="124" t="inlineStr">
        <is>
          <t>Municipal</t>
        </is>
      </c>
      <c r="D120" s="124" t="inlineStr">
        <is>
          <t>Universidade do Vale do Itajaí (UNIVALI)</t>
        </is>
      </c>
      <c r="E120" s="98" t="n"/>
      <c r="F120" s="124" t="inlineStr">
        <is>
          <t>Rectoria</t>
        </is>
      </c>
      <c r="G120" s="52" t="inlineStr">
        <is>
          <t>https://www.univali.br</t>
        </is>
      </c>
      <c r="H120" s="124" t="inlineStr">
        <is>
          <t xml:space="preserve"> Rogério Corrêa</t>
        </is>
      </c>
      <c r="I120" s="126" t="inlineStr">
        <is>
          <t>no disponible publicamente</t>
        </is>
      </c>
      <c r="J120" s="124" t="inlineStr">
        <is>
          <t>reitoria@univali.br</t>
        </is>
      </c>
      <c r="K120" s="100" t="inlineStr">
        <is>
          <t>https://www.univali.br</t>
        </is>
      </c>
      <c r="L120" s="101" t="inlineStr">
        <is>
          <t>CONFIRMADO</t>
        </is>
      </c>
      <c r="M120" s="86" t="n"/>
    </row>
    <row r="121" ht="15.75" customHeight="1" s="182">
      <c r="A121" s="124" t="inlineStr">
        <is>
          <t>Brasil</t>
        </is>
      </c>
      <c r="B121" s="124" t="inlineStr">
        <is>
          <t>Universidades públicas</t>
        </is>
      </c>
      <c r="C121" s="124" t="inlineStr">
        <is>
          <t>Municipal</t>
        </is>
      </c>
      <c r="D121" s="124" t="inlineStr">
        <is>
          <t>Universidade de Caxias do Sul (UCS)</t>
        </is>
      </c>
      <c r="E121" s="98" t="n"/>
      <c r="F121" s="124" t="inlineStr">
        <is>
          <t>Contacto general</t>
        </is>
      </c>
      <c r="G121" s="52" t="inlineStr">
        <is>
          <t>https://www.ucs.br</t>
        </is>
      </c>
      <c r="H121" s="124" t="inlineStr">
        <is>
          <t>No disponible públicamente</t>
        </is>
      </c>
      <c r="I121" s="120" t="inlineStr">
        <is>
          <t>55 54 3218-210</t>
        </is>
      </c>
      <c r="J121" s="124" t="inlineStr">
        <is>
          <t>atendimento@ucs.br</t>
        </is>
      </c>
      <c r="K121" s="100" t="inlineStr">
        <is>
          <t>https://www.ucs.br</t>
        </is>
      </c>
      <c r="L121" s="101" t="inlineStr">
        <is>
          <t>CONFIRMADO</t>
        </is>
      </c>
      <c r="M121" s="86" t="n"/>
    </row>
    <row r="122" ht="15.75" customHeight="1" s="182">
      <c r="A122" s="124" t="inlineStr">
        <is>
          <t>Brasil</t>
        </is>
      </c>
      <c r="B122" s="124" t="inlineStr">
        <is>
          <t>Universidades públicas</t>
        </is>
      </c>
      <c r="C122" s="124" t="inlineStr">
        <is>
          <t>Municipal</t>
        </is>
      </c>
      <c r="D122" s="124" t="inlineStr">
        <is>
          <t>Universidade de Passo Fundo (UPF)</t>
        </is>
      </c>
      <c r="E122" s="98" t="n"/>
      <c r="F122" s="124" t="inlineStr">
        <is>
          <t>Rectoria</t>
        </is>
      </c>
      <c r="G122" s="52" t="inlineStr">
        <is>
          <t>https://www.upf.br</t>
        </is>
      </c>
      <c r="H122" s="124" t="inlineStr">
        <is>
          <t>Edison Alencar Casagranda</t>
        </is>
      </c>
      <c r="I122" s="126" t="inlineStr">
        <is>
          <t>(54) 3316-8136</t>
        </is>
      </c>
      <c r="J122" s="124" t="inlineStr">
        <is>
          <t>upf@upf.br</t>
        </is>
      </c>
      <c r="K122" s="100" t="inlineStr">
        <is>
          <t>https://www.upf.br</t>
        </is>
      </c>
      <c r="L122" s="101" t="inlineStr">
        <is>
          <t>CONFIRMADO</t>
        </is>
      </c>
      <c r="M122" s="86" t="n"/>
    </row>
    <row r="123" ht="15.75" customHeight="1" s="182">
      <c r="A123" s="124" t="inlineStr">
        <is>
          <t>Brasil</t>
        </is>
      </c>
      <c r="B123" s="124" t="inlineStr">
        <is>
          <t>Universidades públicas</t>
        </is>
      </c>
      <c r="C123" s="124" t="inlineStr">
        <is>
          <t>Municipal</t>
        </is>
      </c>
      <c r="D123" s="124" t="inlineStr">
        <is>
          <t>Universidade de Santa Cruz do Sul (UNISC)</t>
        </is>
      </c>
      <c r="E123" s="98" t="n"/>
      <c r="F123" s="124" t="inlineStr">
        <is>
          <t>Rectoria</t>
        </is>
      </c>
      <c r="G123" s="52" t="inlineStr">
        <is>
          <t>https://www.unisc.br</t>
        </is>
      </c>
      <c r="H123" s="124" t="inlineStr">
        <is>
          <t>Rafael Frederico Henn</t>
        </is>
      </c>
      <c r="I123" s="126" t="inlineStr">
        <is>
          <t>(51) 3717-7303</t>
        </is>
      </c>
      <c r="J123" s="124" t="inlineStr">
        <is>
          <t>reitoria@unisc.br</t>
        </is>
      </c>
      <c r="K123" s="100" t="inlineStr">
        <is>
          <t>https://www.unisc.br/pt/home/estrutura-administrativa/reitoria</t>
        </is>
      </c>
      <c r="L123" s="101" t="inlineStr">
        <is>
          <t>CONFIRMADO</t>
        </is>
      </c>
      <c r="M123" s="86" t="n"/>
    </row>
    <row r="124" ht="15.75" customHeight="1" s="182">
      <c r="A124" s="124" t="inlineStr">
        <is>
          <t>Brasil</t>
        </is>
      </c>
      <c r="B124" s="124" t="inlineStr">
        <is>
          <t>Universidades públicas</t>
        </is>
      </c>
      <c r="C124" s="124" t="inlineStr">
        <is>
          <t>Municipal</t>
        </is>
      </c>
      <c r="D124" s="124" t="inlineStr">
        <is>
          <t>Universidade de Extremo Sul Catarinense (UNESC)</t>
        </is>
      </c>
      <c r="E124" s="98" t="n"/>
      <c r="F124" s="124" t="inlineStr">
        <is>
          <t>Contacto general</t>
        </is>
      </c>
      <c r="G124" s="49" t="inlineStr">
        <is>
          <t>https://www.unesc.net</t>
        </is>
      </c>
      <c r="H124" s="124" t="inlineStr">
        <is>
          <t>No disponible públicamente</t>
        </is>
      </c>
      <c r="I124" s="126" t="inlineStr">
        <is>
          <t>(48) 3431-2611</t>
        </is>
      </c>
      <c r="J124" s="124" t="inlineStr">
        <is>
          <t>no disponible publicamente</t>
        </is>
      </c>
      <c r="K124" s="100" t="inlineStr">
        <is>
          <t>https://www.unesc.net/proen</t>
        </is>
      </c>
      <c r="L124" s="101" t="inlineStr">
        <is>
          <t>CONFIRMADO</t>
        </is>
      </c>
      <c r="M124" s="86" t="n"/>
    </row>
    <row r="125" ht="15.75" customHeight="1" s="182">
      <c r="A125" s="203" t="inlineStr">
        <is>
          <t>Brasil</t>
        </is>
      </c>
      <c r="B125" s="203" t="inlineStr">
        <is>
          <t>Formación técnica pública</t>
        </is>
      </c>
      <c r="C125" s="203" t="inlineStr">
        <is>
          <t>Instituto Federal (Rede Federal EPT)</t>
        </is>
      </c>
      <c r="D125" s="203" t="inlineStr">
        <is>
          <t>Instituto Federal do Rio de Janeiro (IFRJ)</t>
        </is>
      </c>
      <c r="E125" s="199" t="n"/>
      <c r="F125" s="203" t="inlineStr">
        <is>
          <t>Gabinete do Reitor</t>
        </is>
      </c>
      <c r="G125" s="226" t="inlineStr">
        <is>
          <t>https://portal.ifrj.edu.br/</t>
        </is>
      </c>
      <c r="H125" s="203" t="inlineStr">
        <is>
          <t>Jacqueline Aparecida da Fonseca Martins (Gabinete do Reitor)</t>
        </is>
      </c>
      <c r="I125" s="204" t="inlineStr">
        <is>
          <t>+55 21 3233-8065</t>
        </is>
      </c>
      <c r="J125" s="203" t="inlineStr">
        <is>
          <t>gr@ifrj.edu.br</t>
        </is>
      </c>
      <c r="K125" s="199" t="inlineStr">
        <is>
          <t>https://portal.ifrj.edu.br/gabinete-reitor/equipe-e-contato</t>
        </is>
      </c>
      <c r="L125" s="207" t="inlineStr">
        <is>
          <t>VERIFICAR</t>
        </is>
      </c>
      <c r="M125" s="197" t="inlineStr">
        <is>
          <t>Agregado auditoría 08-oct-2026. Correo de fuente institucional única; no reproducido en búsqueda independiente.</t>
        </is>
      </c>
    </row>
    <row r="126" ht="15.75" customHeight="1" s="182">
      <c r="A126" s="227" t="inlineStr">
        <is>
          <t>Brasil</t>
        </is>
      </c>
      <c r="B126" s="227" t="inlineStr">
        <is>
          <t>Formación técnica pública</t>
        </is>
      </c>
      <c r="C126" s="227" t="inlineStr">
        <is>
          <t>Instituto Federal (Rede Federal EPT)</t>
        </is>
      </c>
      <c r="D126" s="227" t="inlineStr">
        <is>
          <t>Instituto Federal de Minas Gerais (IFMG)</t>
        </is>
      </c>
      <c r="E126" s="228" t="n"/>
      <c r="F126" s="228" t="inlineStr">
        <is>
          <t>Gabinete do Reitor</t>
        </is>
      </c>
      <c r="G126" s="228" t="inlineStr">
        <is>
          <t>https://www.ifmg.edu.br/</t>
        </is>
      </c>
      <c r="H126" s="228" t="inlineStr">
        <is>
          <t>Fátima Aparecida de Freitas Dias Costa (Chefe de Gabinete)</t>
        </is>
      </c>
      <c r="I126" s="228" t="inlineStr">
        <is>
          <t>+55 31 2513-5101</t>
        </is>
      </c>
      <c r="J126" s="228" t="inlineStr">
        <is>
          <t>gabinete@ifmg.edu.br</t>
        </is>
      </c>
      <c r="K126" s="228" t="inlineStr">
        <is>
          <t>https://www.ifmg.edu.br/portal/lista-telefonica</t>
        </is>
      </c>
      <c r="L126" s="227" t="inlineStr">
        <is>
          <t>VERIFICAR</t>
        </is>
      </c>
      <c r="M126" s="227" t="inlineStr">
        <is>
          <t>Agregado auditoría 08-oct-2026. Correo de fuente institucional única; no reproducido en búsqueda independiente.</t>
        </is>
      </c>
    </row>
    <row r="127" ht="15.75" customHeight="1" s="182">
      <c r="A127" s="227" t="inlineStr">
        <is>
          <t>Brasil</t>
        </is>
      </c>
      <c r="B127" s="227" t="inlineStr">
        <is>
          <t>Formación técnica pública</t>
        </is>
      </c>
      <c r="C127" s="227" t="inlineStr">
        <is>
          <t>Instituto Federal (Rede Federal EPT)</t>
        </is>
      </c>
      <c r="D127" s="227" t="inlineStr">
        <is>
          <t>Instituto Federal da Bahia (IFBA)</t>
        </is>
      </c>
      <c r="E127" s="228" t="n"/>
      <c r="F127" s="228" t="inlineStr">
        <is>
          <t>Gabinete da Reitoria</t>
        </is>
      </c>
      <c r="G127" s="228" t="inlineStr">
        <is>
          <t>https://portal.ifba.edu.br/</t>
        </is>
      </c>
      <c r="H127" s="228" t="inlineStr">
        <is>
          <t>No disponible públicamente</t>
        </is>
      </c>
      <c r="I127" s="228" t="inlineStr">
        <is>
          <t>+55 71 2102-0414</t>
        </is>
      </c>
      <c r="J127" s="228" t="inlineStr">
        <is>
          <t>gabinete@ifba.edu.br</t>
        </is>
      </c>
      <c r="K127" s="228" t="inlineStr">
        <is>
          <t>https://portal.ifba.edu.br/ramais</t>
        </is>
      </c>
      <c r="L127" s="227" t="inlineStr">
        <is>
          <t>VERIFICAR</t>
        </is>
      </c>
      <c r="M127" s="227" t="inlineStr">
        <is>
          <t>Agregado auditoría 08-oct-2026. Correo de fuente institucional única; no reproducido en búsqueda independiente.</t>
        </is>
      </c>
    </row>
    <row r="128" ht="15.75" customHeight="1" s="182">
      <c r="A128" s="227" t="inlineStr">
        <is>
          <t>Brasil</t>
        </is>
      </c>
      <c r="B128" s="227" t="inlineStr">
        <is>
          <t>Formación técnica pública</t>
        </is>
      </c>
      <c r="C128" s="227" t="inlineStr">
        <is>
          <t>Instituto Federal (Rede Federal EPT)</t>
        </is>
      </c>
      <c r="D128" s="227" t="inlineStr">
        <is>
          <t>Instituto Federal de São Paulo (IFSP)</t>
        </is>
      </c>
      <c r="E128" s="228" t="n"/>
      <c r="F128" s="228" t="inlineStr">
        <is>
          <t>Gabinete da Reitoria</t>
        </is>
      </c>
      <c r="G128" s="228" t="inlineStr">
        <is>
          <t>https://www.ifsp.edu.br/</t>
        </is>
      </c>
      <c r="H128" s="228" t="inlineStr">
        <is>
          <t>Silmário Batista dos Santos (Reitor)</t>
        </is>
      </c>
      <c r="I128" s="228" t="inlineStr">
        <is>
          <t>+55 11 3775-4501 / 3775-4503</t>
        </is>
      </c>
      <c r="J128" s="228" t="inlineStr">
        <is>
          <t>No disponible públicamente</t>
        </is>
      </c>
      <c r="K128" s="228" t="inlineStr">
        <is>
          <t>https://www.ifsp.edu.br/index.php/reitoria/gabinete.html</t>
        </is>
      </c>
      <c r="L128" s="227" t="inlineStr">
        <is>
          <t>VERIFICAR</t>
        </is>
      </c>
      <c r="M128" s="227" t="inlineStr">
        <is>
          <t>Agregado auditoría 08-oct-2026. Sin correo publicado en fuente oficial; contactar por teléfono/web. Email del gabinete ofuscado en la web.</t>
        </is>
      </c>
    </row>
    <row r="129" ht="15.75" customHeight="1" s="182">
      <c r="A129" s="229" t="inlineStr">
        <is>
          <t>Brasil</t>
        </is>
      </c>
      <c r="B129" s="229" t="inlineStr">
        <is>
          <t>Formación técnica pública</t>
        </is>
      </c>
      <c r="C129" s="229" t="inlineStr">
        <is>
          <t>Instituto Federal (Rede Federal EPT)</t>
        </is>
      </c>
      <c r="D129" s="229" t="inlineStr">
        <is>
          <t>Instituto Federal do Rio Grande do Sul (IFRS)</t>
        </is>
      </c>
      <c r="E129" s="230" t="n"/>
      <c r="F129" s="230" t="inlineStr">
        <is>
          <t>Gabinete da Reitoria</t>
        </is>
      </c>
      <c r="G129" s="230" t="inlineStr">
        <is>
          <t>https://ifrs.edu.br/</t>
        </is>
      </c>
      <c r="H129" s="230" t="inlineStr">
        <is>
          <t>No disponible públicamente</t>
        </is>
      </c>
      <c r="I129" s="230" t="inlineStr">
        <is>
          <t>+55 54 3449-3300 ramal 343</t>
        </is>
      </c>
      <c r="J129" s="230" t="inlineStr">
        <is>
          <t>gabinete@ifrs.edu.br</t>
        </is>
      </c>
      <c r="K129" s="230" t="inlineStr">
        <is>
          <t>https://ifrs.edu.br/institucional/reitoria/gabinete/</t>
        </is>
      </c>
      <c r="L129" s="229" t="inlineStr">
        <is>
          <t>CONFIRMADO</t>
        </is>
      </c>
      <c r="M129" s="229" t="inlineStr">
        <is>
          <t>Agregado auditoría 08-oct-2026. Doble verificación OK: correo reproducido en https://ifrs.edu.br/wp-content/uploads/2017/07/Carta-de-Servico-ao-Cidadao_2017_revisado.pdf</t>
        </is>
      </c>
    </row>
    <row r="130" ht="15.75" customHeight="1" s="182">
      <c r="A130" s="227" t="inlineStr">
        <is>
          <t>Brasil</t>
        </is>
      </c>
      <c r="B130" s="227" t="inlineStr">
        <is>
          <t>Formación técnica pública</t>
        </is>
      </c>
      <c r="C130" s="227" t="inlineStr">
        <is>
          <t>Instituto Federal (Rede Federal EPT)</t>
        </is>
      </c>
      <c r="D130" s="227" t="inlineStr">
        <is>
          <t>Instituto Federal de Santa Catarina (IFSC)</t>
        </is>
      </c>
      <c r="E130" s="228" t="n"/>
      <c r="F130" s="228" t="inlineStr">
        <is>
          <t>Gabinete da Reitoria</t>
        </is>
      </c>
      <c r="G130" s="228" t="inlineStr">
        <is>
          <t>https://www.ifsc.edu.br/</t>
        </is>
      </c>
      <c r="H130" s="228" t="inlineStr">
        <is>
          <t>No disponible públicamente</t>
        </is>
      </c>
      <c r="I130" s="228" t="inlineStr">
        <is>
          <t>+55 48 3877-9004</t>
        </is>
      </c>
      <c r="J130" s="228" t="inlineStr">
        <is>
          <t>gabinete.reitoria@ifsc.edu.br</t>
        </is>
      </c>
      <c r="K130" s="228" t="inlineStr">
        <is>
          <t>https://www.ifsc.edu.br/en/gabinete-da-reitoria</t>
        </is>
      </c>
      <c r="L130" s="227" t="inlineStr">
        <is>
          <t>VERIFICAR</t>
        </is>
      </c>
      <c r="M130" s="227" t="inlineStr">
        <is>
          <t>Agregado auditoría 08-oct-2026. Correo de fuente institucional única; no reproducido en búsqueda independiente.</t>
        </is>
      </c>
    </row>
    <row r="131" ht="15.75" customHeight="1" s="182">
      <c r="A131" s="227" t="inlineStr">
        <is>
          <t>Brasil</t>
        </is>
      </c>
      <c r="B131" s="227" t="inlineStr">
        <is>
          <t>Formación técnica pública</t>
        </is>
      </c>
      <c r="C131" s="227" t="inlineStr">
        <is>
          <t>Instituto Federal (Rede Federal EPT)</t>
        </is>
      </c>
      <c r="D131" s="227" t="inlineStr">
        <is>
          <t>Instituto Federal do Paraná (IFPR)</t>
        </is>
      </c>
      <c r="E131" s="227" t="n"/>
      <c r="F131" s="227" t="inlineStr">
        <is>
          <t>Gabinete do Reitor</t>
        </is>
      </c>
      <c r="G131" s="227" t="inlineStr">
        <is>
          <t>https://reitoria.ifpr.edu.br/</t>
        </is>
      </c>
      <c r="H131" s="227" t="inlineStr">
        <is>
          <t>No disponible públicamente</t>
        </is>
      </c>
      <c r="I131" s="227" t="inlineStr">
        <is>
          <t>+55 41 3888-5253</t>
        </is>
      </c>
      <c r="J131" s="227" t="inlineStr">
        <is>
          <t>gabinete@ifpr.edu.br</t>
        </is>
      </c>
      <c r="K131" s="227" t="inlineStr">
        <is>
          <t>https://reitoria.ifpr.edu.br/institucional/reitoria/gabinete-do-reitor/</t>
        </is>
      </c>
      <c r="L131" s="227" t="inlineStr">
        <is>
          <t>VERIFICAR</t>
        </is>
      </c>
      <c r="M131" s="227" t="inlineStr">
        <is>
          <t>Agregado auditoría 08-oct-2026. Correo de fuente institucional única; no reproducido en búsqueda independiente.</t>
        </is>
      </c>
    </row>
    <row r="132" ht="15.75" customHeight="1" s="182">
      <c r="A132" s="229" t="inlineStr">
        <is>
          <t>Brasil</t>
        </is>
      </c>
      <c r="B132" s="229" t="inlineStr">
        <is>
          <t>Formación técnica pública</t>
        </is>
      </c>
      <c r="C132" s="229" t="inlineStr">
        <is>
          <t>Instituto Federal (Rede Federal EPT)</t>
        </is>
      </c>
      <c r="D132" s="229" t="inlineStr">
        <is>
          <t>Instituto Federal Sul-rio-grandense (IFSul)</t>
        </is>
      </c>
      <c r="E132" s="229" t="n"/>
      <c r="F132" s="229" t="inlineStr">
        <is>
          <t>Reitoria</t>
        </is>
      </c>
      <c r="G132" s="229" t="inlineStr">
        <is>
          <t>https://www.ifsul.edu.br/</t>
        </is>
      </c>
      <c r="H132" s="229" t="inlineStr">
        <is>
          <t>Carlos Jesus Anghinoni Correa (Reitor 2025-2029)</t>
        </is>
      </c>
      <c r="I132" s="229" t="inlineStr">
        <is>
          <t>+55 53 3026-6050</t>
        </is>
      </c>
      <c r="J132" s="229" t="inlineStr">
        <is>
          <t>reitoria@ifsul.edu.br</t>
        </is>
      </c>
      <c r="K132" s="229" t="inlineStr">
        <is>
          <t>https://www.gov.br/mec/pt-br/assuntos/ept/rede-federal/rio-grande-do-sul</t>
        </is>
      </c>
      <c r="L132" s="229" t="inlineStr">
        <is>
          <t>CONFIRMADO</t>
        </is>
      </c>
      <c r="M132" s="229" t="inlineStr">
        <is>
          <t>Agregado auditoría 08-oct-2026. Doble verificación OK: correo reproducido en https://univates.br/media/anexos_formularios/2023/oct/19/13f70ff6facffe822c80fed18d1e36e2.pdf</t>
        </is>
      </c>
    </row>
    <row r="133" ht="15.75" customHeight="1" s="182">
      <c r="A133" s="227" t="inlineStr">
        <is>
          <t>Brasil</t>
        </is>
      </c>
      <c r="B133" s="227" t="inlineStr">
        <is>
          <t>Formación técnica pública</t>
        </is>
      </c>
      <c r="C133" s="227" t="inlineStr">
        <is>
          <t>Instituto Federal (Rede Federal EPT)</t>
        </is>
      </c>
      <c r="D133" s="227" t="inlineStr">
        <is>
          <t>Instituto Federal Farroupilha (IFFar)</t>
        </is>
      </c>
      <c r="E133" s="227" t="n"/>
      <c r="F133" s="227" t="inlineStr">
        <is>
          <t>Gabinete da Reitoria</t>
        </is>
      </c>
      <c r="G133" s="227" t="inlineStr">
        <is>
          <t>https://www.iffarroupilha.edu.br/</t>
        </is>
      </c>
      <c r="H133" s="227" t="inlineStr">
        <is>
          <t>No disponible públicamente</t>
        </is>
      </c>
      <c r="I133" s="227" t="inlineStr">
        <is>
          <t>+55 55 3218-9800</t>
        </is>
      </c>
      <c r="J133" s="227" t="inlineStr">
        <is>
          <t>gabreitoria@iffarroupilha.edu.br</t>
        </is>
      </c>
      <c r="K133" s="227" t="inlineStr">
        <is>
          <t>https://www.gov.br/mec/pt-br/assuntos/ept/rede-federal/rio-grande-do-sul</t>
        </is>
      </c>
      <c r="L133" s="227" t="inlineStr">
        <is>
          <t>VERIFICAR</t>
        </is>
      </c>
      <c r="M133" s="227" t="inlineStr">
        <is>
          <t>Agregado auditoría 08-oct-2026. Correo de fuente institucional única; no reproducido en búsqueda independiente. Ficha MEC con mandato de rectora vencido.</t>
        </is>
      </c>
    </row>
    <row r="134" ht="15.75" customHeight="1" s="182">
      <c r="A134" s="227" t="inlineStr">
        <is>
          <t>Brasil</t>
        </is>
      </c>
      <c r="B134" s="227" t="inlineStr">
        <is>
          <t>Formación técnica pública</t>
        </is>
      </c>
      <c r="C134" s="227" t="inlineStr">
        <is>
          <t>Instituto Federal (Rede Federal EPT)</t>
        </is>
      </c>
      <c r="D134" s="227" t="inlineStr">
        <is>
          <t>Instituto Federal Catarinense (IFC)</t>
        </is>
      </c>
      <c r="E134" s="227" t="n"/>
      <c r="F134" s="227" t="inlineStr">
        <is>
          <t>Gabinete da Reitoria</t>
        </is>
      </c>
      <c r="G134" s="227" t="inlineStr">
        <is>
          <t>https://ifc.edu.br/</t>
        </is>
      </c>
      <c r="H134" s="227" t="inlineStr">
        <is>
          <t>No disponible públicamente</t>
        </is>
      </c>
      <c r="I134" s="227" t="inlineStr">
        <is>
          <t>+55 47 3331-7802</t>
        </is>
      </c>
      <c r="J134" s="227" t="inlineStr">
        <is>
          <t>gabinete@ifc.edu.br</t>
        </is>
      </c>
      <c r="K134" s="227" t="inlineStr">
        <is>
          <t>https://ifc.edu.br/contatos-reitoria/</t>
        </is>
      </c>
      <c r="L134" s="227" t="inlineStr">
        <is>
          <t>VERIFICAR</t>
        </is>
      </c>
      <c r="M134" s="227" t="inlineStr">
        <is>
          <t>Agregado auditoría 08-oct-2026. Correo de fuente institucional única; no reproducido en búsqueda independiente.</t>
        </is>
      </c>
    </row>
    <row r="135" ht="15.75" customHeight="1" s="182">
      <c r="A135" s="227" t="inlineStr">
        <is>
          <t>Brasil</t>
        </is>
      </c>
      <c r="B135" s="227" t="inlineStr">
        <is>
          <t>Formación técnica pública</t>
        </is>
      </c>
      <c r="C135" s="227" t="inlineStr">
        <is>
          <t>Instituto Federal (Rede Federal EPT)</t>
        </is>
      </c>
      <c r="D135" s="227" t="inlineStr">
        <is>
          <t>Instituto Federal do Ceará (IFCE)</t>
        </is>
      </c>
      <c r="E135" s="227" t="n"/>
      <c r="F135" s="227" t="inlineStr">
        <is>
          <t>Reitoria</t>
        </is>
      </c>
      <c r="G135" s="227" t="inlineStr">
        <is>
          <t>https://portal.ifce.edu.br/</t>
        </is>
      </c>
      <c r="H135" s="227" t="inlineStr">
        <is>
          <t>No disponible públicamente</t>
        </is>
      </c>
      <c r="I135" s="227" t="inlineStr">
        <is>
          <t>No disponible públicamente</t>
        </is>
      </c>
      <c r="J135" s="227" t="inlineStr">
        <is>
          <t>reitoria@ifce.edu.br</t>
        </is>
      </c>
      <c r="K135" s="227" t="inlineStr">
        <is>
          <t>https://portal.ifce.edu.br/institucional/contatos-na-reitoria-e-nos-campi/contatos-gerais-das-unidades/reitoria/gabinete-da-reitoria/</t>
        </is>
      </c>
      <c r="L135" s="227" t="inlineStr">
        <is>
          <t>VERIFICAR</t>
        </is>
      </c>
      <c r="M135" s="227" t="inlineStr">
        <is>
          <t>Agregado auditoría 08-oct-2026. Correo de fuente institucional única; no reproducido en búsqueda independiente.</t>
        </is>
      </c>
    </row>
    <row r="136" ht="15.75" customHeight="1" s="182">
      <c r="A136" s="229" t="inlineStr">
        <is>
          <t>Brasil</t>
        </is>
      </c>
      <c r="B136" s="229" t="inlineStr">
        <is>
          <t>Formación técnica pública</t>
        </is>
      </c>
      <c r="C136" s="229" t="inlineStr">
        <is>
          <t>Instituto Federal (Rede Federal EPT)</t>
        </is>
      </c>
      <c r="D136" s="229" t="inlineStr">
        <is>
          <t>Instituto Federal de Pernambuco (IFPE)</t>
        </is>
      </c>
      <c r="E136" s="229" t="n"/>
      <c r="F136" s="229" t="inlineStr">
        <is>
          <t>Gabinete do Reitor</t>
        </is>
      </c>
      <c r="G136" s="229" t="inlineStr">
        <is>
          <t>https://portal.ifpe.edu.br/</t>
        </is>
      </c>
      <c r="H136" s="229" t="inlineStr">
        <is>
          <t>No disponible públicamente</t>
        </is>
      </c>
      <c r="I136" s="229" t="inlineStr">
        <is>
          <t>+55 81 2125-1608</t>
        </is>
      </c>
      <c r="J136" s="229" t="inlineStr">
        <is>
          <t>gabinete@reitoria.ifpe.edu.br</t>
        </is>
      </c>
      <c r="K136" s="229" t="inlineStr">
        <is>
          <t>https://portal.ifpe.edu.br/o-ifpe/institucional/contatos-reitoria/</t>
        </is>
      </c>
      <c r="L136" s="229" t="inlineStr">
        <is>
          <t>CONFIRMADO</t>
        </is>
      </c>
      <c r="M136" s="229" t="inlineStr">
        <is>
          <t>Agregado auditoría 08-oct-2026. Doble verificación OK: correo reproducido en https://portal.ifpe.edu.br/wp-content/uploads/repositoriolegado/cabo/documentos/relatorio-final-cpa-2020.pdf</t>
        </is>
      </c>
    </row>
    <row r="137" ht="15.75" customHeight="1" s="182">
      <c r="A137" s="229" t="inlineStr">
        <is>
          <t>Brasil</t>
        </is>
      </c>
      <c r="B137" s="229" t="inlineStr">
        <is>
          <t>Formación técnica pública</t>
        </is>
      </c>
      <c r="C137" s="229" t="inlineStr">
        <is>
          <t>Instituto Federal (Rede Federal EPT)</t>
        </is>
      </c>
      <c r="D137" s="229" t="inlineStr">
        <is>
          <t>Instituto Federal da Paraíba (IFPB)</t>
        </is>
      </c>
      <c r="E137" s="229" t="n"/>
      <c r="F137" s="229" t="inlineStr">
        <is>
          <t>Gabinete da Reitoria</t>
        </is>
      </c>
      <c r="G137" s="229" t="inlineStr">
        <is>
          <t>https://www.ifpb.edu.br/</t>
        </is>
      </c>
      <c r="H137" s="229" t="inlineStr">
        <is>
          <t>No disponible públicamente</t>
        </is>
      </c>
      <c r="I137" s="229" t="inlineStr">
        <is>
          <t>+55 83 3612-9706</t>
        </is>
      </c>
      <c r="J137" s="229" t="inlineStr">
        <is>
          <t>gabinete.reitoria@ifpb.edu.br</t>
        </is>
      </c>
      <c r="K137" s="229" t="inlineStr">
        <is>
          <t>https://www.ifpb.edu.br/contatos</t>
        </is>
      </c>
      <c r="L137" s="229" t="inlineStr">
        <is>
          <t>CONFIRMADO</t>
        </is>
      </c>
      <c r="M137" s="229" t="inlineStr">
        <is>
          <t>Agregado auditoría 08-oct-2026. Doble verificación OK: correo reproducido en https://docs.google.com/document/d/1SWJ-ykzlHjReLv2ASutQIi3O8bT280U9/export?format=pdf</t>
        </is>
      </c>
    </row>
    <row r="138" ht="15.75" customHeight="1" s="182">
      <c r="A138" s="227" t="inlineStr">
        <is>
          <t>Brasil</t>
        </is>
      </c>
      <c r="B138" s="227" t="inlineStr">
        <is>
          <t>Formación técnica pública</t>
        </is>
      </c>
      <c r="C138" s="227" t="inlineStr">
        <is>
          <t>Instituto Federal (Rede Federal EPT)</t>
        </is>
      </c>
      <c r="D138" s="227" t="inlineStr">
        <is>
          <t>Instituto Federal do Rio Grande do Norte (IFRN)</t>
        </is>
      </c>
      <c r="E138" s="227" t="n"/>
      <c r="F138" s="227" t="inlineStr">
        <is>
          <t>Gabinete da Reitoria</t>
        </is>
      </c>
      <c r="G138" s="227" t="inlineStr">
        <is>
          <t>https://portal.ifrn.edu.br/</t>
        </is>
      </c>
      <c r="H138" s="227" t="inlineStr">
        <is>
          <t>No disponible públicamente</t>
        </is>
      </c>
      <c r="I138" s="227" t="inlineStr">
        <is>
          <t>+55 84 4005-0890</t>
        </is>
      </c>
      <c r="J138" s="227" t="inlineStr">
        <is>
          <t>gabinete.reitoria@ifrn.edu.br</t>
        </is>
      </c>
      <c r="K138" s="227" t="inlineStr">
        <is>
          <t>https://portal.ifrn.edu.br/institucional/gabinete/</t>
        </is>
      </c>
      <c r="L138" s="227" t="inlineStr">
        <is>
          <t>VERIFICAR</t>
        </is>
      </c>
      <c r="M138" s="227" t="inlineStr">
        <is>
          <t>Agregado auditoría 08-oct-2026. Correo de fuente institucional única; no reproducido en búsqueda independiente.</t>
        </is>
      </c>
    </row>
    <row r="139" ht="15.75" customHeight="1" s="182">
      <c r="A139" s="229" t="inlineStr">
        <is>
          <t>Brasil</t>
        </is>
      </c>
      <c r="B139" s="229" t="inlineStr">
        <is>
          <t>Formación técnica pública</t>
        </is>
      </c>
      <c r="C139" s="229" t="inlineStr">
        <is>
          <t>Instituto Federal (Rede Federal EPT)</t>
        </is>
      </c>
      <c r="D139" s="229" t="inlineStr">
        <is>
          <t>Instituto Federal do Piauí (IFPI)</t>
        </is>
      </c>
      <c r="E139" s="229" t="n"/>
      <c r="F139" s="229" t="inlineStr">
        <is>
          <t>Gabinete / Reitoria</t>
        </is>
      </c>
      <c r="G139" s="229" t="inlineStr">
        <is>
          <t>https://www.ifpi.edu.br/</t>
        </is>
      </c>
      <c r="H139" s="229" t="inlineStr">
        <is>
          <t>No disponible públicamente</t>
        </is>
      </c>
      <c r="I139" s="229" t="inlineStr">
        <is>
          <t>+55 86 3131-1443</t>
        </is>
      </c>
      <c r="J139" s="229" t="inlineStr">
        <is>
          <t>reitoria@ifpi.edu.br</t>
        </is>
      </c>
      <c r="K139" s="229" t="inlineStr">
        <is>
          <t>https://www.ifpi.edu.br/reitoria/gabinete-reitoria</t>
        </is>
      </c>
      <c r="L139" s="229" t="inlineStr">
        <is>
          <t>CONFIRMADO</t>
        </is>
      </c>
      <c r="M139" s="229" t="inlineStr">
        <is>
          <t>Agregado auditoría 08-oct-2026. Doble verificación OK: correo reproducido en https://www.ifpi.edu.br/a-instituicao/avaliacao-institucional/relatorios-de-autoavaliacao/2021/oeiras/relatorio-parcial-2021-cpa-central_oeiras.pdf</t>
        </is>
      </c>
    </row>
    <row r="140" ht="15.75" customHeight="1" s="182">
      <c r="A140" s="227" t="inlineStr">
        <is>
          <t>Brasil</t>
        </is>
      </c>
      <c r="B140" s="227" t="inlineStr">
        <is>
          <t>Formación técnica pública</t>
        </is>
      </c>
      <c r="C140" s="227" t="inlineStr">
        <is>
          <t>Instituto Federal (Rede Federal EPT)</t>
        </is>
      </c>
      <c r="D140" s="227" t="inlineStr">
        <is>
          <t>Instituto Federal do Maranhão (IFMA)</t>
        </is>
      </c>
      <c r="E140" s="227" t="n"/>
      <c r="F140" s="227" t="inlineStr">
        <is>
          <t>Gabinete da Reitoria</t>
        </is>
      </c>
      <c r="G140" s="227" t="inlineStr">
        <is>
          <t>https://portal.ifma.edu.br/</t>
        </is>
      </c>
      <c r="H140" s="227" t="inlineStr">
        <is>
          <t>No disponible públicamente</t>
        </is>
      </c>
      <c r="I140" s="227" t="inlineStr">
        <is>
          <t>+55 98 3235-3304</t>
        </is>
      </c>
      <c r="J140" s="227" t="inlineStr">
        <is>
          <t>gabinete@ifma.edu.br</t>
        </is>
      </c>
      <c r="K140" s="227" t="inlineStr">
        <is>
          <t>https://portal.ifma.edu.br/contatos/contatos-da-reitoria/</t>
        </is>
      </c>
      <c r="L140" s="227" t="inlineStr">
        <is>
          <t>VERIFICAR</t>
        </is>
      </c>
      <c r="M140" s="227" t="inlineStr">
        <is>
          <t>Agregado auditoría 08-oct-2026. Correo de fuente institucional única; no reproducido en búsqueda independiente.</t>
        </is>
      </c>
    </row>
    <row r="141" ht="15.75" customHeight="1" s="182">
      <c r="A141" s="227" t="inlineStr">
        <is>
          <t>Brasil</t>
        </is>
      </c>
      <c r="B141" s="227" t="inlineStr">
        <is>
          <t>Formación técnica pública</t>
        </is>
      </c>
      <c r="C141" s="227" t="inlineStr">
        <is>
          <t>Instituto Federal (Rede Federal EPT)</t>
        </is>
      </c>
      <c r="D141" s="227" t="inlineStr">
        <is>
          <t>Instituto Federal de Alagoas (IFAL)</t>
        </is>
      </c>
      <c r="E141" s="227" t="n"/>
      <c r="F141" s="227" t="inlineStr">
        <is>
          <t>Chefia de Gabinete</t>
        </is>
      </c>
      <c r="G141" s="227" t="inlineStr">
        <is>
          <t>https://www2.ifal.edu.br/</t>
        </is>
      </c>
      <c r="H141" s="227" t="inlineStr">
        <is>
          <t>No disponible públicamente</t>
        </is>
      </c>
      <c r="I141" s="227" t="inlineStr">
        <is>
          <t>+55 82 3194-1195</t>
        </is>
      </c>
      <c r="J141" s="227" t="inlineStr">
        <is>
          <t>gabinete.reitoria@ifal.edu.br</t>
        </is>
      </c>
      <c r="K141" s="227" t="inlineStr">
        <is>
          <t>https://www2.ifal.edu.br/acesso-a-informacao/institucional/quem-e-quem/gabinete</t>
        </is>
      </c>
      <c r="L141" s="227" t="inlineStr">
        <is>
          <t>VERIFICAR</t>
        </is>
      </c>
      <c r="M141" s="227" t="inlineStr">
        <is>
          <t>Agregado auditoría 08-oct-2026. Correo de fuente institucional única; no reproducido en búsqueda independiente.</t>
        </is>
      </c>
    </row>
    <row r="142" ht="15.75" customHeight="1" s="182">
      <c r="A142" s="227" t="inlineStr">
        <is>
          <t>Brasil</t>
        </is>
      </c>
      <c r="B142" s="227" t="inlineStr">
        <is>
          <t>Formación técnica pública</t>
        </is>
      </c>
      <c r="C142" s="227" t="inlineStr">
        <is>
          <t>Instituto Federal (Rede Federal EPT)</t>
        </is>
      </c>
      <c r="D142" s="227" t="inlineStr">
        <is>
          <t>Instituto Federal de Sergipe (IFS)</t>
        </is>
      </c>
      <c r="E142" s="227" t="n"/>
      <c r="F142" s="227" t="inlineStr">
        <is>
          <t>Reitoria</t>
        </is>
      </c>
      <c r="G142" s="227" t="inlineStr">
        <is>
          <t>https://www.ifs.edu.br/</t>
        </is>
      </c>
      <c r="H142" s="227" t="inlineStr">
        <is>
          <t>No disponible públicamente</t>
        </is>
      </c>
      <c r="I142" s="227" t="inlineStr">
        <is>
          <t>+55 79 3711-1400</t>
        </is>
      </c>
      <c r="J142" s="227" t="inlineStr">
        <is>
          <t>reitoria@ifs.edu.br</t>
        </is>
      </c>
      <c r="K142" s="227" t="inlineStr">
        <is>
          <t>https://ifs.edu.br/institucional/quem-e-quem-na-reitoria</t>
        </is>
      </c>
      <c r="L142" s="227" t="inlineStr">
        <is>
          <t>VERIFICAR</t>
        </is>
      </c>
      <c r="M142" s="227" t="inlineStr">
        <is>
          <t>Agregado auditoría 08-oct-2026. Correo de fuente institucional única; no reproducido en búsqueda independiente.</t>
        </is>
      </c>
    </row>
    <row r="143" ht="15.75" customHeight="1" s="182">
      <c r="A143" s="227" t="inlineStr">
        <is>
          <t>Brasil</t>
        </is>
      </c>
      <c r="B143" s="227" t="inlineStr">
        <is>
          <t>Formación técnica pública</t>
        </is>
      </c>
      <c r="C143" s="227" t="inlineStr">
        <is>
          <t>Instituto Federal (Rede Federal EPT)</t>
        </is>
      </c>
      <c r="D143" s="227" t="inlineStr">
        <is>
          <t>Instituto Federal de Goiás (IFG)</t>
        </is>
      </c>
      <c r="E143" s="227" t="n"/>
      <c r="F143" s="227" t="inlineStr">
        <is>
          <t>Gabinete da Reitoria</t>
        </is>
      </c>
      <c r="G143" s="227" t="inlineStr">
        <is>
          <t>https://www.ifg.edu.br/</t>
        </is>
      </c>
      <c r="H143" s="227" t="inlineStr">
        <is>
          <t>No disponible públicamente</t>
        </is>
      </c>
      <c r="I143" s="227" t="inlineStr">
        <is>
          <t>+55 62 3612-2200</t>
        </is>
      </c>
      <c r="J143" s="227" t="inlineStr">
        <is>
          <t>gabinete.reitoria@ifg.edu.br</t>
        </is>
      </c>
      <c r="K143" s="227" t="inlineStr">
        <is>
          <t>https://simec.mec.gov.br/academico/mapa/dados_instituto_edpro.php?uf=GO</t>
        </is>
      </c>
      <c r="L143" s="227" t="inlineStr">
        <is>
          <t>VERIFICAR</t>
        </is>
      </c>
      <c r="M143" s="227" t="inlineStr">
        <is>
          <t>Agregado auditoría 08-oct-2026. Correo de fuente institucional única; no reproducido en búsqueda independiente.</t>
        </is>
      </c>
    </row>
    <row r="144" ht="15.75" customHeight="1" s="182">
      <c r="A144" s="227" t="inlineStr">
        <is>
          <t>Brasil</t>
        </is>
      </c>
      <c r="B144" s="227" t="inlineStr">
        <is>
          <t>Formación técnica pública</t>
        </is>
      </c>
      <c r="C144" s="227" t="inlineStr">
        <is>
          <t>Instituto Federal (Rede Federal EPT)</t>
        </is>
      </c>
      <c r="D144" s="227" t="inlineStr">
        <is>
          <t>Instituto Federal Goiano (IF Goiano)</t>
        </is>
      </c>
      <c r="E144" s="227" t="n"/>
      <c r="F144" s="227" t="inlineStr">
        <is>
          <t>Gabinete da Reitoria</t>
        </is>
      </c>
      <c r="G144" s="227" t="inlineStr">
        <is>
          <t>https://www.ifgoiano.edu.br/</t>
        </is>
      </c>
      <c r="H144" s="227" t="inlineStr">
        <is>
          <t>No disponible públicamente</t>
        </is>
      </c>
      <c r="I144" s="227" t="inlineStr">
        <is>
          <t>+55 62 3605-3601</t>
        </is>
      </c>
      <c r="J144" s="227" t="inlineStr">
        <is>
          <t>gabinete@ifgoiano.edu.br</t>
        </is>
      </c>
      <c r="K144" s="227" t="inlineStr">
        <is>
          <t>https://www.ifgoiano.edu.br/home/index.php/diren-morrinhos/2-uncategorized/12744-reitoria.html</t>
        </is>
      </c>
      <c r="L144" s="227" t="inlineStr">
        <is>
          <t>VERIFICAR</t>
        </is>
      </c>
      <c r="M144" s="227" t="inlineStr">
        <is>
          <t>Agregado auditoría 08-oct-2026. Correo de fuente institucional única; no reproducido en búsqueda independiente.</t>
        </is>
      </c>
    </row>
    <row r="145" ht="15.75" customHeight="1" s="182">
      <c r="A145" s="229" t="inlineStr">
        <is>
          <t>Brasil</t>
        </is>
      </c>
      <c r="B145" s="229" t="inlineStr">
        <is>
          <t>Formación técnica pública</t>
        </is>
      </c>
      <c r="C145" s="229" t="inlineStr">
        <is>
          <t>Instituto Federal (Rede Federal EPT)</t>
        </is>
      </c>
      <c r="D145" s="229" t="inlineStr">
        <is>
          <t>Instituto Federal de Brasília (IFB)</t>
        </is>
      </c>
      <c r="E145" s="229" t="n"/>
      <c r="F145" s="229" t="inlineStr">
        <is>
          <t>Reitoria</t>
        </is>
      </c>
      <c r="G145" s="229" t="inlineStr">
        <is>
          <t>https://www.ifb.edu.br/</t>
        </is>
      </c>
      <c r="H145" s="229" t="inlineStr">
        <is>
          <t>No disponible públicamente</t>
        </is>
      </c>
      <c r="I145" s="229" t="inlineStr">
        <is>
          <t>+55 61 2103-2145</t>
        </is>
      </c>
      <c r="J145" s="229" t="inlineStr">
        <is>
          <t>protocolo.reitoria@ifb.edu.br</t>
        </is>
      </c>
      <c r="K145" s="229" t="inlineStr">
        <is>
          <t>https://www.gov.br/pt-br/servicos/protocolar-documentos-no-ifb</t>
        </is>
      </c>
      <c r="L145" s="229" t="inlineStr">
        <is>
          <t>CONFIRMADO</t>
        </is>
      </c>
      <c r="M145" s="229" t="inlineStr">
        <is>
          <t>Agregado auditoría 08-oct-2026. Doble verificación OK: correo reproducido en https://www.gov.br/pt-br/servicos/protocolar-documentos-no-ifb</t>
        </is>
      </c>
    </row>
    <row r="146" ht="15.75" customHeight="1" s="182">
      <c r="A146" s="229" t="inlineStr">
        <is>
          <t>Brasil</t>
        </is>
      </c>
      <c r="B146" s="229" t="inlineStr">
        <is>
          <t>Formación técnica pública</t>
        </is>
      </c>
      <c r="C146" s="229" t="inlineStr">
        <is>
          <t>Instituto Federal (Rede Federal EPT)</t>
        </is>
      </c>
      <c r="D146" s="229" t="inlineStr">
        <is>
          <t>Instituto Federal de Mato Grosso (IFMT)</t>
        </is>
      </c>
      <c r="E146" s="229" t="n"/>
      <c r="F146" s="229" t="inlineStr">
        <is>
          <t>Gabinete da Reitoria</t>
        </is>
      </c>
      <c r="G146" s="229" t="inlineStr">
        <is>
          <t>https://ifmt.edu.br/</t>
        </is>
      </c>
      <c r="H146" s="229" t="inlineStr">
        <is>
          <t>No disponible públicamente</t>
        </is>
      </c>
      <c r="I146" s="229" t="inlineStr">
        <is>
          <t>+55 65 3616-4105</t>
        </is>
      </c>
      <c r="J146" s="229" t="inlineStr">
        <is>
          <t>gabinete@ifmt.edu.br</t>
        </is>
      </c>
      <c r="K146" s="229" t="inlineStr">
        <is>
          <t>https://ifmt.edu.br/o-instituto/</t>
        </is>
      </c>
      <c r="L146" s="229" t="inlineStr">
        <is>
          <t>CONFIRMADO</t>
        </is>
      </c>
      <c r="M146" s="229" t="inlineStr">
        <is>
          <t>Agregado auditoría 08-oct-2026. Doble verificación OK: correo reproducido en https://homologa.ifmt.edu.br/ifmt/wp-content/uploads/2024/09/digoreste___vol_7_2024_compressed_compressed-1.pdf</t>
        </is>
      </c>
    </row>
    <row r="147" ht="15.75" customHeight="1" s="182">
      <c r="A147" s="227" t="inlineStr">
        <is>
          <t>Brasil</t>
        </is>
      </c>
      <c r="B147" s="227" t="inlineStr">
        <is>
          <t>Formación técnica pública</t>
        </is>
      </c>
      <c r="C147" s="227" t="inlineStr">
        <is>
          <t>Instituto Federal (Rede Federal EPT)</t>
        </is>
      </c>
      <c r="D147" s="227" t="inlineStr">
        <is>
          <t>Instituto Federal de Mato Grosso do Sul (IFMS)</t>
        </is>
      </c>
      <c r="E147" s="227" t="n"/>
      <c r="F147" s="227" t="inlineStr">
        <is>
          <t>Gabinete da Reitoria</t>
        </is>
      </c>
      <c r="G147" s="227" t="inlineStr">
        <is>
          <t>https://www.ifms.edu.br/</t>
        </is>
      </c>
      <c r="H147" s="227" t="inlineStr">
        <is>
          <t>No disponible públicamente</t>
        </is>
      </c>
      <c r="I147" s="227" t="inlineStr">
        <is>
          <t>+55 67 3378-9626</t>
        </is>
      </c>
      <c r="J147" s="227" t="inlineStr">
        <is>
          <t>gabinete@ifms.edu.br</t>
        </is>
      </c>
      <c r="K147" s="227" t="inlineStr">
        <is>
          <t>https://www.ifms.edu.br/acesso-a-informacao/institucional/estrutura-organizacional/orgaos-de-apoio-e-controle/gabinete</t>
        </is>
      </c>
      <c r="L147" s="227" t="inlineStr">
        <is>
          <t>VERIFICAR</t>
        </is>
      </c>
      <c r="M147" s="227" t="inlineStr">
        <is>
          <t>Agregado auditoría 08-oct-2026. Correo de fuente institucional única; no reproducido en búsqueda independiente.</t>
        </is>
      </c>
    </row>
    <row r="148" ht="15.75" customHeight="1" s="182">
      <c r="A148" s="229" t="inlineStr">
        <is>
          <t>Brasil</t>
        </is>
      </c>
      <c r="B148" s="229" t="inlineStr">
        <is>
          <t>Formación técnica pública</t>
        </is>
      </c>
      <c r="C148" s="229" t="inlineStr">
        <is>
          <t>Instituto Federal (Rede Federal EPT)</t>
        </is>
      </c>
      <c r="D148" s="229" t="inlineStr">
        <is>
          <t>Instituto Federal do Tocantins (IFTO)</t>
        </is>
      </c>
      <c r="E148" s="229" t="n"/>
      <c r="F148" s="229" t="inlineStr">
        <is>
          <t>Gabinete do Reitor</t>
        </is>
      </c>
      <c r="G148" s="229" t="inlineStr">
        <is>
          <t>https://portal.ifto.edu.br/</t>
        </is>
      </c>
      <c r="H148" s="229" t="inlineStr">
        <is>
          <t>No disponible públicamente</t>
        </is>
      </c>
      <c r="I148" s="229" t="inlineStr">
        <is>
          <t>+55 63 3229-2201</t>
        </is>
      </c>
      <c r="J148" s="229" t="inlineStr">
        <is>
          <t>reitoria@ifto.edu.br</t>
        </is>
      </c>
      <c r="K148" s="229" t="inlineStr">
        <is>
          <t>https://portal.ifto.edu.br/ifto/reitoria/gabinete</t>
        </is>
      </c>
      <c r="L148" s="229" t="inlineStr">
        <is>
          <t>CONFIRMADO</t>
        </is>
      </c>
      <c r="M148" s="229" t="inlineStr">
        <is>
          <t>Agregado auditoría 08-oct-2026. Doble verificación OK: correo reproducido en https://portal.ifto.edu.br/centrais-de-conteudos/documentos-institucionais/projetos/reitoria-itinerante</t>
        </is>
      </c>
    </row>
    <row r="149" ht="15.75" customHeight="1" s="182">
      <c r="A149" s="227" t="inlineStr">
        <is>
          <t>Brasil</t>
        </is>
      </c>
      <c r="B149" s="227" t="inlineStr">
        <is>
          <t>Formación técnica pública</t>
        </is>
      </c>
      <c r="C149" s="227" t="inlineStr">
        <is>
          <t>Instituto Federal (Rede Federal EPT)</t>
        </is>
      </c>
      <c r="D149" s="227" t="inlineStr">
        <is>
          <t>Instituto Federal do Pará (IFPA)</t>
        </is>
      </c>
      <c r="E149" s="227" t="n"/>
      <c r="F149" s="227" t="inlineStr">
        <is>
          <t>Gabinete da Reitoria</t>
        </is>
      </c>
      <c r="G149" s="227" t="inlineStr">
        <is>
          <t>https://ifpa.edu.br/</t>
        </is>
      </c>
      <c r="H149" s="227" t="inlineStr">
        <is>
          <t>No disponible públicamente</t>
        </is>
      </c>
      <c r="I149" s="227" t="inlineStr">
        <is>
          <t>+55 91 3342-0599</t>
        </is>
      </c>
      <c r="J149" s="227" t="inlineStr">
        <is>
          <t>gabinete.reitoria@ifpa.edu.br</t>
        </is>
      </c>
      <c r="K149" s="227" t="inlineStr">
        <is>
          <t>https://simec.mec.gov.br/academico/mapa/dados_instituto_edpro.php?uf=PA</t>
        </is>
      </c>
      <c r="L149" s="227" t="inlineStr">
        <is>
          <t>VERIFICAR</t>
        </is>
      </c>
      <c r="M149" s="227" t="inlineStr">
        <is>
          <t>Agregado auditoría 08-oct-2026. Correo de fuente institucional única; no reproducido en búsqueda independiente.</t>
        </is>
      </c>
    </row>
    <row r="150" ht="15.75" customHeight="1" s="182">
      <c r="A150" s="229" t="inlineStr">
        <is>
          <t>Brasil</t>
        </is>
      </c>
      <c r="B150" s="229" t="inlineStr">
        <is>
          <t>Formación técnica pública</t>
        </is>
      </c>
      <c r="C150" s="229" t="inlineStr">
        <is>
          <t>Instituto Federal (Rede Federal EPT)</t>
        </is>
      </c>
      <c r="D150" s="229" t="inlineStr">
        <is>
          <t>Instituto Federal do Amazonas (IFAM)</t>
        </is>
      </c>
      <c r="E150" s="229" t="n"/>
      <c r="F150" s="229" t="inlineStr">
        <is>
          <t>Gabinete do Reitor</t>
        </is>
      </c>
      <c r="G150" s="229" t="inlineStr">
        <is>
          <t>https://www2.ifam.edu.br/</t>
        </is>
      </c>
      <c r="H150" s="229" t="inlineStr">
        <is>
          <t>No disponible públicamente</t>
        </is>
      </c>
      <c r="I150" s="229" t="inlineStr">
        <is>
          <t>+55 92 3306-0003</t>
        </is>
      </c>
      <c r="J150" s="229" t="inlineStr">
        <is>
          <t>gabinete@ifam.edu.br</t>
        </is>
      </c>
      <c r="K150" s="229" t="inlineStr">
        <is>
          <t>https://ead2.ifam.edu.br/cursos/especializacao-lato-sensu-formacao-pedagogica-para-docencia-na-educacao-profissional-e-tecnologica/2023_PPC_DocentEPT_UAB_Turma_2023.pdf</t>
        </is>
      </c>
      <c r="L150" s="229" t="inlineStr">
        <is>
          <t>CONFIRMADO</t>
        </is>
      </c>
      <c r="M150" s="229" t="inlineStr">
        <is>
          <t>Agregado auditoría 08-oct-2026. Doble verificación OK: correo reproducido en https://ead2.ifam.edu.br/cursos/especializacao-lato-sensu-formacao-pedagogica-para-docencia-na-educacao-profissional-e-tecnologica/2023_PPC_DocentEPT_UAB_Turma_2023.pdf Documento de 2023.</t>
        </is>
      </c>
    </row>
    <row r="151" ht="15.75" customHeight="1" s="182">
      <c r="A151" s="229" t="inlineStr">
        <is>
          <t>Brasil</t>
        </is>
      </c>
      <c r="B151" s="229" t="inlineStr">
        <is>
          <t>Formación técnica pública</t>
        </is>
      </c>
      <c r="C151" s="229" t="inlineStr">
        <is>
          <t>Instituto Federal (Rede Federal EPT)</t>
        </is>
      </c>
      <c r="D151" s="229" t="inlineStr">
        <is>
          <t>Instituto Federal do Espírito Santo (IFES)</t>
        </is>
      </c>
      <c r="E151" s="229" t="n"/>
      <c r="F151" s="229" t="inlineStr">
        <is>
          <t>Gabinete da Reitoria</t>
        </is>
      </c>
      <c r="G151" s="229" t="inlineStr">
        <is>
          <t>https://www.ifes.edu.br/</t>
        </is>
      </c>
      <c r="H151" s="229" t="inlineStr">
        <is>
          <t>No disponible públicamente</t>
        </is>
      </c>
      <c r="I151" s="229" t="inlineStr">
        <is>
          <t>+55 27 3357-7500</t>
        </is>
      </c>
      <c r="J151" s="229" t="inlineStr">
        <is>
          <t>gabinete@ifes.edu.br</t>
        </is>
      </c>
      <c r="K151" s="229" t="inlineStr">
        <is>
          <t>https://www.ifes.edu.br/institucional/2-uncategorised/19333-contato-e-mails-setoriais-da-reitoria</t>
        </is>
      </c>
      <c r="L151" s="229" t="inlineStr">
        <is>
          <t>CONFIRMADO</t>
        </is>
      </c>
      <c r="M151" s="229" t="inlineStr">
        <is>
          <t>Agregado auditoría 08-oct-2026. Doble verificación OK: correo reproducido en https://piuma.ifes.edu.br/images/stories/CSA--CPA/Relatório_CPA_2021.pdf</t>
        </is>
      </c>
    </row>
    <row r="152" ht="15.75" customHeight="1" s="182">
      <c r="A152" s="227" t="inlineStr">
        <is>
          <t>Brasil</t>
        </is>
      </c>
      <c r="B152" s="227" t="inlineStr">
        <is>
          <t>Formación técnica pública</t>
        </is>
      </c>
      <c r="C152" s="227" t="inlineStr">
        <is>
          <t>Instituto Federal (Rede Federal EPT)</t>
        </is>
      </c>
      <c r="D152" s="227" t="inlineStr">
        <is>
          <t>Instituto Federal Fluminense (IFF)</t>
        </is>
      </c>
      <c r="E152" s="227" t="n"/>
      <c r="F152" s="227" t="inlineStr">
        <is>
          <t>Reitoria / Chefia de Gabinete</t>
        </is>
      </c>
      <c r="G152" s="227" t="inlineStr">
        <is>
          <t>https://portal1.iff.edu.br/</t>
        </is>
      </c>
      <c r="H152" s="227" t="inlineStr">
        <is>
          <t>No disponible públicamente</t>
        </is>
      </c>
      <c r="I152" s="227" t="inlineStr">
        <is>
          <t>+55 22 2737-5600</t>
        </is>
      </c>
      <c r="J152" s="227" t="inlineStr">
        <is>
          <t>reitoria@iff.edu.br</t>
        </is>
      </c>
      <c r="K152" s="227" t="inlineStr">
        <is>
          <t>https://portal1.iff.edu.br/nossos-campi/reitoria/contatos</t>
        </is>
      </c>
      <c r="L152" s="227" t="inlineStr">
        <is>
          <t>VERIFICAR</t>
        </is>
      </c>
      <c r="M152" s="227" t="inlineStr">
        <is>
          <t>Agregado auditoría 08-oct-2026. Correo de fuente institucional única; no reproducido en búsqueda independiente.</t>
        </is>
      </c>
    </row>
    <row r="153" ht="15.75" customHeight="1" s="182">
      <c r="A153" s="229" t="inlineStr">
        <is>
          <t>Brasil</t>
        </is>
      </c>
      <c r="B153" s="229" t="inlineStr">
        <is>
          <t>Formación técnica pública</t>
        </is>
      </c>
      <c r="C153" s="229" t="inlineStr">
        <is>
          <t>Instituto Federal (Rede Federal EPT)</t>
        </is>
      </c>
      <c r="D153" s="229" t="inlineStr">
        <is>
          <t>Instituto Federal do Sudeste de Minas Gerais (IF Sudeste MG)</t>
        </is>
      </c>
      <c r="E153" s="229" t="n"/>
      <c r="F153" s="229" t="inlineStr">
        <is>
          <t>Gabinete do Reitor</t>
        </is>
      </c>
      <c r="G153" s="229" t="inlineStr">
        <is>
          <t>https://www.ifsudestemg.edu.br/</t>
        </is>
      </c>
      <c r="H153" s="229" t="inlineStr">
        <is>
          <t>No disponible públicamente</t>
        </is>
      </c>
      <c r="I153" s="229" t="inlineStr">
        <is>
          <t>+55 32 3198-1506</t>
        </is>
      </c>
      <c r="J153" s="229" t="inlineStr">
        <is>
          <t>gabinete@ifsudestemg.edu.br</t>
        </is>
      </c>
      <c r="K153" s="229" t="inlineStr">
        <is>
          <t>https://www.ifsudestemg.edu.br/institucional/gabinete/equipe-e-contatos</t>
        </is>
      </c>
      <c r="L153" s="229" t="inlineStr">
        <is>
          <t>CONFIRMADO</t>
        </is>
      </c>
      <c r="M153" s="229" t="inlineStr">
        <is>
          <t>Agregado auditoría 08-oct-2026. Doble verificación OK: correo reproducido en https://www.ifsudestemg.edu.br/documentos-institucionais/unidades/juizdefora/pid-e-rid/rid/rid-2025-1-det/annik-passos-marocco.pdf</t>
        </is>
      </c>
    </row>
    <row r="154" ht="15.75" customHeight="1" s="182">
      <c r="A154" s="227" t="inlineStr">
        <is>
          <t>Brasil</t>
        </is>
      </c>
      <c r="B154" s="227" t="inlineStr">
        <is>
          <t>Formación técnica pública</t>
        </is>
      </c>
      <c r="C154" s="227" t="inlineStr">
        <is>
          <t>Instituto Federal (Rede Federal EPT)</t>
        </is>
      </c>
      <c r="D154" s="227" t="inlineStr">
        <is>
          <t>Instituto Federal do Norte de Minas Gerais (IFNMG)</t>
        </is>
      </c>
      <c r="E154" s="227" t="n"/>
      <c r="F154" s="227" t="inlineStr">
        <is>
          <t>Gabinete</t>
        </is>
      </c>
      <c r="G154" s="227" t="inlineStr">
        <is>
          <t>https://www.ifnmg.edu.br/</t>
        </is>
      </c>
      <c r="H154" s="227" t="inlineStr">
        <is>
          <t>No disponible públicamente</t>
        </is>
      </c>
      <c r="I154" s="227" t="inlineStr">
        <is>
          <t>+55 38 3218-7340</t>
        </is>
      </c>
      <c r="J154" s="227" t="inlineStr">
        <is>
          <t>gabinete@ifnmg.edu.br</t>
        </is>
      </c>
      <c r="K154" s="227" t="inlineStr">
        <is>
          <t>https://www.ifnmg.edu.br/gabinete/gabinete1</t>
        </is>
      </c>
      <c r="L154" s="227" t="inlineStr">
        <is>
          <t>VERIFICAR</t>
        </is>
      </c>
      <c r="M154" s="227" t="inlineStr">
        <is>
          <t>Agregado auditoría 08-oct-2026. Correo de fuente institucional única; no reproducido en búsqueda independiente.</t>
        </is>
      </c>
    </row>
    <row r="155" ht="15.75" customHeight="1" s="182">
      <c r="A155" s="227" t="inlineStr">
        <is>
          <t>Brasil</t>
        </is>
      </c>
      <c r="B155" s="227" t="inlineStr">
        <is>
          <t>Formación técnica pública</t>
        </is>
      </c>
      <c r="C155" s="227" t="inlineStr">
        <is>
          <t>Instituto Federal (Rede Federal EPT)</t>
        </is>
      </c>
      <c r="D155" s="227" t="inlineStr">
        <is>
          <t>Instituto Federal do Sul de Minas Gerais (IFSULDEMINAS)</t>
        </is>
      </c>
      <c r="E155" s="227" t="n"/>
      <c r="F155" s="227" t="inlineStr">
        <is>
          <t>Gabinete do Reitor</t>
        </is>
      </c>
      <c r="G155" s="227" t="inlineStr">
        <is>
          <t>https://portal.ifsuldeminas.edu.br/</t>
        </is>
      </c>
      <c r="H155" s="227" t="inlineStr">
        <is>
          <t>No disponible públicamente</t>
        </is>
      </c>
      <c r="I155" s="227" t="inlineStr">
        <is>
          <t>+55 35 3449-6150</t>
        </is>
      </c>
      <c r="J155" s="227" t="inlineStr">
        <is>
          <t>reitor@ifsuldeminas.edu.br / reitoria@ifsuldeminas.edu.br</t>
        </is>
      </c>
      <c r="K155" s="227" t="inlineStr">
        <is>
          <t>https://portal.ifsuldeminas.edu.br/index.php/institucional-geral/3322-equipe-gabinete</t>
        </is>
      </c>
      <c r="L155" s="227" t="inlineStr">
        <is>
          <t>VERIFICAR</t>
        </is>
      </c>
      <c r="M155" s="227" t="inlineStr">
        <is>
          <t>Agregado auditoría 08-oct-2026. Correo de fuente institucional única; no reproducido en búsqueda independiente.</t>
        </is>
      </c>
    </row>
    <row r="156" ht="15.75" customHeight="1" s="182">
      <c r="A156" s="227" t="inlineStr">
        <is>
          <t>Brasil</t>
        </is>
      </c>
      <c r="B156" s="227" t="inlineStr">
        <is>
          <t>Formación técnica pública</t>
        </is>
      </c>
      <c r="C156" s="227" t="inlineStr">
        <is>
          <t>Instituto Federal (Rede Federal EPT)</t>
        </is>
      </c>
      <c r="D156" s="227" t="inlineStr">
        <is>
          <t>Instituto Federal do Triângulo Mineiro (IFTM)</t>
        </is>
      </c>
      <c r="E156" s="227" t="n"/>
      <c r="F156" s="227" t="inlineStr">
        <is>
          <t>Gabinete da Reitoria</t>
        </is>
      </c>
      <c r="G156" s="227" t="inlineStr">
        <is>
          <t>https://iftm.edu.br/</t>
        </is>
      </c>
      <c r="H156" s="227" t="inlineStr">
        <is>
          <t>No disponible públicamente</t>
        </is>
      </c>
      <c r="I156" s="227" t="inlineStr">
        <is>
          <t>+55 34 3326-1102</t>
        </is>
      </c>
      <c r="J156" s="227" t="inlineStr">
        <is>
          <t>gabinete.reitoria@iftm.edu.br</t>
        </is>
      </c>
      <c r="K156" s="227" t="inlineStr">
        <is>
          <t>https://iftm.edu.br/contatos/reitoria</t>
        </is>
      </c>
      <c r="L156" s="227" t="inlineStr">
        <is>
          <t>VERIFICAR</t>
        </is>
      </c>
      <c r="M156" s="227" t="inlineStr">
        <is>
          <t>Agregado auditoría 08-oct-2026. Correo de fuente institucional única; no reproducido en búsqueda independiente.</t>
        </is>
      </c>
    </row>
    <row r="157" ht="15.75" customHeight="1" s="182">
      <c r="A157" s="227" t="inlineStr">
        <is>
          <t>Brasil</t>
        </is>
      </c>
      <c r="B157" s="227" t="inlineStr">
        <is>
          <t>Formación técnica pública</t>
        </is>
      </c>
      <c r="C157" s="227" t="inlineStr">
        <is>
          <t>Centro Federal de Educação Tecnológica</t>
        </is>
      </c>
      <c r="D157" s="227" t="inlineStr">
        <is>
          <t>Centro Federal de Educação Tecnológica de Minas Gerais (CEFET-MG)</t>
        </is>
      </c>
      <c r="E157" s="227" t="n"/>
      <c r="F157" s="227" t="inlineStr">
        <is>
          <t>Gabinete da Direção-Geral</t>
        </is>
      </c>
      <c r="G157" s="227" t="inlineStr">
        <is>
          <t>https://www.cefetmg.br/</t>
        </is>
      </c>
      <c r="H157" s="227" t="inlineStr">
        <is>
          <t>No disponible públicamente</t>
        </is>
      </c>
      <c r="I157" s="227" t="inlineStr">
        <is>
          <t>+55 31 3319-7010</t>
        </is>
      </c>
      <c r="J157" s="227" t="inlineStr">
        <is>
          <t>gabinete@cefetmg.br</t>
        </is>
      </c>
      <c r="K157" s="227" t="inlineStr">
        <is>
          <t>https://www.gabinete.cefetmg.br/quem-e-quem/</t>
        </is>
      </c>
      <c r="L157" s="227" t="inlineStr">
        <is>
          <t>VERIFICAR</t>
        </is>
      </c>
      <c r="M157" s="227" t="inlineStr">
        <is>
          <t>Agregado auditoría 08-oct-2026. Correo de fuente institucional única; no reproducido en búsqueda independiente.</t>
        </is>
      </c>
    </row>
    <row r="158" ht="15.75" customHeight="1" s="182">
      <c r="A158" s="227" t="inlineStr">
        <is>
          <t>Brasil</t>
        </is>
      </c>
      <c r="B158" s="227" t="inlineStr">
        <is>
          <t>Formación técnica pública</t>
        </is>
      </c>
      <c r="C158" s="227" t="inlineStr">
        <is>
          <t>Centro Federal de Educação Tecnológica</t>
        </is>
      </c>
      <c r="D158" s="227" t="inlineStr">
        <is>
          <t>Centro Federal de Educação Tecnológica Celso Suckow da Fonseca (CEFET-RJ)</t>
        </is>
      </c>
      <c r="E158" s="227" t="n"/>
      <c r="F158" s="227" t="inlineStr">
        <is>
          <t>Gabinete da Direção-Geral</t>
        </is>
      </c>
      <c r="G158" s="227" t="inlineStr">
        <is>
          <t>https://www.cefet-rj.br/</t>
        </is>
      </c>
      <c r="H158" s="227" t="inlineStr">
        <is>
          <t>Michele Roberta Rosa e Silva (Chefe de Gabinete)</t>
        </is>
      </c>
      <c r="I158" s="227" t="inlineStr">
        <is>
          <t>+55 21 2566-3110</t>
        </is>
      </c>
      <c r="J158" s="227" t="inlineStr">
        <is>
          <t>No disponible públicamente</t>
        </is>
      </c>
      <c r="K158" s="227" t="inlineStr">
        <is>
          <t>https://www.cefet-rj.br/index.php/quem-e-quem</t>
        </is>
      </c>
      <c r="L158" s="227" t="inlineStr">
        <is>
          <t>VERIFICAR</t>
        </is>
      </c>
      <c r="M158" s="227" t="inlineStr">
        <is>
          <t>Agregado auditoría 08-oct-2026. Sin correo publicado en fuente oficial; contactar por teléfono/web. Email ofuscado en la web.</t>
        </is>
      </c>
    </row>
    <row r="159" ht="15.75" customHeight="1" s="182">
      <c r="A159" s="229" t="inlineStr">
        <is>
          <t>Brasil</t>
        </is>
      </c>
      <c r="B159" s="229" t="inlineStr">
        <is>
          <t>Formación técnica pública</t>
        </is>
      </c>
      <c r="C159" s="229" t="inlineStr">
        <is>
          <t>Instituto Federal (Rede Federal EPT)</t>
        </is>
      </c>
      <c r="D159" s="229" t="inlineStr">
        <is>
          <t>Instituto Federal do Acre (IFAC)</t>
        </is>
      </c>
      <c r="E159" s="229" t="n"/>
      <c r="F159" s="229" t="inlineStr">
        <is>
          <t>Reitoria / Gabinete</t>
        </is>
      </c>
      <c r="G159" s="229" t="inlineStr">
        <is>
          <t>https://www.ifac.edu.br/</t>
        </is>
      </c>
      <c r="H159" s="229" t="inlineStr">
        <is>
          <t>No disponible públicamente</t>
        </is>
      </c>
      <c r="I159" s="229" t="inlineStr">
        <is>
          <t>+55 68 2106-6834</t>
        </is>
      </c>
      <c r="J159" s="229" t="inlineStr">
        <is>
          <t>reitoria@ifac.edu.br</t>
        </is>
      </c>
      <c r="K159" s="229" t="inlineStr">
        <is>
          <t>https://www.ifac.edu.br/contato</t>
        </is>
      </c>
      <c r="L159" s="229" t="inlineStr">
        <is>
          <t>CONFIRMADO</t>
        </is>
      </c>
      <c r="M159" s="229" t="inlineStr">
        <is>
          <t>Agregado auditoría 08-oct-2026. Doble verificación OK: correo reproducido en https://www.ifac.edu.br/orgaos-colegiados/conselhos/consu/resolucoes/resolucoes-2023/resolucao-128-ppc-especializacao-eja.pdf</t>
        </is>
      </c>
    </row>
    <row r="160" ht="15.75" customHeight="1" s="182">
      <c r="A160" s="227" t="inlineStr">
        <is>
          <t>Brasil</t>
        </is>
      </c>
      <c r="B160" s="227" t="inlineStr">
        <is>
          <t>Formación técnica pública</t>
        </is>
      </c>
      <c r="C160" s="227" t="inlineStr">
        <is>
          <t>Instituto Federal (Rede Federal EPT)</t>
        </is>
      </c>
      <c r="D160" s="227" t="inlineStr">
        <is>
          <t>Instituto Federal de Rondônia (IFRO)</t>
        </is>
      </c>
      <c r="E160" s="227" t="n"/>
      <c r="F160" s="227" t="inlineStr">
        <is>
          <t>Reitoria</t>
        </is>
      </c>
      <c r="G160" s="227" t="inlineStr">
        <is>
          <t>https://portal.ifro.edu.br/</t>
        </is>
      </c>
      <c r="H160" s="227" t="inlineStr">
        <is>
          <t>No disponible públicamente</t>
        </is>
      </c>
      <c r="I160" s="227" t="inlineStr">
        <is>
          <t>+55 69 2182-9600</t>
        </is>
      </c>
      <c r="J160" s="227" t="inlineStr">
        <is>
          <t>reitoria@ifro.edu.br</t>
        </is>
      </c>
      <c r="K160" s="227" t="inlineStr">
        <is>
          <t>https://simec.mec.gov.br/academico/mapa/dados_instituto_edpro.php?uf=RO</t>
        </is>
      </c>
      <c r="L160" s="227" t="inlineStr">
        <is>
          <t>VERIFICAR</t>
        </is>
      </c>
      <c r="M160" s="227" t="inlineStr">
        <is>
          <t>Agregado auditoría 08-oct-2026. Correo de fuente institucional única; no reproducido en búsqueda independiente.</t>
        </is>
      </c>
    </row>
    <row r="161" ht="15.75" customHeight="1" s="182">
      <c r="A161" s="229" t="inlineStr">
        <is>
          <t>Brasil</t>
        </is>
      </c>
      <c r="B161" s="229" t="inlineStr">
        <is>
          <t>Formación técnica pública</t>
        </is>
      </c>
      <c r="C161" s="229" t="inlineStr">
        <is>
          <t>Instituto Federal (Rede Federal EPT)</t>
        </is>
      </c>
      <c r="D161" s="229" t="inlineStr">
        <is>
          <t>Instituto Federal de Roraima (IFRR)</t>
        </is>
      </c>
      <c r="E161" s="229" t="n"/>
      <c r="F161" s="229" t="inlineStr">
        <is>
          <t>Gabinete da Reitoria</t>
        </is>
      </c>
      <c r="G161" s="229" t="inlineStr">
        <is>
          <t>https://www.ifrr.edu.br/</t>
        </is>
      </c>
      <c r="H161" s="229" t="inlineStr">
        <is>
          <t>No disponible públicamente</t>
        </is>
      </c>
      <c r="I161" s="229" t="inlineStr">
        <is>
          <t>+55 95 3624-1224</t>
        </is>
      </c>
      <c r="J161" s="229" t="inlineStr">
        <is>
          <t>gabinete.reitoria@ifrr.edu.br</t>
        </is>
      </c>
      <c r="K161" s="229" t="inlineStr">
        <is>
          <t>https://www.ifrr.edu.br/unidades/reitoria/</t>
        </is>
      </c>
      <c r="L161" s="229" t="inlineStr">
        <is>
          <t>CONFIRMADO</t>
        </is>
      </c>
      <c r="M161" s="229" t="inlineStr">
        <is>
          <t>Agregado auditoría 08-oct-2026. Doble verificación OK: correo reproducido en https://www.ifrr.edu.br/documents/1175/Resolu%C3%A7%C3%A3o_796-2024-CONSUP_Aprova_Ad_ref_PPC_Curso_T%C3%A9c_em_Adm_Concomitante_CAB.pdf</t>
        </is>
      </c>
    </row>
    <row r="162" ht="15.75" customHeight="1" s="182">
      <c r="A162" s="229" t="inlineStr">
        <is>
          <t>Brasil</t>
        </is>
      </c>
      <c r="B162" s="229" t="inlineStr">
        <is>
          <t>Formación técnica pública</t>
        </is>
      </c>
      <c r="C162" s="229" t="inlineStr">
        <is>
          <t>Instituto Federal (Rede Federal EPT)</t>
        </is>
      </c>
      <c r="D162" s="229" t="inlineStr">
        <is>
          <t>Instituto Federal Baiano (IF Baiano)</t>
        </is>
      </c>
      <c r="E162" s="229" t="n"/>
      <c r="F162" s="229" t="inlineStr">
        <is>
          <t>Reitoria</t>
        </is>
      </c>
      <c r="G162" s="229" t="inlineStr">
        <is>
          <t>https://ifbaiano.edu.br/</t>
        </is>
      </c>
      <c r="H162" s="229" t="inlineStr">
        <is>
          <t>No disponible públicamente</t>
        </is>
      </c>
      <c r="I162" s="229" t="inlineStr">
        <is>
          <t>+55 71 3186-0001</t>
        </is>
      </c>
      <c r="J162" s="229" t="inlineStr">
        <is>
          <t>gabinete@ifbaiano.edu.br</t>
        </is>
      </c>
      <c r="K162" s="229" t="inlineStr">
        <is>
          <t>https://ifbaiano.edu.br/portal/estudante/contatos/</t>
        </is>
      </c>
      <c r="L162" s="229" t="inlineStr">
        <is>
          <t>CONFIRMADO</t>
        </is>
      </c>
      <c r="M162" s="229" t="inlineStr">
        <is>
          <t>Agregado auditoría 08-oct-2026. Doble verificación OK: correo reproducido en https://www.ifbaiano.edu.br/unidades/bonfim/2017/08/29/professores-do-if-baiano-publicam-trabalhos-cientificos-em-revistas-nacionais-e-internacionais/</t>
        </is>
      </c>
    </row>
    <row r="163" ht="15.75" customHeight="1" s="182">
      <c r="A163" s="229" t="inlineStr">
        <is>
          <t>Brasil</t>
        </is>
      </c>
      <c r="B163" s="229" t="inlineStr">
        <is>
          <t>Formación técnica pública</t>
        </is>
      </c>
      <c r="C163" s="229" t="inlineStr">
        <is>
          <t>Instituto Federal (Rede Federal EPT)</t>
        </is>
      </c>
      <c r="D163" s="229" t="inlineStr">
        <is>
          <t>Instituto Federal do Sertão Pernambucano (IF Sertão-PE)</t>
        </is>
      </c>
      <c r="E163" s="229" t="n"/>
      <c r="F163" s="229" t="inlineStr">
        <is>
          <t>Gabinete da Reitoria</t>
        </is>
      </c>
      <c r="G163" s="229" t="inlineStr">
        <is>
          <t>https://ifsertaope.edu.br/</t>
        </is>
      </c>
      <c r="H163" s="229" t="inlineStr">
        <is>
          <t>Jean Carlos Coelho de Alencar (Reitor)</t>
        </is>
      </c>
      <c r="I163" s="229" t="inlineStr">
        <is>
          <t>+55 87 2101-2350</t>
        </is>
      </c>
      <c r="J163" s="229" t="inlineStr">
        <is>
          <t>reitoria@ifsertao-pe.edu.br</t>
        </is>
      </c>
      <c r="K163" s="229" t="inlineStr">
        <is>
          <t>https://ifsertaope.edu.br/wp-content/uploads/2026/03/Resolucao-no-05.2026.pdf</t>
        </is>
      </c>
      <c r="L163" s="229" t="inlineStr">
        <is>
          <t>CONFIRMADO</t>
        </is>
      </c>
      <c r="M163" s="229" t="inlineStr">
        <is>
          <t>Agregado auditoría 08-oct-2026. Doble verificación OK: correo reproducido en https://ifsertaope.edu.br/wp-content/uploads/2026/03/Resolucao-no-05.2026.pdf</t>
        </is>
      </c>
    </row>
    <row r="164" ht="15.75" customHeight="1" s="182">
      <c r="A164" s="227" t="inlineStr">
        <is>
          <t>Brasil</t>
        </is>
      </c>
      <c r="B164" s="227" t="inlineStr">
        <is>
          <t>Organizaciones juveniles</t>
        </is>
      </c>
      <c r="C164" s="227" t="inlineStr">
        <is>
          <t>Organismo público de juventud</t>
        </is>
      </c>
      <c r="D164" s="227" t="inlineStr">
        <is>
          <t>Secretaria Nacional de Juventude (SNJ)</t>
        </is>
      </c>
      <c r="E164" s="227" t="n"/>
      <c r="F164" s="227" t="inlineStr">
        <is>
          <t>Gabinete</t>
        </is>
      </c>
      <c r="G164" s="227" t="inlineStr">
        <is>
          <t>https://www.gov.br/secretariageral/pt-br/juventude</t>
        </is>
      </c>
      <c r="H164" s="227" t="inlineStr">
        <is>
          <t>No disponible públicamente</t>
        </is>
      </c>
      <c r="I164" s="227" t="inlineStr">
        <is>
          <t>+55 61 3411-2677</t>
        </is>
      </c>
      <c r="J164" s="227" t="inlineStr">
        <is>
          <t>juventude@presidencia.gov.br</t>
        </is>
      </c>
      <c r="K164" s="227" t="inlineStr">
        <is>
          <t>https://sinajuve.mdh.gov.br/quem-e-quem/</t>
        </is>
      </c>
      <c r="L164" s="227" t="inlineStr">
        <is>
          <t>VERIFICAR</t>
        </is>
      </c>
      <c r="M164" s="227" t="inlineStr">
        <is>
          <t>Agregado auditoría 08-oct-2026. Correo de fuente institucional única; no reproducido en búsqueda independiente.</t>
        </is>
      </c>
    </row>
    <row r="165" ht="15.75" customHeight="1" s="182">
      <c r="A165" s="227" t="inlineStr">
        <is>
          <t>Brasil</t>
        </is>
      </c>
      <c r="B165" s="227" t="inlineStr">
        <is>
          <t>Organizaciones juveniles</t>
        </is>
      </c>
      <c r="C165" s="227" t="inlineStr">
        <is>
          <t>Movimiento estudiantil nacional</t>
        </is>
      </c>
      <c r="D165" s="227" t="inlineStr">
        <is>
          <t>União Nacional dos Estudantes (UNE)</t>
        </is>
      </c>
      <c r="E165" s="227" t="n"/>
      <c r="F165" s="227" t="inlineStr">
        <is>
          <t>Secretaria / Contato</t>
        </is>
      </c>
      <c r="G165" s="227" t="inlineStr">
        <is>
          <t>https://www.une.org.br/</t>
        </is>
      </c>
      <c r="H165" s="227" t="inlineStr">
        <is>
          <t>No disponible públicamente</t>
        </is>
      </c>
      <c r="I165" s="227" t="inlineStr">
        <is>
          <t>+55 11 5083-5053</t>
        </is>
      </c>
      <c r="J165" s="227" t="inlineStr">
        <is>
          <t>contato@une.org.br</t>
        </is>
      </c>
      <c r="K165" s="227" t="inlineStr">
        <is>
          <t>https://www.une.org.br/contato/</t>
        </is>
      </c>
      <c r="L165" s="227" t="inlineStr">
        <is>
          <t>VERIFICAR</t>
        </is>
      </c>
      <c r="M165" s="227" t="inlineStr">
        <is>
          <t>Agregado auditoría 08-oct-2026. Correo de fuente institucional única; no reproducido en búsqueda independiente.</t>
        </is>
      </c>
    </row>
    <row r="166" ht="15.75" customHeight="1" s="182">
      <c r="A166" s="227" t="inlineStr">
        <is>
          <t>Brasil</t>
        </is>
      </c>
      <c r="B166" s="227" t="inlineStr">
        <is>
          <t>Asociaciones de seguridad social</t>
        </is>
      </c>
      <c r="C166" s="227" t="inlineStr">
        <is>
          <t>Seguro social (entidad pública)</t>
        </is>
      </c>
      <c r="D166" s="227" t="inlineStr">
        <is>
          <t>Instituto Nacional do Seguro Social (INSS)</t>
        </is>
      </c>
      <c r="E166" s="227" t="n"/>
      <c r="F166" s="227" t="inlineStr">
        <is>
          <t>Assessoria de Comunicação Social</t>
        </is>
      </c>
      <c r="G166" s="227" t="inlineStr">
        <is>
          <t>https://www.gov.br/inss/</t>
        </is>
      </c>
      <c r="H166" s="227" t="inlineStr">
        <is>
          <t>Ana Paula Ergang (Chefe ACS)</t>
        </is>
      </c>
      <c r="I166" s="227" t="inlineStr">
        <is>
          <t>+55 61 3313-4253</t>
        </is>
      </c>
      <c r="J166" s="227" t="inlineStr">
        <is>
          <t>imprensa@inss.gov.br</t>
        </is>
      </c>
      <c r="K166" s="227" t="inlineStr">
        <is>
          <t>https://www.gov.br/inss/pt-br/canais_atendimento/imprensa</t>
        </is>
      </c>
      <c r="L166" s="227" t="inlineStr">
        <is>
          <t>VERIFICAR</t>
        </is>
      </c>
      <c r="M166" s="227" t="inlineStr">
        <is>
          <t>Agregado auditoría 08-oct-2026. Correo de fuente institucional única; no reproducido en búsqueda independiente. INSS no atiende por email; canal institucional/prensa.</t>
        </is>
      </c>
    </row>
    <row r="167" ht="15.75" customHeight="1" s="182">
      <c r="A167" s="227" t="inlineStr">
        <is>
          <t>Brasil</t>
        </is>
      </c>
      <c r="B167" s="227" t="inlineStr">
        <is>
          <t>Asociaciones de seguridad social</t>
        </is>
      </c>
      <c r="C167" s="227" t="inlineStr">
        <is>
          <t>Supervisión previsión complementaria</t>
        </is>
      </c>
      <c r="D167" s="227" t="inlineStr">
        <is>
          <t>Superintendência Nacional de Previdência Complementar (PREVIC)</t>
        </is>
      </c>
      <c r="E167" s="227" t="n"/>
      <c r="F167" s="227" t="inlineStr">
        <is>
          <t>Assessoria de Comunicação Social e Parlamentar</t>
        </is>
      </c>
      <c r="G167" s="227" t="inlineStr">
        <is>
          <t>https://www.gov.br/previc/</t>
        </is>
      </c>
      <c r="H167" s="227" t="inlineStr">
        <is>
          <t>No disponible públicamente</t>
        </is>
      </c>
      <c r="I167" s="227" t="inlineStr">
        <is>
          <t>+55 61 2021-2279</t>
        </is>
      </c>
      <c r="J167" s="227" t="inlineStr">
        <is>
          <t>previc.comunicacao@previc.gov.br</t>
        </is>
      </c>
      <c r="K167" s="227" t="inlineStr">
        <is>
          <t>https://www.gov.br/previc/pt-br/acesso-a-informacao-1/institucional/area-de-imprensa</t>
        </is>
      </c>
      <c r="L167" s="227" t="inlineStr">
        <is>
          <t>VERIFICAR</t>
        </is>
      </c>
      <c r="M167" s="227" t="inlineStr">
        <is>
          <t>Agregado auditoría 08-oct-2026. Correo de fuente institucional única; no reproducido en búsqueda independiente.</t>
        </is>
      </c>
    </row>
    <row r="168" ht="15.75" customHeight="1" s="182">
      <c r="A168" s="229" t="inlineStr">
        <is>
          <t>Brasil</t>
        </is>
      </c>
      <c r="B168" s="229" t="inlineStr">
        <is>
          <t>Asociaciones de seguridad social</t>
        </is>
      </c>
      <c r="C168" s="229" t="inlineStr">
        <is>
          <t>Asociación de servidores de la seguridad social</t>
        </is>
      </c>
      <c r="D168" s="229" t="inlineStr">
        <is>
          <t>Associação Nacional dos Servidores Públicos, da Previdência e da Seguridade Social (ANASPS)</t>
        </is>
      </c>
      <c r="E168" s="229" t="n"/>
      <c r="F168" s="229" t="inlineStr">
        <is>
          <t>Sede (Brasília)</t>
        </is>
      </c>
      <c r="G168" s="229" t="inlineStr">
        <is>
          <t>https://anasps.org.br/</t>
        </is>
      </c>
      <c r="H168" s="229" t="inlineStr">
        <is>
          <t>No disponible públicamente</t>
        </is>
      </c>
      <c r="I168" s="229" t="inlineStr">
        <is>
          <t>+55 61 3321-5651</t>
        </is>
      </c>
      <c r="J168" s="229" t="inlineStr">
        <is>
          <t>anasps@anasps.org.br</t>
        </is>
      </c>
      <c r="K168" s="229" t="inlineStr">
        <is>
          <t>https://www.anasps.org.br/nota/conheca-os-canais-de-atendimento-da-anasps-4/</t>
        </is>
      </c>
      <c r="L168" s="229" t="inlineStr">
        <is>
          <t>CONFIRMADO</t>
        </is>
      </c>
      <c r="M168" s="229" t="inlineStr">
        <is>
          <t>Agregado auditoría 08-oct-2026. Doble verificación OK: correo reproducido en https://www.anasps.org.br/wp-content/uploads/2022/05/Procuracao-Contribuicao-Previdenciaria-Titular.pdf</t>
        </is>
      </c>
    </row>
    <row r="169" ht="15.75" customHeight="1" s="182">
      <c r="A169" s="227" t="inlineStr">
        <is>
          <t>Brasil</t>
        </is>
      </c>
      <c r="B169" s="227" t="inlineStr">
        <is>
          <t>Asociaciones de seguridad social</t>
        </is>
      </c>
      <c r="C169" s="227" t="inlineStr">
        <is>
          <t>Confederación de jubilados</t>
        </is>
      </c>
      <c r="D169" s="227" t="inlineStr">
        <is>
          <t>Confederação Brasileira de Aposentados, Pensionistas e Idosos (COBAP)</t>
        </is>
      </c>
      <c r="E169" s="227" t="n"/>
      <c r="F169" s="227" t="inlineStr">
        <is>
          <t>Sede (Brasília)</t>
        </is>
      </c>
      <c r="G169" s="227" t="inlineStr">
        <is>
          <t>https://www.cobap.org.br/</t>
        </is>
      </c>
      <c r="H169" s="227" t="inlineStr">
        <is>
          <t>No disponible públicamente</t>
        </is>
      </c>
      <c r="I169" s="227" t="inlineStr">
        <is>
          <t>+55 61 3326-3168</t>
        </is>
      </c>
      <c r="J169" s="227" t="inlineStr">
        <is>
          <t>cobap@cobap.org.br</t>
        </is>
      </c>
      <c r="K169" s="227" t="inlineStr">
        <is>
          <t>https://www.cobap.org.br/</t>
        </is>
      </c>
      <c r="L169" s="227" t="inlineStr">
        <is>
          <t>VERIFICAR</t>
        </is>
      </c>
      <c r="M169" s="227" t="inlineStr">
        <is>
          <t>Agregado auditoría 08-oct-2026. Correo de fuente institucional única; no reproducido en búsqueda independiente.</t>
        </is>
      </c>
    </row>
    <row r="170" ht="15.75" customHeight="1" s="182">
      <c r="A170" s="227" t="inlineStr">
        <is>
          <t>Brasil</t>
        </is>
      </c>
      <c r="B170" s="227" t="inlineStr">
        <is>
          <t>Escuelas de gobierno y administración pública</t>
        </is>
      </c>
      <c r="C170" s="227" t="inlineStr">
        <is>
          <t>Escuela nacional de gobierno</t>
        </is>
      </c>
      <c r="D170" s="227" t="inlineStr">
        <is>
          <t>Escola Nacional de Administração Pública (ENAP)</t>
        </is>
      </c>
      <c r="E170" s="227" t="n"/>
      <c r="F170" s="227" t="inlineStr">
        <is>
          <t>Protocolo</t>
        </is>
      </c>
      <c r="G170" s="227" t="inlineStr">
        <is>
          <t>https://www.enap.gov.br/</t>
        </is>
      </c>
      <c r="H170" s="227" t="inlineStr">
        <is>
          <t>No disponible públicamente</t>
        </is>
      </c>
      <c r="I170" s="227" t="inlineStr">
        <is>
          <t>+55 61 2020-3000</t>
        </is>
      </c>
      <c r="J170" s="227" t="inlineStr">
        <is>
          <t>protocolo@enap.gov.br</t>
        </is>
      </c>
      <c r="K170" s="227" t="inlineStr">
        <is>
          <t>https://www.gov.br/pt-br/servicos/protocolar-documentos-junto-a-escola-nacional-de-administracao-publica</t>
        </is>
      </c>
      <c r="L170" s="227" t="inlineStr">
        <is>
          <t>VERIFICAR</t>
        </is>
      </c>
      <c r="M170" s="227" t="inlineStr">
        <is>
          <t>Agregado auditoría 08-oct-2026. Correo de fuente institucional única; no reproducido en búsqueda independiente.</t>
        </is>
      </c>
    </row>
    <row r="171" ht="15.75" customHeight="1" s="182">
      <c r="A171" s="227" t="inlineStr">
        <is>
          <t>Brasil</t>
        </is>
      </c>
      <c r="B171" s="227" t="inlineStr">
        <is>
          <t>Escuelas de gobierno y administración pública</t>
        </is>
      </c>
      <c r="C171" s="227" t="inlineStr">
        <is>
          <t>Escuela de gobierno estatal</t>
        </is>
      </c>
      <c r="D171" s="227" t="inlineStr">
        <is>
          <t>Fundação João Pinheiro – Escola de Governo Prof. Paulo Neves de Carvalho (MG)</t>
        </is>
      </c>
      <c r="E171" s="227" t="n"/>
      <c r="F171" s="227" t="inlineStr">
        <is>
          <t>Escola de Governo</t>
        </is>
      </c>
      <c r="G171" s="227" t="inlineStr">
        <is>
          <t>https://fjp.mg.gov.br/escola-de-governo/</t>
        </is>
      </c>
      <c r="H171" s="227" t="inlineStr">
        <is>
          <t>No disponible públicamente</t>
        </is>
      </c>
      <c r="I171" s="227" t="inlineStr">
        <is>
          <t>+55 31 3448-9489</t>
        </is>
      </c>
      <c r="J171" s="227" t="inlineStr">
        <is>
          <t>desenvolvimento.eg@fjp.mg.gov.br</t>
        </is>
      </c>
      <c r="K171" s="227" t="inlineStr">
        <is>
          <t>https://fjp.mg.gov.br/servicos-fjp/cursar-capacitacoes-e-treinamentos-na-fundacao-joao-pinheiro/</t>
        </is>
      </c>
      <c r="L171" s="227" t="inlineStr">
        <is>
          <t>VERIFICAR</t>
        </is>
      </c>
      <c r="M171" s="227" t="inlineStr">
        <is>
          <t>Agregado auditoría 08-oct-2026. Correo de fuente institucional única; no reproducido en búsqueda independiente.</t>
        </is>
      </c>
    </row>
    <row r="172" ht="15.75" customHeight="1" s="182">
      <c r="A172" s="229" t="inlineStr">
        <is>
          <t>Brasil</t>
        </is>
      </c>
      <c r="B172" s="229" t="inlineStr">
        <is>
          <t>Sindicatos y confederaciones de trabajadores</t>
        </is>
      </c>
      <c r="C172" s="229" t="inlineStr">
        <is>
          <t>Central sindical</t>
        </is>
      </c>
      <c r="D172" s="229" t="inlineStr">
        <is>
          <t>Central dos Trabalhadores e Trabalhadoras do Brasil (CTB)</t>
        </is>
      </c>
      <c r="E172" s="229" t="n"/>
      <c r="F172" s="229" t="inlineStr">
        <is>
          <t>Secretaria Geral</t>
        </is>
      </c>
      <c r="G172" s="229" t="inlineStr">
        <is>
          <t>https://www.ctb.org.br/</t>
        </is>
      </c>
      <c r="H172" s="229" t="inlineStr">
        <is>
          <t>No disponible públicamente</t>
        </is>
      </c>
      <c r="I172" s="229" t="inlineStr">
        <is>
          <t>+55 11 3874-0040</t>
        </is>
      </c>
      <c r="J172" s="229" t="inlineStr">
        <is>
          <t>secgeral@ctb.org.br</t>
        </is>
      </c>
      <c r="K172" s="229" t="inlineStr">
        <is>
          <t>https://www.ctb.org.br/2026/08/10/nota-das-centrais-sindicais-solidariedade-a-contag-e-em-defesa-da-autonomia-sindical/</t>
        </is>
      </c>
      <c r="L172" s="229" t="inlineStr">
        <is>
          <t>CONFIRMADO</t>
        </is>
      </c>
      <c r="M172" s="229" t="inlineStr">
        <is>
          <t>Agregado auditoría 08-oct-2026. Doble verificación OK: correo reproducido en https://ctb.org.br/wp-content/uploads/2024/12/circularprogramacaoreuniao.pdf</t>
        </is>
      </c>
    </row>
    <row r="173" ht="15.75" customHeight="1" s="182">
      <c r="A173" s="227" t="inlineStr">
        <is>
          <t>Brasil</t>
        </is>
      </c>
      <c r="B173" s="227" t="inlineStr">
        <is>
          <t>Sindicatos y confederaciones de trabajadores</t>
        </is>
      </c>
      <c r="C173" s="227" t="inlineStr">
        <is>
          <t>Central sindical</t>
        </is>
      </c>
      <c r="D173" s="227" t="inlineStr">
        <is>
          <t>Central Única dos Trabalhadores (CUT)</t>
        </is>
      </c>
      <c r="E173" s="227" t="n"/>
      <c r="F173" s="227" t="inlineStr">
        <is>
          <t>Sede nacional (Rua Caetano Pinto 575, São Paulo)</t>
        </is>
      </c>
      <c r="G173" s="227" t="inlineStr">
        <is>
          <t>https://www.cut.org.br/</t>
        </is>
      </c>
      <c r="H173" s="227" t="inlineStr">
        <is>
          <t>No disponible públicamente</t>
        </is>
      </c>
      <c r="I173" s="227" t="inlineStr">
        <is>
          <t>+55 11 2108-9200</t>
        </is>
      </c>
      <c r="J173" s="227" t="inlineStr">
        <is>
          <t>No disponible públicamente</t>
        </is>
      </c>
      <c r="K173" s="227" t="inlineStr">
        <is>
          <t>https://www.cut.org.br/institucional</t>
        </is>
      </c>
      <c r="L173" s="227" t="inlineStr">
        <is>
          <t>VERIFICAR</t>
        </is>
      </c>
      <c r="M173" s="227" t="inlineStr">
        <is>
          <t>Agregado auditoría 08-oct-2026. Sin correo publicado en fuente oficial; contactar por teléfono/web. Sin email publicado en la fuente.</t>
        </is>
      </c>
    </row>
    <row r="174" ht="15.75" customHeight="1" s="182">
      <c r="A174" s="227" t="inlineStr">
        <is>
          <t>Brasil</t>
        </is>
      </c>
      <c r="B174" s="227" t="inlineStr">
        <is>
          <t>Sindicatos y confederaciones de trabajadores</t>
        </is>
      </c>
      <c r="C174" s="227" t="inlineStr">
        <is>
          <t>Central sindical</t>
        </is>
      </c>
      <c r="D174" s="227" t="inlineStr">
        <is>
          <t>Nova Central Sindical de Trabalhadores (NCST)</t>
        </is>
      </c>
      <c r="E174" s="227" t="n"/>
      <c r="F174" s="227" t="inlineStr">
        <is>
          <t>Sede nacional (Brasília)</t>
        </is>
      </c>
      <c r="G174" s="227" t="inlineStr">
        <is>
          <t>https://www.ncst.org.br/</t>
        </is>
      </c>
      <c r="H174" s="227" t="inlineStr">
        <is>
          <t>No disponible públicamente</t>
        </is>
      </c>
      <c r="I174" s="227" t="inlineStr">
        <is>
          <t>+55 61 3226-4000</t>
        </is>
      </c>
      <c r="J174" s="227" t="inlineStr">
        <is>
          <t>No disponible públicamente</t>
        </is>
      </c>
      <c r="K174" s="227" t="inlineStr">
        <is>
          <t>https://www.ncst.org.br/contato.php</t>
        </is>
      </c>
      <c r="L174" s="227" t="inlineStr">
        <is>
          <t>VERIFICAR</t>
        </is>
      </c>
      <c r="M174" s="227" t="inlineStr">
        <is>
          <t>Agregado auditoría 08-oct-2026. Sin correo publicado en fuente oficial; contactar por teléfono/web.</t>
        </is>
      </c>
    </row>
    <row r="175" ht="15.75" customHeight="1" s="182">
      <c r="A175" s="227" t="inlineStr">
        <is>
          <t>Brasil</t>
        </is>
      </c>
      <c r="B175" s="227" t="inlineStr">
        <is>
          <t>Sindicatos y confederaciones de trabajadores</t>
        </is>
      </c>
      <c r="C175" s="227" t="inlineStr">
        <is>
          <t>Central sindical</t>
        </is>
      </c>
      <c r="D175" s="227" t="inlineStr">
        <is>
          <t>Central dos Sindicatos Brasileiros (CSB)</t>
        </is>
      </c>
      <c r="E175" s="227" t="n"/>
      <c r="F175" s="227" t="inlineStr">
        <is>
          <t>Sede nacional</t>
        </is>
      </c>
      <c r="G175" s="227" t="inlineStr">
        <is>
          <t>https://csb.org.br/</t>
        </is>
      </c>
      <c r="H175" s="227" t="inlineStr">
        <is>
          <t>No disponible públicamente</t>
        </is>
      </c>
      <c r="I175" s="227" t="inlineStr">
        <is>
          <t>+55 11 3823-5600</t>
        </is>
      </c>
      <c r="J175" s="227" t="inlineStr">
        <is>
          <t>No disponible públicamente</t>
        </is>
      </c>
      <c r="K175" s="227" t="inlineStr">
        <is>
          <t>https://csb.org.br/nacional/nota-centrais-defesa-instituicoes-democracia</t>
        </is>
      </c>
      <c r="L175" s="227" t="inlineStr">
        <is>
          <t>VERIFICAR</t>
        </is>
      </c>
      <c r="M175" s="227" t="inlineStr">
        <is>
          <t>Agregado auditoría 08-oct-2026. Sin correo publicado en fuente oficial; contactar por teléfono/web.</t>
        </is>
      </c>
    </row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</sheetData>
  <autoFilter ref="$A$1:$M$125"/>
  <dataValidations count="1">
    <dataValidation sqref="E2:E125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K3" r:id="rId4"/>
    <hyperlink xmlns:r="http://schemas.openxmlformats.org/officeDocument/2006/relationships" ref="G4" r:id="rId5"/>
    <hyperlink xmlns:r="http://schemas.openxmlformats.org/officeDocument/2006/relationships" ref="G5" r:id="rId6"/>
    <hyperlink xmlns:r="http://schemas.openxmlformats.org/officeDocument/2006/relationships" ref="K5" r:id="rId7"/>
    <hyperlink xmlns:r="http://schemas.openxmlformats.org/officeDocument/2006/relationships" ref="G6" r:id="rId8"/>
    <hyperlink xmlns:r="http://schemas.openxmlformats.org/officeDocument/2006/relationships" ref="K6" r:id="rId9"/>
    <hyperlink xmlns:r="http://schemas.openxmlformats.org/officeDocument/2006/relationships" ref="G7" r:id="rId10"/>
    <hyperlink xmlns:r="http://schemas.openxmlformats.org/officeDocument/2006/relationships" ref="K7" r:id="rId11"/>
    <hyperlink xmlns:r="http://schemas.openxmlformats.org/officeDocument/2006/relationships" ref="G8" r:id="rId12"/>
    <hyperlink xmlns:r="http://schemas.openxmlformats.org/officeDocument/2006/relationships" ref="K8" r:id="rId13"/>
    <hyperlink xmlns:r="http://schemas.openxmlformats.org/officeDocument/2006/relationships" ref="G9" r:id="rId14"/>
    <hyperlink xmlns:r="http://schemas.openxmlformats.org/officeDocument/2006/relationships" ref="K9" r:id="rId15"/>
    <hyperlink xmlns:r="http://schemas.openxmlformats.org/officeDocument/2006/relationships" ref="G10" r:id="rId16"/>
    <hyperlink xmlns:r="http://schemas.openxmlformats.org/officeDocument/2006/relationships" ref="K10" r:id="rId17"/>
    <hyperlink xmlns:r="http://schemas.openxmlformats.org/officeDocument/2006/relationships" ref="G11" r:id="rId18"/>
    <hyperlink xmlns:r="http://schemas.openxmlformats.org/officeDocument/2006/relationships" ref="K11" r:id="rId19"/>
    <hyperlink xmlns:r="http://schemas.openxmlformats.org/officeDocument/2006/relationships" ref="G12" r:id="rId20"/>
    <hyperlink xmlns:r="http://schemas.openxmlformats.org/officeDocument/2006/relationships" ref="K12" r:id="rId21"/>
    <hyperlink xmlns:r="http://schemas.openxmlformats.org/officeDocument/2006/relationships" ref="G13" r:id="rId22"/>
    <hyperlink xmlns:r="http://schemas.openxmlformats.org/officeDocument/2006/relationships" ref="K13" r:id="rId23"/>
    <hyperlink xmlns:r="http://schemas.openxmlformats.org/officeDocument/2006/relationships" ref="G14" r:id="rId24"/>
    <hyperlink xmlns:r="http://schemas.openxmlformats.org/officeDocument/2006/relationships" ref="K14" r:id="rId25"/>
    <hyperlink xmlns:r="http://schemas.openxmlformats.org/officeDocument/2006/relationships" ref="G15" r:id="rId26"/>
    <hyperlink xmlns:r="http://schemas.openxmlformats.org/officeDocument/2006/relationships" ref="K15" r:id="rId27"/>
    <hyperlink xmlns:r="http://schemas.openxmlformats.org/officeDocument/2006/relationships" ref="G16" r:id="rId28"/>
    <hyperlink xmlns:r="http://schemas.openxmlformats.org/officeDocument/2006/relationships" ref="K16" r:id="rId29"/>
    <hyperlink xmlns:r="http://schemas.openxmlformats.org/officeDocument/2006/relationships" ref="G17" r:id="rId30"/>
    <hyperlink xmlns:r="http://schemas.openxmlformats.org/officeDocument/2006/relationships" ref="K17" r:id="rId31"/>
    <hyperlink xmlns:r="http://schemas.openxmlformats.org/officeDocument/2006/relationships" ref="G18" r:id="rId32"/>
    <hyperlink xmlns:r="http://schemas.openxmlformats.org/officeDocument/2006/relationships" ref="K18" r:id="rId33"/>
    <hyperlink xmlns:r="http://schemas.openxmlformats.org/officeDocument/2006/relationships" ref="G19" r:id="rId34"/>
    <hyperlink xmlns:r="http://schemas.openxmlformats.org/officeDocument/2006/relationships" ref="K19" r:id="rId35"/>
    <hyperlink xmlns:r="http://schemas.openxmlformats.org/officeDocument/2006/relationships" ref="G20" r:id="rId36"/>
    <hyperlink xmlns:r="http://schemas.openxmlformats.org/officeDocument/2006/relationships" ref="G21" r:id="rId37"/>
    <hyperlink xmlns:r="http://schemas.openxmlformats.org/officeDocument/2006/relationships" ref="K21" r:id="rId38"/>
    <hyperlink xmlns:r="http://schemas.openxmlformats.org/officeDocument/2006/relationships" ref="G22" r:id="rId39"/>
    <hyperlink xmlns:r="http://schemas.openxmlformats.org/officeDocument/2006/relationships" ref="K22" r:id="rId40"/>
    <hyperlink xmlns:r="http://schemas.openxmlformats.org/officeDocument/2006/relationships" ref="G23" r:id="rId41"/>
    <hyperlink xmlns:r="http://schemas.openxmlformats.org/officeDocument/2006/relationships" ref="K23" r:id="rId42"/>
    <hyperlink xmlns:r="http://schemas.openxmlformats.org/officeDocument/2006/relationships" ref="G24" r:id="rId43"/>
    <hyperlink xmlns:r="http://schemas.openxmlformats.org/officeDocument/2006/relationships" ref="K24" r:id="rId44"/>
    <hyperlink xmlns:r="http://schemas.openxmlformats.org/officeDocument/2006/relationships" ref="G25" r:id="rId45"/>
    <hyperlink xmlns:r="http://schemas.openxmlformats.org/officeDocument/2006/relationships" ref="G26" r:id="rId46"/>
    <hyperlink xmlns:r="http://schemas.openxmlformats.org/officeDocument/2006/relationships" ref="K26" location="reitoria" r:id="rId47"/>
    <hyperlink xmlns:r="http://schemas.openxmlformats.org/officeDocument/2006/relationships" ref="G27" r:id="rId48"/>
    <hyperlink xmlns:r="http://schemas.openxmlformats.org/officeDocument/2006/relationships" ref="K27" r:id="rId49"/>
    <hyperlink xmlns:r="http://schemas.openxmlformats.org/officeDocument/2006/relationships" ref="G28" r:id="rId50"/>
    <hyperlink xmlns:r="http://schemas.openxmlformats.org/officeDocument/2006/relationships" ref="K28" r:id="rId51"/>
    <hyperlink xmlns:r="http://schemas.openxmlformats.org/officeDocument/2006/relationships" ref="G29" r:id="rId52"/>
    <hyperlink xmlns:r="http://schemas.openxmlformats.org/officeDocument/2006/relationships" ref="K29" r:id="rId53"/>
    <hyperlink xmlns:r="http://schemas.openxmlformats.org/officeDocument/2006/relationships" ref="G30" r:id="rId54"/>
    <hyperlink xmlns:r="http://schemas.openxmlformats.org/officeDocument/2006/relationships" ref="K30" r:id="rId55"/>
    <hyperlink xmlns:r="http://schemas.openxmlformats.org/officeDocument/2006/relationships" ref="G31" r:id="rId56"/>
    <hyperlink xmlns:r="http://schemas.openxmlformats.org/officeDocument/2006/relationships" ref="K31" r:id="rId57"/>
    <hyperlink xmlns:r="http://schemas.openxmlformats.org/officeDocument/2006/relationships" ref="G32" r:id="rId58"/>
    <hyperlink xmlns:r="http://schemas.openxmlformats.org/officeDocument/2006/relationships" ref="K32" r:id="rId59"/>
    <hyperlink xmlns:r="http://schemas.openxmlformats.org/officeDocument/2006/relationships" ref="G33" r:id="rId60"/>
    <hyperlink xmlns:r="http://schemas.openxmlformats.org/officeDocument/2006/relationships" ref="K33" r:id="rId61"/>
    <hyperlink xmlns:r="http://schemas.openxmlformats.org/officeDocument/2006/relationships" ref="G35" r:id="rId62"/>
    <hyperlink xmlns:r="http://schemas.openxmlformats.org/officeDocument/2006/relationships" ref="K35" r:id="rId63"/>
    <hyperlink xmlns:r="http://schemas.openxmlformats.org/officeDocument/2006/relationships" ref="G36" r:id="rId64"/>
    <hyperlink xmlns:r="http://schemas.openxmlformats.org/officeDocument/2006/relationships" ref="K36" r:id="rId65"/>
    <hyperlink xmlns:r="http://schemas.openxmlformats.org/officeDocument/2006/relationships" ref="G37" r:id="rId66"/>
    <hyperlink xmlns:r="http://schemas.openxmlformats.org/officeDocument/2006/relationships" ref="G38" r:id="rId67"/>
    <hyperlink xmlns:r="http://schemas.openxmlformats.org/officeDocument/2006/relationships" ref="K38" r:id="rId68"/>
    <hyperlink xmlns:r="http://schemas.openxmlformats.org/officeDocument/2006/relationships" ref="G39" r:id="rId69"/>
    <hyperlink xmlns:r="http://schemas.openxmlformats.org/officeDocument/2006/relationships" ref="K39" r:id="rId70"/>
    <hyperlink xmlns:r="http://schemas.openxmlformats.org/officeDocument/2006/relationships" ref="G40" r:id="rId71"/>
    <hyperlink xmlns:r="http://schemas.openxmlformats.org/officeDocument/2006/relationships" ref="K40" r:id="rId72"/>
    <hyperlink xmlns:r="http://schemas.openxmlformats.org/officeDocument/2006/relationships" ref="G41" r:id="rId73"/>
    <hyperlink xmlns:r="http://schemas.openxmlformats.org/officeDocument/2006/relationships" ref="K41" r:id="rId74"/>
    <hyperlink xmlns:r="http://schemas.openxmlformats.org/officeDocument/2006/relationships" ref="G42" r:id="rId75"/>
    <hyperlink xmlns:r="http://schemas.openxmlformats.org/officeDocument/2006/relationships" ref="K42" r:id="rId76"/>
    <hyperlink xmlns:r="http://schemas.openxmlformats.org/officeDocument/2006/relationships" ref="G43" r:id="rId77"/>
    <hyperlink xmlns:r="http://schemas.openxmlformats.org/officeDocument/2006/relationships" ref="K43" r:id="rId78"/>
    <hyperlink xmlns:r="http://schemas.openxmlformats.org/officeDocument/2006/relationships" ref="G44" r:id="rId79"/>
    <hyperlink xmlns:r="http://schemas.openxmlformats.org/officeDocument/2006/relationships" ref="K44" r:id="rId80"/>
    <hyperlink xmlns:r="http://schemas.openxmlformats.org/officeDocument/2006/relationships" ref="G45" r:id="rId81"/>
    <hyperlink xmlns:r="http://schemas.openxmlformats.org/officeDocument/2006/relationships" ref="K45" r:id="rId82"/>
    <hyperlink xmlns:r="http://schemas.openxmlformats.org/officeDocument/2006/relationships" ref="G46" r:id="rId83"/>
    <hyperlink xmlns:r="http://schemas.openxmlformats.org/officeDocument/2006/relationships" ref="K46" r:id="rId84"/>
    <hyperlink xmlns:r="http://schemas.openxmlformats.org/officeDocument/2006/relationships" ref="G47" r:id="rId85"/>
    <hyperlink xmlns:r="http://schemas.openxmlformats.org/officeDocument/2006/relationships" ref="K47" r:id="rId86"/>
    <hyperlink xmlns:r="http://schemas.openxmlformats.org/officeDocument/2006/relationships" ref="G48" r:id="rId87"/>
    <hyperlink xmlns:r="http://schemas.openxmlformats.org/officeDocument/2006/relationships" ref="K48" r:id="rId88"/>
    <hyperlink xmlns:r="http://schemas.openxmlformats.org/officeDocument/2006/relationships" ref="G49" r:id="rId89"/>
    <hyperlink xmlns:r="http://schemas.openxmlformats.org/officeDocument/2006/relationships" ref="K49" r:id="rId90"/>
    <hyperlink xmlns:r="http://schemas.openxmlformats.org/officeDocument/2006/relationships" ref="G50" r:id="rId91"/>
    <hyperlink xmlns:r="http://schemas.openxmlformats.org/officeDocument/2006/relationships" ref="K50" r:id="rId92"/>
    <hyperlink xmlns:r="http://schemas.openxmlformats.org/officeDocument/2006/relationships" ref="G51" r:id="rId93"/>
    <hyperlink xmlns:r="http://schemas.openxmlformats.org/officeDocument/2006/relationships" ref="K51" r:id="rId94"/>
    <hyperlink xmlns:r="http://schemas.openxmlformats.org/officeDocument/2006/relationships" ref="G52" r:id="rId95"/>
    <hyperlink xmlns:r="http://schemas.openxmlformats.org/officeDocument/2006/relationships" ref="K52" r:id="rId96"/>
    <hyperlink xmlns:r="http://schemas.openxmlformats.org/officeDocument/2006/relationships" ref="G53" r:id="rId97"/>
    <hyperlink xmlns:r="http://schemas.openxmlformats.org/officeDocument/2006/relationships" ref="K53" r:id="rId98"/>
    <hyperlink xmlns:r="http://schemas.openxmlformats.org/officeDocument/2006/relationships" ref="G54" r:id="rId99"/>
    <hyperlink xmlns:r="http://schemas.openxmlformats.org/officeDocument/2006/relationships" ref="K54" r:id="rId100"/>
    <hyperlink xmlns:r="http://schemas.openxmlformats.org/officeDocument/2006/relationships" ref="G55" r:id="rId101"/>
    <hyperlink xmlns:r="http://schemas.openxmlformats.org/officeDocument/2006/relationships" ref="K55" r:id="rId102"/>
    <hyperlink xmlns:r="http://schemas.openxmlformats.org/officeDocument/2006/relationships" ref="G56" r:id="rId103"/>
    <hyperlink xmlns:r="http://schemas.openxmlformats.org/officeDocument/2006/relationships" ref="G57" r:id="rId104"/>
    <hyperlink xmlns:r="http://schemas.openxmlformats.org/officeDocument/2006/relationships" ref="K57" location="vice-reitora" r:id="rId105"/>
    <hyperlink xmlns:r="http://schemas.openxmlformats.org/officeDocument/2006/relationships" ref="G58" r:id="rId106"/>
    <hyperlink xmlns:r="http://schemas.openxmlformats.org/officeDocument/2006/relationships" ref="K58" r:id="rId107"/>
    <hyperlink xmlns:r="http://schemas.openxmlformats.org/officeDocument/2006/relationships" ref="G59" r:id="rId108"/>
    <hyperlink xmlns:r="http://schemas.openxmlformats.org/officeDocument/2006/relationships" ref="K59" r:id="rId109"/>
    <hyperlink xmlns:r="http://schemas.openxmlformats.org/officeDocument/2006/relationships" ref="G60" r:id="rId110"/>
    <hyperlink xmlns:r="http://schemas.openxmlformats.org/officeDocument/2006/relationships" ref="K60" r:id="rId111"/>
    <hyperlink xmlns:r="http://schemas.openxmlformats.org/officeDocument/2006/relationships" ref="G61" r:id="rId112"/>
    <hyperlink xmlns:r="http://schemas.openxmlformats.org/officeDocument/2006/relationships" ref="K61" r:id="rId113"/>
    <hyperlink xmlns:r="http://schemas.openxmlformats.org/officeDocument/2006/relationships" ref="G62" r:id="rId114"/>
    <hyperlink xmlns:r="http://schemas.openxmlformats.org/officeDocument/2006/relationships" ref="K62" r:id="rId115"/>
    <hyperlink xmlns:r="http://schemas.openxmlformats.org/officeDocument/2006/relationships" ref="G63" r:id="rId116"/>
    <hyperlink xmlns:r="http://schemas.openxmlformats.org/officeDocument/2006/relationships" ref="K63" r:id="rId117"/>
    <hyperlink xmlns:r="http://schemas.openxmlformats.org/officeDocument/2006/relationships" ref="G64" r:id="rId118"/>
    <hyperlink xmlns:r="http://schemas.openxmlformats.org/officeDocument/2006/relationships" ref="K64" r:id="rId119"/>
    <hyperlink xmlns:r="http://schemas.openxmlformats.org/officeDocument/2006/relationships" ref="G65" r:id="rId120"/>
    <hyperlink xmlns:r="http://schemas.openxmlformats.org/officeDocument/2006/relationships" ref="G66" r:id="rId121"/>
    <hyperlink xmlns:r="http://schemas.openxmlformats.org/officeDocument/2006/relationships" ref="K66" r:id="rId122"/>
    <hyperlink xmlns:r="http://schemas.openxmlformats.org/officeDocument/2006/relationships" ref="G67" r:id="rId123"/>
    <hyperlink xmlns:r="http://schemas.openxmlformats.org/officeDocument/2006/relationships" ref="K67" r:id="rId124"/>
    <hyperlink xmlns:r="http://schemas.openxmlformats.org/officeDocument/2006/relationships" ref="G68" r:id="rId125"/>
    <hyperlink xmlns:r="http://schemas.openxmlformats.org/officeDocument/2006/relationships" ref="K68" r:id="rId126"/>
    <hyperlink xmlns:r="http://schemas.openxmlformats.org/officeDocument/2006/relationships" ref="G69" r:id="rId127"/>
    <hyperlink xmlns:r="http://schemas.openxmlformats.org/officeDocument/2006/relationships" ref="K69" r:id="rId128"/>
    <hyperlink xmlns:r="http://schemas.openxmlformats.org/officeDocument/2006/relationships" ref="G70" r:id="rId129"/>
    <hyperlink xmlns:r="http://schemas.openxmlformats.org/officeDocument/2006/relationships" ref="K70" r:id="rId130"/>
    <hyperlink xmlns:r="http://schemas.openxmlformats.org/officeDocument/2006/relationships" ref="G71" r:id="rId131"/>
    <hyperlink xmlns:r="http://schemas.openxmlformats.org/officeDocument/2006/relationships" ref="K71" r:id="rId132"/>
    <hyperlink xmlns:r="http://schemas.openxmlformats.org/officeDocument/2006/relationships" ref="G72" r:id="rId133"/>
    <hyperlink xmlns:r="http://schemas.openxmlformats.org/officeDocument/2006/relationships" ref="K72" r:id="rId134"/>
    <hyperlink xmlns:r="http://schemas.openxmlformats.org/officeDocument/2006/relationships" ref="G73" r:id="rId135"/>
    <hyperlink xmlns:r="http://schemas.openxmlformats.org/officeDocument/2006/relationships" ref="K73" location="!/vicereitor_ses/gabinete3869/" r:id="rId136"/>
    <hyperlink xmlns:r="http://schemas.openxmlformats.org/officeDocument/2006/relationships" ref="G74" r:id="rId137"/>
    <hyperlink xmlns:r="http://schemas.openxmlformats.org/officeDocument/2006/relationships" ref="K74" r:id="rId138"/>
    <hyperlink xmlns:r="http://schemas.openxmlformats.org/officeDocument/2006/relationships" ref="G75" r:id="rId139"/>
    <hyperlink xmlns:r="http://schemas.openxmlformats.org/officeDocument/2006/relationships" ref="K75" r:id="rId140"/>
    <hyperlink xmlns:r="http://schemas.openxmlformats.org/officeDocument/2006/relationships" ref="G76" r:id="rId141"/>
    <hyperlink xmlns:r="http://schemas.openxmlformats.org/officeDocument/2006/relationships" ref="G77" r:id="rId142"/>
    <hyperlink xmlns:r="http://schemas.openxmlformats.org/officeDocument/2006/relationships" ref="G78" r:id="rId143"/>
    <hyperlink xmlns:r="http://schemas.openxmlformats.org/officeDocument/2006/relationships" ref="K78" r:id="rId144"/>
    <hyperlink xmlns:r="http://schemas.openxmlformats.org/officeDocument/2006/relationships" ref="G79" r:id="rId145"/>
    <hyperlink xmlns:r="http://schemas.openxmlformats.org/officeDocument/2006/relationships" ref="J79" r:id="rId146"/>
    <hyperlink xmlns:r="http://schemas.openxmlformats.org/officeDocument/2006/relationships" ref="K79" r:id="rId147"/>
    <hyperlink xmlns:r="http://schemas.openxmlformats.org/officeDocument/2006/relationships" ref="G80" r:id="rId148"/>
    <hyperlink xmlns:r="http://schemas.openxmlformats.org/officeDocument/2006/relationships" ref="K80" r:id="rId149"/>
    <hyperlink xmlns:r="http://schemas.openxmlformats.org/officeDocument/2006/relationships" ref="G81" r:id="rId150"/>
    <hyperlink xmlns:r="http://schemas.openxmlformats.org/officeDocument/2006/relationships" ref="K81" r:id="rId151"/>
    <hyperlink xmlns:r="http://schemas.openxmlformats.org/officeDocument/2006/relationships" ref="G82" r:id="rId152"/>
    <hyperlink xmlns:r="http://schemas.openxmlformats.org/officeDocument/2006/relationships" ref="K82" r:id="rId153"/>
    <hyperlink xmlns:r="http://schemas.openxmlformats.org/officeDocument/2006/relationships" ref="G83" r:id="rId154"/>
    <hyperlink xmlns:r="http://schemas.openxmlformats.org/officeDocument/2006/relationships" ref="K83" r:id="rId155"/>
    <hyperlink xmlns:r="http://schemas.openxmlformats.org/officeDocument/2006/relationships" ref="G84" r:id="rId156"/>
    <hyperlink xmlns:r="http://schemas.openxmlformats.org/officeDocument/2006/relationships" ref="K84" location="gsc.tab=0" r:id="rId157"/>
    <hyperlink xmlns:r="http://schemas.openxmlformats.org/officeDocument/2006/relationships" ref="G85" r:id="rId158"/>
    <hyperlink xmlns:r="http://schemas.openxmlformats.org/officeDocument/2006/relationships" ref="K85" r:id="rId159"/>
    <hyperlink xmlns:r="http://schemas.openxmlformats.org/officeDocument/2006/relationships" ref="G86" r:id="rId160"/>
    <hyperlink xmlns:r="http://schemas.openxmlformats.org/officeDocument/2006/relationships" ref="K86" r:id="rId161"/>
    <hyperlink xmlns:r="http://schemas.openxmlformats.org/officeDocument/2006/relationships" ref="G87" r:id="rId162"/>
    <hyperlink xmlns:r="http://schemas.openxmlformats.org/officeDocument/2006/relationships" ref="G88" r:id="rId163"/>
    <hyperlink xmlns:r="http://schemas.openxmlformats.org/officeDocument/2006/relationships" ref="K88" r:id="rId164"/>
    <hyperlink xmlns:r="http://schemas.openxmlformats.org/officeDocument/2006/relationships" ref="G89" r:id="rId165"/>
    <hyperlink xmlns:r="http://schemas.openxmlformats.org/officeDocument/2006/relationships" ref="K89" r:id="rId166"/>
    <hyperlink xmlns:r="http://schemas.openxmlformats.org/officeDocument/2006/relationships" ref="G90" r:id="rId167"/>
    <hyperlink xmlns:r="http://schemas.openxmlformats.org/officeDocument/2006/relationships" ref="K90" r:id="rId168"/>
    <hyperlink xmlns:r="http://schemas.openxmlformats.org/officeDocument/2006/relationships" ref="G91" r:id="rId169"/>
    <hyperlink xmlns:r="http://schemas.openxmlformats.org/officeDocument/2006/relationships" ref="K91" r:id="rId170"/>
    <hyperlink xmlns:r="http://schemas.openxmlformats.org/officeDocument/2006/relationships" ref="G92" r:id="rId171"/>
    <hyperlink xmlns:r="http://schemas.openxmlformats.org/officeDocument/2006/relationships" ref="K92" r:id="rId172"/>
    <hyperlink xmlns:r="http://schemas.openxmlformats.org/officeDocument/2006/relationships" ref="G93" r:id="rId173"/>
    <hyperlink xmlns:r="http://schemas.openxmlformats.org/officeDocument/2006/relationships" ref="K93" r:id="rId174"/>
    <hyperlink xmlns:r="http://schemas.openxmlformats.org/officeDocument/2006/relationships" ref="G94" r:id="rId175"/>
    <hyperlink xmlns:r="http://schemas.openxmlformats.org/officeDocument/2006/relationships" ref="K94" r:id="rId176"/>
    <hyperlink xmlns:r="http://schemas.openxmlformats.org/officeDocument/2006/relationships" ref="G95" r:id="rId177"/>
    <hyperlink xmlns:r="http://schemas.openxmlformats.org/officeDocument/2006/relationships" ref="K95" r:id="rId178"/>
    <hyperlink xmlns:r="http://schemas.openxmlformats.org/officeDocument/2006/relationships" ref="G96" r:id="rId179"/>
    <hyperlink xmlns:r="http://schemas.openxmlformats.org/officeDocument/2006/relationships" ref="K96" r:id="rId180"/>
    <hyperlink xmlns:r="http://schemas.openxmlformats.org/officeDocument/2006/relationships" ref="G97" r:id="rId181"/>
    <hyperlink xmlns:r="http://schemas.openxmlformats.org/officeDocument/2006/relationships" ref="G98" r:id="rId182"/>
    <hyperlink xmlns:r="http://schemas.openxmlformats.org/officeDocument/2006/relationships" ref="K98" r:id="rId183"/>
    <hyperlink xmlns:r="http://schemas.openxmlformats.org/officeDocument/2006/relationships" ref="G99" r:id="rId184"/>
    <hyperlink xmlns:r="http://schemas.openxmlformats.org/officeDocument/2006/relationships" ref="K99" r:id="rId185"/>
    <hyperlink xmlns:r="http://schemas.openxmlformats.org/officeDocument/2006/relationships" ref="G100" r:id="rId186"/>
    <hyperlink xmlns:r="http://schemas.openxmlformats.org/officeDocument/2006/relationships" ref="K100" r:id="rId187"/>
    <hyperlink xmlns:r="http://schemas.openxmlformats.org/officeDocument/2006/relationships" ref="G101" r:id="rId188"/>
    <hyperlink xmlns:r="http://schemas.openxmlformats.org/officeDocument/2006/relationships" ref="G102" r:id="rId189"/>
    <hyperlink xmlns:r="http://schemas.openxmlformats.org/officeDocument/2006/relationships" ref="G103" r:id="rId190"/>
    <hyperlink xmlns:r="http://schemas.openxmlformats.org/officeDocument/2006/relationships" ref="K103" r:id="rId191"/>
    <hyperlink xmlns:r="http://schemas.openxmlformats.org/officeDocument/2006/relationships" ref="G104" r:id="rId192"/>
    <hyperlink xmlns:r="http://schemas.openxmlformats.org/officeDocument/2006/relationships" ref="G105" r:id="rId193"/>
    <hyperlink xmlns:r="http://schemas.openxmlformats.org/officeDocument/2006/relationships" ref="K105" r:id="rId194"/>
    <hyperlink xmlns:r="http://schemas.openxmlformats.org/officeDocument/2006/relationships" ref="G106" r:id="rId195"/>
    <hyperlink xmlns:r="http://schemas.openxmlformats.org/officeDocument/2006/relationships" ref="K106" r:id="rId196"/>
    <hyperlink xmlns:r="http://schemas.openxmlformats.org/officeDocument/2006/relationships" ref="G107" r:id="rId197"/>
    <hyperlink xmlns:r="http://schemas.openxmlformats.org/officeDocument/2006/relationships" ref="K107" r:id="rId198"/>
    <hyperlink xmlns:r="http://schemas.openxmlformats.org/officeDocument/2006/relationships" ref="G108" r:id="rId199"/>
    <hyperlink xmlns:r="http://schemas.openxmlformats.org/officeDocument/2006/relationships" ref="K108" r:id="rId200"/>
    <hyperlink xmlns:r="http://schemas.openxmlformats.org/officeDocument/2006/relationships" ref="G109" r:id="rId201"/>
    <hyperlink xmlns:r="http://schemas.openxmlformats.org/officeDocument/2006/relationships" ref="K109" r:id="rId202"/>
    <hyperlink xmlns:r="http://schemas.openxmlformats.org/officeDocument/2006/relationships" ref="G110" r:id="rId203"/>
    <hyperlink xmlns:r="http://schemas.openxmlformats.org/officeDocument/2006/relationships" ref="K110" r:id="rId204"/>
    <hyperlink xmlns:r="http://schemas.openxmlformats.org/officeDocument/2006/relationships" ref="G111" r:id="rId205"/>
    <hyperlink xmlns:r="http://schemas.openxmlformats.org/officeDocument/2006/relationships" ref="K111" r:id="rId206"/>
    <hyperlink xmlns:r="http://schemas.openxmlformats.org/officeDocument/2006/relationships" ref="G112" r:id="rId207"/>
    <hyperlink xmlns:r="http://schemas.openxmlformats.org/officeDocument/2006/relationships" ref="K112" r:id="rId208"/>
    <hyperlink xmlns:r="http://schemas.openxmlformats.org/officeDocument/2006/relationships" ref="G113" r:id="rId209"/>
    <hyperlink xmlns:r="http://schemas.openxmlformats.org/officeDocument/2006/relationships" ref="K113" r:id="rId210"/>
    <hyperlink xmlns:r="http://schemas.openxmlformats.org/officeDocument/2006/relationships" ref="G114" r:id="rId211"/>
    <hyperlink xmlns:r="http://schemas.openxmlformats.org/officeDocument/2006/relationships" ref="K114" r:id="rId212"/>
    <hyperlink xmlns:r="http://schemas.openxmlformats.org/officeDocument/2006/relationships" ref="G115" r:id="rId213"/>
    <hyperlink xmlns:r="http://schemas.openxmlformats.org/officeDocument/2006/relationships" ref="K115" r:id="rId214"/>
    <hyperlink xmlns:r="http://schemas.openxmlformats.org/officeDocument/2006/relationships" ref="G116" r:id="rId215"/>
    <hyperlink xmlns:r="http://schemas.openxmlformats.org/officeDocument/2006/relationships" ref="K116" r:id="rId216"/>
    <hyperlink xmlns:r="http://schemas.openxmlformats.org/officeDocument/2006/relationships" ref="G117" r:id="rId217"/>
    <hyperlink xmlns:r="http://schemas.openxmlformats.org/officeDocument/2006/relationships" ref="K117" r:id="rId218"/>
    <hyperlink xmlns:r="http://schemas.openxmlformats.org/officeDocument/2006/relationships" ref="G118" r:id="rId219"/>
    <hyperlink xmlns:r="http://schemas.openxmlformats.org/officeDocument/2006/relationships" ref="K118" r:id="rId220"/>
    <hyperlink xmlns:r="http://schemas.openxmlformats.org/officeDocument/2006/relationships" ref="G119" r:id="rId221"/>
    <hyperlink xmlns:r="http://schemas.openxmlformats.org/officeDocument/2006/relationships" ref="K119" r:id="rId222"/>
    <hyperlink xmlns:r="http://schemas.openxmlformats.org/officeDocument/2006/relationships" ref="G120" r:id="rId223"/>
    <hyperlink xmlns:r="http://schemas.openxmlformats.org/officeDocument/2006/relationships" ref="K120" r:id="rId224"/>
    <hyperlink xmlns:r="http://schemas.openxmlformats.org/officeDocument/2006/relationships" ref="G121" r:id="rId225"/>
    <hyperlink xmlns:r="http://schemas.openxmlformats.org/officeDocument/2006/relationships" ref="K121" r:id="rId226"/>
    <hyperlink xmlns:r="http://schemas.openxmlformats.org/officeDocument/2006/relationships" ref="G122" r:id="rId227"/>
    <hyperlink xmlns:r="http://schemas.openxmlformats.org/officeDocument/2006/relationships" ref="K122" r:id="rId228"/>
    <hyperlink xmlns:r="http://schemas.openxmlformats.org/officeDocument/2006/relationships" ref="G123" r:id="rId229"/>
    <hyperlink xmlns:r="http://schemas.openxmlformats.org/officeDocument/2006/relationships" ref="K123" r:id="rId230"/>
    <hyperlink xmlns:r="http://schemas.openxmlformats.org/officeDocument/2006/relationships" ref="G124" r:id="rId231"/>
    <hyperlink xmlns:r="http://schemas.openxmlformats.org/officeDocument/2006/relationships" ref="K124" r:id="rId232"/>
  </hyperlinks>
  <pageMargins left="0.75" right="0.75" top="1" bottom="1" header="0" footer="0"/>
  <pageSetup orientation="landscape"/>
  <tableParts count="1">
    <tablePart xmlns:r="http://schemas.openxmlformats.org/officeDocument/2006/relationships" r:id="rId23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País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>Notas de revisión</t>
        </is>
      </c>
    </row>
    <row r="2" ht="30" customHeight="1" s="182">
      <c r="A2" s="42" t="inlineStr">
        <is>
          <t>Perú</t>
        </is>
      </c>
      <c r="B2" s="15" t="inlineStr">
        <is>
          <t>Asociaciones de seguridad social</t>
        </is>
      </c>
      <c r="C2" s="73" t="inlineStr">
        <is>
          <t>Seguridad social previsional y pensiones – pública</t>
        </is>
      </c>
      <c r="D2" s="73" t="inlineStr">
        <is>
          <t>Oficina de Normalización Previsional (ONP)</t>
        </is>
      </c>
      <c r="E2" s="73" t="n"/>
      <c r="F2" s="73" t="inlineStr">
        <is>
          <t>ONP Te escucha</t>
        </is>
      </c>
      <c r="G2" s="18" t="inlineStr">
        <is>
          <t>https://www.onp.gob.pe/</t>
        </is>
      </c>
      <c r="H2" s="28" t="inlineStr">
        <is>
          <t>No disponible públicamente</t>
        </is>
      </c>
      <c r="I2" s="73" t="inlineStr">
        <is>
          <t>(01) 634-2222</t>
        </is>
      </c>
      <c r="J2" s="28" t="inlineStr">
        <is>
          <t>No disponible públicamente</t>
        </is>
      </c>
      <c r="K2" s="18" t="inlineStr">
        <is>
          <t>https://www.onp.gob.pe/</t>
        </is>
      </c>
      <c r="L2" s="51" t="inlineStr">
        <is>
          <t>CONFIRMADO</t>
        </is>
      </c>
      <c r="M2" s="30" t="n"/>
    </row>
    <row r="3" ht="30" customHeight="1" s="182">
      <c r="A3" s="42" t="inlineStr">
        <is>
          <t>Perú</t>
        </is>
      </c>
      <c r="B3" s="15" t="inlineStr">
        <is>
          <t>Asociaciones de seguridad social</t>
        </is>
      </c>
      <c r="C3" s="73" t="inlineStr">
        <is>
          <t>Seguridad social en salud – pública</t>
        </is>
      </c>
      <c r="D3" s="73" t="inlineStr">
        <is>
          <t>Seguro Social de Salud (EsSalud)</t>
        </is>
      </c>
      <c r="E3" s="73" t="n"/>
      <c r="F3" s="73" t="inlineStr">
        <is>
          <t>EsSalud en Línea</t>
        </is>
      </c>
      <c r="G3" s="18" t="inlineStr">
        <is>
          <t>https://www.essalud.gob.pe/</t>
        </is>
      </c>
      <c r="H3" s="28" t="inlineStr">
        <is>
          <t>No disponible públicamente</t>
        </is>
      </c>
      <c r="I3" s="73" t="inlineStr">
        <is>
          <t>411-8000 / (511) 265-6000 / (511) 265-7000</t>
        </is>
      </c>
      <c r="J3" s="28" t="inlineStr">
        <is>
          <t>No disponible públicamente</t>
        </is>
      </c>
      <c r="K3" s="18" t="inlineStr">
        <is>
          <t>https://www.essalud.gob.pe/</t>
        </is>
      </c>
      <c r="L3" s="51" t="inlineStr">
        <is>
          <t>CONFIRMADO</t>
        </is>
      </c>
      <c r="M3" s="30" t="n"/>
    </row>
    <row r="4" ht="30" customHeight="1" s="182">
      <c r="A4" s="42" t="inlineStr">
        <is>
          <t>Perú</t>
        </is>
      </c>
      <c r="B4" s="15" t="inlineStr">
        <is>
          <t>Asociaciones de seguridad social</t>
        </is>
      </c>
      <c r="C4" s="73" t="inlineStr">
        <is>
          <t>Regulación y supervisión de pensiones y seguros</t>
        </is>
      </c>
      <c r="D4" s="73" t="inlineStr">
        <is>
          <t>Superintendencia de Banca, Seguros y AFP (SBS)</t>
        </is>
      </c>
      <c r="E4" s="73" t="n"/>
      <c r="F4" s="73" t="inlineStr">
        <is>
          <t>Servicio de Atención al Ciudadano</t>
        </is>
      </c>
      <c r="G4" s="18" t="inlineStr">
        <is>
          <t>https://www.sbs.gob.pe/</t>
        </is>
      </c>
      <c r="H4" s="28" t="inlineStr">
        <is>
          <t>No disponible públicamente</t>
        </is>
      </c>
      <c r="I4" s="73" t="inlineStr">
        <is>
          <t>0-800-10840 / (511) 630-9000</t>
        </is>
      </c>
      <c r="J4" s="28" t="inlineStr">
        <is>
          <t>No disponible públicamente</t>
        </is>
      </c>
      <c r="K4" s="18" t="inlineStr">
        <is>
          <t>https://www.sbs.gob.pe/contacto</t>
        </is>
      </c>
      <c r="L4" s="51" t="inlineStr">
        <is>
          <t>CONFIRMADO</t>
        </is>
      </c>
      <c r="M4" s="30" t="n"/>
    </row>
    <row r="5" ht="30" customHeight="1" s="182">
      <c r="A5" s="42" t="inlineStr">
        <is>
          <t>Perú</t>
        </is>
      </c>
      <c r="B5" s="15" t="inlineStr">
        <is>
          <t>Asociaciones de seguridad social</t>
        </is>
      </c>
      <c r="C5" s="73" t="inlineStr">
        <is>
          <t>Seguro público de salud</t>
        </is>
      </c>
      <c r="D5" s="73" t="inlineStr">
        <is>
          <t>Seguro Integral de Salud (SIS)</t>
        </is>
      </c>
      <c r="E5" s="73" t="n"/>
      <c r="F5" s="73" t="inlineStr">
        <is>
          <t>Atención al ciudadano</t>
        </is>
      </c>
      <c r="G5" s="18" t="inlineStr">
        <is>
          <t>https://www.gob.pe/sis</t>
        </is>
      </c>
      <c r="H5" s="28" t="inlineStr">
        <is>
          <t>No disponible públicamente</t>
        </is>
      </c>
      <c r="I5" s="73" t="inlineStr">
        <is>
          <t>113 opción 4 / (01) 514-5555</t>
        </is>
      </c>
      <c r="J5" s="73" t="inlineStr">
        <is>
          <t>sis@sis.gob.pe</t>
        </is>
      </c>
      <c r="K5" s="18" t="inlineStr">
        <is>
          <t>https://www.gob.pe/institucion/sis/contacto-y-numeros-de-emergencias</t>
        </is>
      </c>
      <c r="L5" s="51" t="inlineStr">
        <is>
          <t>CONFIRMADO</t>
        </is>
      </c>
      <c r="M5" s="30" t="n"/>
    </row>
    <row r="6" ht="30" customHeight="1" s="182">
      <c r="A6" s="42" t="inlineStr">
        <is>
          <t>Perú</t>
        </is>
      </c>
      <c r="B6" s="15" t="inlineStr">
        <is>
          <t>Asociaciones de seguridad social</t>
        </is>
      </c>
      <c r="C6" s="73" t="inlineStr">
        <is>
          <t>Seguridad social en salud – supervisión</t>
        </is>
      </c>
      <c r="D6" s="73" t="inlineStr">
        <is>
          <t>Superintendencia Nacional de Salud (SUSALUD)</t>
        </is>
      </c>
      <c r="E6" s="73" t="n"/>
      <c r="F6" s="73" t="inlineStr">
        <is>
          <t>Atención al usuario</t>
        </is>
      </c>
      <c r="G6" s="18" t="inlineStr">
        <is>
          <t>https://www.gob.pe/susalud</t>
        </is>
      </c>
      <c r="H6" s="28" t="inlineStr">
        <is>
          <t>No disponible públicamente</t>
        </is>
      </c>
      <c r="I6" s="73" t="inlineStr">
        <is>
          <t>113 opción 7 / (01) 433-3737</t>
        </is>
      </c>
      <c r="J6" s="28" t="inlineStr">
        <is>
          <t>No disponible públicamente</t>
        </is>
      </c>
      <c r="K6" s="18" t="inlineStr">
        <is>
          <t>https://www.gob.pe/susalud</t>
        </is>
      </c>
      <c r="L6" s="51" t="inlineStr">
        <is>
          <t>CONFIRMADO</t>
        </is>
      </c>
      <c r="M6" s="30" t="n"/>
    </row>
    <row r="7" ht="30" customHeight="1" s="182">
      <c r="A7" s="42" t="inlineStr">
        <is>
          <t>Perú</t>
        </is>
      </c>
      <c r="B7" s="15" t="inlineStr">
        <is>
          <t>Asociaciones de seguridad social</t>
        </is>
      </c>
      <c r="C7" s="73" t="inlineStr">
        <is>
          <t>Seguridad social de las Fuerzas Armadas y Policía</t>
        </is>
      </c>
      <c r="D7" s="73" t="inlineStr">
        <is>
          <t>Caja de Pensiones Militar Policial (CPMP)</t>
        </is>
      </c>
      <c r="E7" s="73" t="n"/>
      <c r="F7" s="73" t="inlineStr">
        <is>
          <t>Central / Mesa de Partes</t>
        </is>
      </c>
      <c r="G7" s="18" t="inlineStr">
        <is>
          <t>https://www.gob.pe/cpmp</t>
        </is>
      </c>
      <c r="H7" s="28" t="inlineStr">
        <is>
          <t>No disponible públicamente</t>
        </is>
      </c>
      <c r="I7" s="73" t="inlineStr">
        <is>
          <t>(01) 634-6300</t>
        </is>
      </c>
      <c r="J7" s="28" t="inlineStr">
        <is>
          <t>No disponible públicamente</t>
        </is>
      </c>
      <c r="K7" s="18" t="inlineStr">
        <is>
          <t>https://www.gob.pe/cpmp</t>
        </is>
      </c>
      <c r="L7" s="51" t="inlineStr">
        <is>
          <t>CONFIRMADO</t>
        </is>
      </c>
      <c r="M7" s="30" t="n"/>
    </row>
    <row r="8" ht="30" customHeight="1" s="182">
      <c r="A8" s="42" t="inlineStr">
        <is>
          <t>Perú</t>
        </is>
      </c>
      <c r="B8" s="15" t="inlineStr">
        <is>
          <t>Asociaciones de seguridad social</t>
        </is>
      </c>
      <c r="C8" s="73" t="inlineStr">
        <is>
          <t>Seguridad social previsional y pensiones – privada</t>
        </is>
      </c>
      <c r="D8" s="73" t="inlineStr">
        <is>
          <t>Asociación de AFP</t>
        </is>
      </c>
      <c r="E8" s="73" t="n"/>
      <c r="F8" s="73" t="inlineStr">
        <is>
          <t>Atención al afiliado</t>
        </is>
      </c>
      <c r="G8" s="18" t="inlineStr">
        <is>
          <t>https://www.asociacionafp.pe/</t>
        </is>
      </c>
      <c r="H8" s="28" t="inlineStr">
        <is>
          <t>No disponible públicamente</t>
        </is>
      </c>
      <c r="I8" s="73" t="inlineStr">
        <is>
          <t>(01) 399-3000</t>
        </is>
      </c>
      <c r="J8" s="28" t="inlineStr">
        <is>
          <t>No disponible públicamente</t>
        </is>
      </c>
      <c r="K8" s="18" t="inlineStr">
        <is>
          <t>https://www.asociacionafp.pe/</t>
        </is>
      </c>
      <c r="L8" s="51" t="inlineStr">
        <is>
          <t>CONFIRMADO</t>
        </is>
      </c>
      <c r="M8" s="30" t="n"/>
    </row>
    <row r="9" ht="30" customHeight="1" s="182">
      <c r="A9" s="42" t="inlineStr">
        <is>
          <t>Perú</t>
        </is>
      </c>
      <c r="B9" s="15" t="inlineStr">
        <is>
          <t>Asociaciones de seguridad social</t>
        </is>
      </c>
      <c r="C9" s="73" t="inlineStr">
        <is>
          <t>Administradora privada de fondos de pensiones</t>
        </is>
      </c>
      <c r="D9" s="73" t="inlineStr">
        <is>
          <t>AFP Habitat</t>
        </is>
      </c>
      <c r="E9" s="73" t="n"/>
      <c r="F9" s="73" t="inlineStr">
        <is>
          <t>Centro de contacto</t>
        </is>
      </c>
      <c r="G9" s="18" t="inlineStr">
        <is>
          <t>https://www.afphabitat.com.pe/</t>
        </is>
      </c>
      <c r="H9" s="28" t="inlineStr">
        <is>
          <t>No disponible públicamente</t>
        </is>
      </c>
      <c r="I9" s="73" t="inlineStr">
        <is>
          <t>01 230 2200</t>
        </is>
      </c>
      <c r="J9" s="28" t="inlineStr">
        <is>
          <t>No disponible públicamente</t>
        </is>
      </c>
      <c r="K9" s="18" t="inlineStr">
        <is>
          <t>https://www.afphabitat.com.pe/</t>
        </is>
      </c>
      <c r="L9" s="51" t="inlineStr">
        <is>
          <t>CONFIRMADO</t>
        </is>
      </c>
      <c r="M9" s="30" t="n"/>
    </row>
    <row r="10" ht="30" customHeight="1" s="182">
      <c r="A10" s="42" t="inlineStr">
        <is>
          <t>Perú</t>
        </is>
      </c>
      <c r="B10" s="15" t="inlineStr">
        <is>
          <t>Asociaciones de seguridad social</t>
        </is>
      </c>
      <c r="C10" s="73" t="inlineStr">
        <is>
          <t>Administradora privada de fondos de pensiones</t>
        </is>
      </c>
      <c r="D10" s="73" t="inlineStr">
        <is>
          <t>AFP Integra</t>
        </is>
      </c>
      <c r="E10" s="73" t="n"/>
      <c r="F10" s="73" t="inlineStr">
        <is>
          <t>Centro de contacto</t>
        </is>
      </c>
      <c r="G10" s="18" t="inlineStr">
        <is>
          <t>https://www.afpintegra.pe/</t>
        </is>
      </c>
      <c r="H10" s="28" t="inlineStr">
        <is>
          <t>No disponible públicamente</t>
        </is>
      </c>
      <c r="I10" s="73" t="inlineStr">
        <is>
          <t>(01) 513 5050</t>
        </is>
      </c>
      <c r="J10" s="28" t="inlineStr">
        <is>
          <t>No disponible públicamente</t>
        </is>
      </c>
      <c r="K10" s="18" t="inlineStr">
        <is>
          <t>https://www.afpintegra.pe/</t>
        </is>
      </c>
      <c r="L10" s="51" t="inlineStr">
        <is>
          <t>CONFIRMADO</t>
        </is>
      </c>
      <c r="M10" s="30" t="n"/>
    </row>
    <row r="11" ht="30" customHeight="1" s="182">
      <c r="A11" s="42" t="inlineStr">
        <is>
          <t>Perú</t>
        </is>
      </c>
      <c r="B11" s="15" t="inlineStr">
        <is>
          <t>Asociaciones de seguridad social</t>
        </is>
      </c>
      <c r="C11" s="73" t="inlineStr">
        <is>
          <t>Administradora privada de fondos de pensiones</t>
        </is>
      </c>
      <c r="D11" s="73" t="inlineStr">
        <is>
          <t>Prima AFP</t>
        </is>
      </c>
      <c r="E11" s="73" t="n"/>
      <c r="F11" s="73" t="inlineStr">
        <is>
          <t>Centro de contacto</t>
        </is>
      </c>
      <c r="G11" s="18" t="inlineStr">
        <is>
          <t>https://www.prima.com.pe/</t>
        </is>
      </c>
      <c r="H11" s="28" t="inlineStr">
        <is>
          <t>No disponible públicamente</t>
        </is>
      </c>
      <c r="I11" s="73" t="inlineStr">
        <is>
          <t>Lima (01) 615-7272/ Provincias 0-801-18010</t>
        </is>
      </c>
      <c r="J11" s="28" t="inlineStr">
        <is>
          <t>No disponible públicamente</t>
        </is>
      </c>
      <c r="K11" s="73" t="inlineStr">
        <is>
          <t>https://www.prima.com.pe/</t>
        </is>
      </c>
      <c r="L11" s="51" t="inlineStr">
        <is>
          <t>CONFIRMADO</t>
        </is>
      </c>
      <c r="M11" s="30" t="n"/>
    </row>
    <row r="12" ht="30" customHeight="1" s="182">
      <c r="A12" s="42" t="inlineStr">
        <is>
          <t>Perú</t>
        </is>
      </c>
      <c r="B12" s="15" t="inlineStr">
        <is>
          <t>Asociaciones de seguridad social</t>
        </is>
      </c>
      <c r="C12" s="73" t="inlineStr">
        <is>
          <t>Administradora privada de fondos de pensiones</t>
        </is>
      </c>
      <c r="D12" s="73" t="inlineStr">
        <is>
          <t>Profuturo AFP</t>
        </is>
      </c>
      <c r="E12" s="73" t="n"/>
      <c r="F12" s="73" t="inlineStr">
        <is>
          <t>Centro de contacto</t>
        </is>
      </c>
      <c r="G12" s="18" t="inlineStr">
        <is>
          <t>https://www.profuturo.com.pe/</t>
        </is>
      </c>
      <c r="H12" s="28" t="inlineStr">
        <is>
          <t>No disponible públicamente</t>
        </is>
      </c>
      <c r="I12" s="73" t="inlineStr">
        <is>
          <t>01 391 3636 (Lima)
0 800 11434 (Provincia)</t>
        </is>
      </c>
      <c r="J12" s="28" t="inlineStr">
        <is>
          <t>No disponible públicamente</t>
        </is>
      </c>
      <c r="K12" s="18" t="inlineStr">
        <is>
          <t>https://www.profuturo.com.pe/</t>
        </is>
      </c>
      <c r="L12" s="51" t="inlineStr">
        <is>
          <t>CONFIRMADO</t>
        </is>
      </c>
      <c r="M12" s="30" t="n"/>
    </row>
    <row r="13" ht="30" customHeight="1" s="182">
      <c r="A13" s="42" t="inlineStr">
        <is>
          <t>Perú</t>
        </is>
      </c>
      <c r="B13" s="15" t="inlineStr">
        <is>
          <t>Asociaciones de seguridad social</t>
        </is>
      </c>
      <c r="C13" s="73" t="inlineStr">
        <is>
          <t>Régimen especial del sector pesquero – en liquidación</t>
        </is>
      </c>
      <c r="D13" s="73" t="inlineStr">
        <is>
          <t>Caja de Beneficios y Seguridad Social del Pescador (CBSSP)</t>
        </is>
      </c>
      <c r="E13" s="73" t="n"/>
      <c r="F13" s="73" t="inlineStr">
        <is>
          <t>Liquidación / Mesa de partes</t>
        </is>
      </c>
      <c r="G13" s="18" t="inlineStr">
        <is>
          <t>http://www.cbssp.com/contacto.php</t>
        </is>
      </c>
      <c r="H13" s="28" t="inlineStr">
        <is>
          <t>No disponible públicamente</t>
        </is>
      </c>
      <c r="I13" s="73" t="inlineStr">
        <is>
          <t>(51-1) 711-0254</t>
        </is>
      </c>
      <c r="J13" s="73" t="inlineStr">
        <is>
          <t>mesadepartesvirtual@cbssp.com</t>
        </is>
      </c>
      <c r="K13" s="18" t="inlineStr">
        <is>
          <t>http://www.cbssp.com/contacto.php</t>
        </is>
      </c>
      <c r="L13" s="51" t="inlineStr">
        <is>
          <t>CONFIRMADO</t>
        </is>
      </c>
      <c r="M13" s="30" t="n"/>
    </row>
    <row r="14" ht="30" customHeight="1" s="182">
      <c r="A14" s="42" t="inlineStr">
        <is>
          <t>Perú</t>
        </is>
      </c>
      <c r="B14" s="15" t="inlineStr">
        <is>
          <t>Escuelas de gobierno y administración pública</t>
        </is>
      </c>
      <c r="C14" s="73" t="inlineStr">
        <is>
          <t>Escuela de administración pública (órgano público)</t>
        </is>
      </c>
      <c r="D14" s="73" t="inlineStr">
        <is>
          <t>Escuela Nacional de Administración Pública (ENAP) – SERVIR</t>
        </is>
      </c>
      <c r="E14" s="73" t="n"/>
      <c r="F14" s="73" t="inlineStr">
        <is>
          <t>Escuela Nacional de Administración Pública</t>
        </is>
      </c>
      <c r="G14" s="18" t="inlineStr">
        <is>
          <t>https://www.enap.edu.pe/programas/</t>
        </is>
      </c>
      <c r="H14" s="28" t="inlineStr">
        <is>
          <t>No disponible públicamente</t>
        </is>
      </c>
      <c r="I14" s="73" t="inlineStr">
        <is>
          <t>(01) 206-3370 / 0-800-10024</t>
        </is>
      </c>
      <c r="J14" s="73" t="inlineStr">
        <is>
          <t>escuela@servir.gob.pe</t>
        </is>
      </c>
      <c r="K14" s="73" t="n"/>
      <c r="L14" s="51" t="inlineStr">
        <is>
          <t>CONFIRMADO</t>
        </is>
      </c>
      <c r="M14" s="30" t="n"/>
    </row>
    <row r="15" ht="30" customHeight="1" s="182">
      <c r="A15" s="42" t="inlineStr">
        <is>
          <t>Perú</t>
        </is>
      </c>
      <c r="B15" s="15" t="inlineStr">
        <is>
          <t>Formación técnica pública</t>
        </is>
      </c>
      <c r="C15" s="73" t="inlineStr">
        <is>
          <t>Formación técnica pública</t>
        </is>
      </c>
      <c r="D15" s="73" t="inlineStr">
        <is>
          <t>Servicio Nacional de Adiestramiento en Trabajo Industrial (SENATI)</t>
        </is>
      </c>
      <c r="E15" s="73" t="n"/>
      <c r="F15" s="73" t="inlineStr">
        <is>
          <t>Informes y admisión</t>
        </is>
      </c>
      <c r="G15" s="18" t="inlineStr">
        <is>
          <t>https://www.senati.edu.pe/sedes</t>
        </is>
      </c>
      <c r="H15" s="28" t="inlineStr">
        <is>
          <t>No disponible en fuente oficial</t>
        </is>
      </c>
      <c r="I15" s="73" t="inlineStr">
        <is>
          <t>0800-74577 / (01) 7160250</t>
        </is>
      </c>
      <c r="J15" s="73" t="inlineStr">
        <is>
          <t>contacto@senati.edu.pe</t>
        </is>
      </c>
      <c r="K15" s="183" t="inlineStr">
        <is>
          <t>https://www.senati.edu.pe/sedes</t>
        </is>
      </c>
      <c r="L15" s="51" t="inlineStr">
        <is>
          <t>CONFIRMADO</t>
        </is>
      </c>
      <c r="M15" s="184" t="inlineStr">
        <is>
          <t>Auditoría 08-oct-2026: Texto movido desde fuente: "| https://www.senati.edu.pe/contacto | https://www.senati.edu.pe/nosotros/historia"</t>
        </is>
      </c>
    </row>
    <row r="16" ht="30" customHeight="1" s="182">
      <c r="A16" s="42" t="inlineStr">
        <is>
          <t>Perú</t>
        </is>
      </c>
      <c r="B16" s="15" t="inlineStr">
        <is>
          <t>Organizaciones juveniles</t>
        </is>
      </c>
      <c r="C16" s="73" t="inlineStr">
        <is>
          <t>Privada</t>
        </is>
      </c>
      <c r="D16" s="73" t="inlineStr">
        <is>
          <t>ORGANIZACIÓN MUNDIAL DE APOYO A LA EDUCACIÓN - OMA PERÚ</t>
        </is>
      </c>
      <c r="E16" s="73" t="n"/>
      <c r="F16" s="73" t="inlineStr">
        <is>
          <t xml:space="preserve">Representante </t>
        </is>
      </c>
      <c r="G16" s="73" t="inlineStr">
        <is>
          <t>https://juventud.gob.pe/wp-content/uploads/2022/04/BASE-DE-DATOS-ORGANIZACIONES-JUVENILES-E-INSTITUCIONES-PRIVADAS.xlsx</t>
        </is>
      </c>
      <c r="H16" s="73" t="inlineStr">
        <is>
          <t>María del Pilar Benavides Alfaro</t>
        </is>
      </c>
      <c r="I16" s="28" t="inlineStr">
        <is>
          <t>No disponible en fuente oficial</t>
        </is>
      </c>
      <c r="J16" s="73" t="inlineStr">
        <is>
          <t>admin@omaperu.org</t>
        </is>
      </c>
      <c r="K16" s="73" t="inlineStr">
        <is>
          <t>https://juventud.gob.pe/wp-content/uploads/2022/04/BASE-DE-DATOS-ORGANIZACIONES-JUVENILES-E-INSTITUCIONES-PRIVADAS.xlsx</t>
        </is>
      </c>
      <c r="L16" s="51" t="inlineStr">
        <is>
          <t>CONFIRMADO</t>
        </is>
      </c>
      <c r="M16" s="30" t="n"/>
    </row>
    <row r="17" ht="30" customHeight="1" s="182">
      <c r="A17" s="42" t="inlineStr">
        <is>
          <t>Perú</t>
        </is>
      </c>
      <c r="B17" s="15" t="inlineStr">
        <is>
          <t>Organizaciones juveniles</t>
        </is>
      </c>
      <c r="C17" s="73" t="inlineStr">
        <is>
          <t>Privada</t>
        </is>
      </c>
      <c r="D17" s="73" t="inlineStr">
        <is>
          <t>CONSULTORA 143 E.I.R.L.</t>
        </is>
      </c>
      <c r="E17" s="73" t="n"/>
      <c r="F17" s="73" t="inlineStr">
        <is>
          <t xml:space="preserve">Representante </t>
        </is>
      </c>
      <c r="G17" s="73" t="inlineStr">
        <is>
          <t>https://juventud.gob.pe/wp-content/uploads/2022/04/BASE-DE-DATOS-ORGANIZACIONES-JUVENILES-E-INSTITUCIONES-PRIVADAS.xlsx</t>
        </is>
      </c>
      <c r="H17" s="73" t="inlineStr">
        <is>
          <t>SANDRA MELANIE MONCADA FLORES</t>
        </is>
      </c>
      <c r="I17" s="28" t="inlineStr">
        <is>
          <t>No disponible en fuente oficial</t>
        </is>
      </c>
      <c r="J17" s="73" t="inlineStr">
        <is>
          <t>INFO@CONSULTORA143.COM</t>
        </is>
      </c>
      <c r="K17" s="73" t="inlineStr">
        <is>
          <t>https://juventud.gob.pe/wp-content/uploads/2022/04/BASE-DE-DATOS-ORGANIZACIONES-JUVENILES-E-INSTITUCIONES-PRIVADAS.xlsx</t>
        </is>
      </c>
      <c r="L17" s="51" t="inlineStr">
        <is>
          <t>CONFIRMADO</t>
        </is>
      </c>
      <c r="M17" s="30" t="n"/>
    </row>
    <row r="18" ht="30" customHeight="1" s="182">
      <c r="A18" s="42" t="inlineStr">
        <is>
          <t>Perú</t>
        </is>
      </c>
      <c r="B18" s="15" t="inlineStr">
        <is>
          <t>Organizaciones juveniles</t>
        </is>
      </c>
      <c r="C18" s="73" t="inlineStr">
        <is>
          <t>Privada</t>
        </is>
      </c>
      <c r="D18" s="73" t="inlineStr">
        <is>
          <t>EDUCACIÓN, PROTAGONISMO Y ARTE PERU - EPA PERU</t>
        </is>
      </c>
      <c r="E18" s="73" t="n"/>
      <c r="F18" s="73" t="inlineStr">
        <is>
          <t xml:space="preserve">Representante </t>
        </is>
      </c>
      <c r="G18" s="73" t="inlineStr">
        <is>
          <t>https://juventud.gob.pe/wp-content/uploads/2022/04/BASE-DE-DATOS-ORGANIZACIONES-JUVENILES-E-INSTITUCIONES-PRIVADAS.xlsx</t>
        </is>
      </c>
      <c r="H18" s="73" t="inlineStr">
        <is>
          <t>VALERIA ESTHEFANNY AMANDA VASQUEZ SANCHEZ</t>
        </is>
      </c>
      <c r="I18" s="28" t="inlineStr">
        <is>
          <t>No disponible en fuente oficial</t>
        </is>
      </c>
      <c r="J18" s="73" t="inlineStr">
        <is>
          <t>Epa.asociacion@gmail.com</t>
        </is>
      </c>
      <c r="K18" s="73" t="inlineStr">
        <is>
          <t>https://juventud.gob.pe/wp-content/uploads/2022/04/BASE-DE-DATOS-ORGANIZACIONES-JUVENILES-E-INSTITUCIONES-PRIVADAS.xlsx</t>
        </is>
      </c>
      <c r="L18" s="51" t="inlineStr">
        <is>
          <t>CONFIRMADO</t>
        </is>
      </c>
      <c r="M18" s="30" t="n"/>
    </row>
    <row r="19" ht="30" customHeight="1" s="182">
      <c r="A19" s="42" t="inlineStr">
        <is>
          <t>Perú</t>
        </is>
      </c>
      <c r="B19" s="15" t="inlineStr">
        <is>
          <t>Organizaciones juveniles</t>
        </is>
      </c>
      <c r="C19" s="73" t="inlineStr">
        <is>
          <t>Privada</t>
        </is>
      </c>
      <c r="D19" s="73" t="inlineStr">
        <is>
          <t>Young Peruvian Leaders (YPL)</t>
        </is>
      </c>
      <c r="E19" s="73" t="n"/>
      <c r="F19" s="73" t="inlineStr">
        <is>
          <t xml:space="preserve">Representante </t>
        </is>
      </c>
      <c r="G19" s="73" t="inlineStr">
        <is>
          <t>https://juventud.gob.pe/wp-content/uploads/2022/04/BASE-DE-DATOS-ORGANIZACIONES-JUVENILES-E-INSTITUCIONES-PRIVADAS.xlsx</t>
        </is>
      </c>
      <c r="H19" s="73" t="inlineStr">
        <is>
          <t>Andree Alonso Vílchez Rabanal</t>
        </is>
      </c>
      <c r="I19" s="28" t="inlineStr">
        <is>
          <t>No disponible en fuente oficial</t>
        </is>
      </c>
      <c r="J19" s="73" t="inlineStr">
        <is>
          <t>yplcajamarca@gmail.com</t>
        </is>
      </c>
      <c r="K19" s="73" t="inlineStr">
        <is>
          <t>https://juventud.gob.pe/wp-content/uploads/2022/04/BASE-DE-DATOS-ORGANIZACIONES-JUVENILES-E-INSTITUCIONES-PRIVADAS.xlsx</t>
        </is>
      </c>
      <c r="L19" s="51" t="inlineStr">
        <is>
          <t>CONFIRMADO</t>
        </is>
      </c>
      <c r="M19" s="30" t="n"/>
    </row>
    <row r="20" ht="30" customHeight="1" s="182">
      <c r="A20" s="42" t="inlineStr">
        <is>
          <t>Perú</t>
        </is>
      </c>
      <c r="B20" s="15" t="inlineStr">
        <is>
          <t>Organizaciones juveniles</t>
        </is>
      </c>
      <c r="C20" s="73" t="inlineStr">
        <is>
          <t>Privada</t>
        </is>
      </c>
      <c r="D20" s="73" t="inlineStr">
        <is>
          <t>ASOCIACIÓN DE GESTIÓN, ESTUDIOS SOCIALES Y TRIBUTARIOS</t>
        </is>
      </c>
      <c r="E20" s="73" t="n"/>
      <c r="F20" s="73" t="inlineStr">
        <is>
          <t xml:space="preserve">Representante </t>
        </is>
      </c>
      <c r="G20" s="73" t="inlineStr">
        <is>
          <t>https://juventud.gob.pe/wp-content/uploads/2022/04/BASE-DE-DATOS-ORGANIZACIONES-JUVENILES-E-INSTITUCIONES-PRIVADAS.xlsx</t>
        </is>
      </c>
      <c r="H20" s="73" t="inlineStr">
        <is>
          <t>Angelo Lelio Bianchi Sarmiento</t>
        </is>
      </c>
      <c r="I20" s="28" t="inlineStr">
        <is>
          <t>No disponible en fuente oficial</t>
        </is>
      </c>
      <c r="J20" s="73" t="inlineStr">
        <is>
          <t>asociaciongest@gmail.com</t>
        </is>
      </c>
      <c r="K20" s="73" t="inlineStr">
        <is>
          <t>https://juventud.gob.pe/wp-content/uploads/2022/04/BASE-DE-DATOS-ORGANIZACIONES-JUVENILES-E-INSTITUCIONES-PRIVADAS.xlsx</t>
        </is>
      </c>
      <c r="L20" s="51" t="inlineStr">
        <is>
          <t>CONFIRMADO</t>
        </is>
      </c>
      <c r="M20" s="30" t="n"/>
    </row>
    <row r="21" ht="30" customHeight="1" s="182">
      <c r="A21" s="42" t="inlineStr">
        <is>
          <t>Perú</t>
        </is>
      </c>
      <c r="B21" s="15" t="inlineStr">
        <is>
          <t>Organizaciones juveniles</t>
        </is>
      </c>
      <c r="C21" s="73" t="inlineStr">
        <is>
          <t>Privada</t>
        </is>
      </c>
      <c r="D21" s="73" t="inlineStr">
        <is>
          <t>SITO DE CULTURA Y ESTUDIO EN BENEFICIO DEL DERECHO</t>
        </is>
      </c>
      <c r="E21" s="73" t="n"/>
      <c r="F21" s="73" t="inlineStr">
        <is>
          <t xml:space="preserve">Representante </t>
        </is>
      </c>
      <c r="G21" s="73" t="inlineStr">
        <is>
          <t>https://juventud.gob.pe/wp-content/uploads/2022/04/BASE-DE-DATOS-ORGANIZACIONES-JUVENILES-E-INSTITUCIONES-PRIVADAS.xlsx</t>
        </is>
      </c>
      <c r="H21" s="73" t="inlineStr">
        <is>
          <t>JUAN JOSE LUIS CENTURION SANTISTEBAN</t>
        </is>
      </c>
      <c r="I21" s="28" t="inlineStr">
        <is>
          <t>No disponible en fuente oficial</t>
        </is>
      </c>
      <c r="J21" s="73" t="inlineStr">
        <is>
          <t>JUANCENTURION0512@GMAIL.COM</t>
        </is>
      </c>
      <c r="K21" s="73" t="inlineStr">
        <is>
          <t>https://juventud.gob.pe/wp-content/uploads/2022/04/BASE-DE-DATOS-ORGANIZACIONES-JUVENILES-E-INSTITUCIONES-PRIVADAS.xlsx</t>
        </is>
      </c>
      <c r="L21" s="51" t="inlineStr">
        <is>
          <t>CONFIRMADO</t>
        </is>
      </c>
      <c r="M21" s="30" t="n"/>
    </row>
    <row r="22" ht="30" customHeight="1" s="182">
      <c r="A22" s="42" t="inlineStr">
        <is>
          <t>Perú</t>
        </is>
      </c>
      <c r="B22" s="15" t="inlineStr">
        <is>
          <t>Organizaciones juveniles</t>
        </is>
      </c>
      <c r="C22" s="73" t="inlineStr">
        <is>
          <t>Privada</t>
        </is>
      </c>
      <c r="D22" s="73" t="inlineStr">
        <is>
          <t>Asociación Nacional de Jóvenes y Empresarios del Perú</t>
        </is>
      </c>
      <c r="E22" s="73" t="n"/>
      <c r="F22" s="73" t="inlineStr">
        <is>
          <t xml:space="preserve">Representante </t>
        </is>
      </c>
      <c r="G22" s="73" t="inlineStr">
        <is>
          <t>https://juventud.gob.pe/wp-content/uploads/2022/04/BASE-DE-DATOS-ORGANIZACIONES-JUVENILES-E-INSTITUCIONES-PRIVADAS.xlsx</t>
        </is>
      </c>
      <c r="H22" s="73" t="inlineStr">
        <is>
          <t>Carlos Alberto Ignacio Navarro</t>
        </is>
      </c>
      <c r="I22" s="28" t="inlineStr">
        <is>
          <t>No disponible en fuente oficial</t>
        </is>
      </c>
      <c r="J22" s="73" t="inlineStr">
        <is>
          <t>sonajep@gmail.com</t>
        </is>
      </c>
      <c r="K22" s="73" t="inlineStr">
        <is>
          <t>https://juventud.gob.pe/wp-content/uploads/2022/04/BASE-DE-DATOS-ORGANIZACIONES-JUVENILES-E-INSTITUCIONES-PRIVADAS.xlsx</t>
        </is>
      </c>
      <c r="L22" s="51" t="inlineStr">
        <is>
          <t>CONFIRMADO</t>
        </is>
      </c>
      <c r="M22" s="30" t="n"/>
    </row>
    <row r="23" ht="30" customHeight="1" s="182">
      <c r="A23" s="42" t="inlineStr">
        <is>
          <t>Perú</t>
        </is>
      </c>
      <c r="B23" s="15" t="inlineStr">
        <is>
          <t>Organizaciones juveniles</t>
        </is>
      </c>
      <c r="C23" s="73" t="inlineStr">
        <is>
          <t>Privada</t>
        </is>
      </c>
      <c r="D23" s="73" t="inlineStr">
        <is>
          <t>Young Peruvian Leaders</t>
        </is>
      </c>
      <c r="E23" s="73" t="n"/>
      <c r="F23" s="73" t="inlineStr">
        <is>
          <t xml:space="preserve">Representante </t>
        </is>
      </c>
      <c r="G23" s="73" t="inlineStr">
        <is>
          <t>https://juventud.gob.pe/wp-content/uploads/2022/04/BASE-DE-DATOS-ORGANIZACIONES-JUVENILES-E-INSTITUCIONES-PRIVADAS.xlsx</t>
        </is>
      </c>
      <c r="H23" s="73" t="inlineStr">
        <is>
          <t>Cecilia Rosa Nina Vargas</t>
        </is>
      </c>
      <c r="I23" s="28" t="inlineStr">
        <is>
          <t>No disponible en fuente oficial</t>
        </is>
      </c>
      <c r="J23" s="73" t="inlineStr">
        <is>
          <t>yplcusco@gmail.com</t>
        </is>
      </c>
      <c r="K23" s="73" t="inlineStr">
        <is>
          <t>https://juventud.gob.pe/wp-content/uploads/2022/04/BASE-DE-DATOS-ORGANIZACIONES-JUVENILES-E-INSTITUCIONES-PRIVADAS.xlsx</t>
        </is>
      </c>
      <c r="L23" s="51" t="inlineStr">
        <is>
          <t>CONFIRMADO</t>
        </is>
      </c>
      <c r="M23" s="30" t="n"/>
    </row>
    <row r="24" ht="30" customHeight="1" s="182">
      <c r="A24" s="42" t="inlineStr">
        <is>
          <t>Perú</t>
        </is>
      </c>
      <c r="B24" s="15" t="inlineStr">
        <is>
          <t>Organizaciones juveniles</t>
        </is>
      </c>
      <c r="C24" s="73" t="inlineStr">
        <is>
          <t>Organizaciones de voluntariado</t>
        </is>
      </c>
      <c r="D24" s="73" t="inlineStr">
        <is>
          <t>UNIÓN PERUANA DE JÓVENES LÍDERES C.P. EL VALOR</t>
        </is>
      </c>
      <c r="E24" s="73" t="n"/>
      <c r="F24" s="73" t="inlineStr">
        <is>
          <t xml:space="preserve">Representante </t>
        </is>
      </c>
      <c r="G24" s="73" t="inlineStr">
        <is>
          <t>https://juventud.gob.pe/wp-content/uploads/2022/04/BASE-DE-DATOS-ORGANIZACIONES-JUVENILES-E-INSTITUCIONES-PRIVADAS.xlsx</t>
        </is>
      </c>
      <c r="H24" s="73" t="inlineStr">
        <is>
          <t>Elthon John Nuñez Vigo</t>
        </is>
      </c>
      <c r="I24" s="28" t="inlineStr">
        <is>
          <t>No disponible en fuente oficial</t>
        </is>
      </c>
      <c r="J24" s="73" t="inlineStr">
        <is>
          <t>ing.meca1997@gmail.com</t>
        </is>
      </c>
      <c r="K24" s="73" t="inlineStr">
        <is>
          <t>https://juventud.gob.pe/wp-content/uploads/2022/04/BASE-DE-DATOS-ORGANIZACIONES-JUVENILES-E-INSTITUCIONES-PRIVADAS.xlsx</t>
        </is>
      </c>
      <c r="L24" s="51" t="inlineStr">
        <is>
          <t>CONFIRMADO</t>
        </is>
      </c>
      <c r="M24" s="30" t="n"/>
    </row>
    <row r="25" ht="30" customHeight="1" s="182">
      <c r="A25" s="42" t="inlineStr">
        <is>
          <t>Perú</t>
        </is>
      </c>
      <c r="B25" s="15" t="inlineStr">
        <is>
          <t>Organizaciones juveniles</t>
        </is>
      </c>
      <c r="C25" s="73" t="inlineStr">
        <is>
          <t>Organizaciones de estudiantes (escolar, universitario, tecnológico, artístico o pedagógico)</t>
        </is>
      </c>
      <c r="D25" s="73" t="inlineStr">
        <is>
          <t>COLECTIVO DE VIGILANCIA DE LOS DERECHOS SEXUALES Y REPRODUCTIVOS - COVIDESER</t>
        </is>
      </c>
      <c r="E25" s="73" t="n"/>
      <c r="F25" s="73" t="inlineStr">
        <is>
          <t xml:space="preserve">Representante </t>
        </is>
      </c>
      <c r="G25" s="73" t="inlineStr">
        <is>
          <t>https://juventud.gob.pe/wp-content/uploads/2022/04/BASE-DE-DATOS-ORGANIZACIONES-JUVENILES-E-INSTITUCIONES-PRIVADAS.xlsx</t>
        </is>
      </c>
      <c r="H25" s="73" t="inlineStr">
        <is>
          <t>Rocio Inga Guerra</t>
        </is>
      </c>
      <c r="I25" s="28" t="inlineStr">
        <is>
          <t>No disponible en fuente oficial</t>
        </is>
      </c>
      <c r="J25" s="73" t="inlineStr">
        <is>
          <t>covideser@gmail.com</t>
        </is>
      </c>
      <c r="K25" s="73" t="inlineStr">
        <is>
          <t>https://juventud.gob.pe/wp-content/uploads/2022/04/BASE-DE-DATOS-ORGANIZACIONES-JUVENILES-E-INSTITUCIONES-PRIVADAS.xlsx</t>
        </is>
      </c>
      <c r="L25" s="51" t="inlineStr">
        <is>
          <t>CONFIRMADO</t>
        </is>
      </c>
      <c r="M25" s="30" t="n"/>
    </row>
    <row r="26" ht="30" customHeight="1" s="182">
      <c r="A26" s="42" t="inlineStr">
        <is>
          <t>Perú</t>
        </is>
      </c>
      <c r="B26" s="15" t="inlineStr">
        <is>
          <t>Organizaciones juveniles</t>
        </is>
      </c>
      <c r="C26" s="73" t="inlineStr">
        <is>
          <t>Otros: Organización Pro Derechos</t>
        </is>
      </c>
      <c r="D26" s="73" t="inlineStr">
        <is>
          <t>JÓVENES DEFENDIENDO Y PROMOVIENDO DERECHOS - AMAZONAS</t>
        </is>
      </c>
      <c r="E26" s="73" t="n"/>
      <c r="F26" s="73" t="inlineStr">
        <is>
          <t xml:space="preserve">Representante </t>
        </is>
      </c>
      <c r="G26" s="73" t="inlineStr">
        <is>
          <t>https://juventud.gob.pe/wp-content/uploads/2022/04/BASE-DE-DATOS-ORGANIZACIONES-JUVENILES-E-INSTITUCIONES-PRIVADAS.xlsx</t>
        </is>
      </c>
      <c r="H26" s="73" t="inlineStr">
        <is>
          <t>Carlos Grosso Vásquez</t>
        </is>
      </c>
      <c r="I26" s="28" t="inlineStr">
        <is>
          <t>No disponible en fuente oficial</t>
        </is>
      </c>
      <c r="J26" s="73" t="inlineStr">
        <is>
          <t>Jproderechos@gmail.com</t>
        </is>
      </c>
      <c r="K26" s="73" t="inlineStr">
        <is>
          <t>https://juventud.gob.pe/wp-content/uploads/2022/04/BASE-DE-DATOS-ORGANIZACIONES-JUVENILES-E-INSTITUCIONES-PRIVADAS.xlsx</t>
        </is>
      </c>
      <c r="L26" s="51" t="inlineStr">
        <is>
          <t>CONFIRMADO</t>
        </is>
      </c>
      <c r="M26" s="30" t="n"/>
    </row>
    <row r="27" ht="30" customHeight="1" s="182">
      <c r="A27" s="42" t="inlineStr">
        <is>
          <t>Perú</t>
        </is>
      </c>
      <c r="B27" s="15" t="inlineStr">
        <is>
          <t>Organizaciones juveniles</t>
        </is>
      </c>
      <c r="C27" s="73" t="inlineStr">
        <is>
          <t>Organizaciones de voluntariado</t>
        </is>
      </c>
      <c r="D27" s="73" t="inlineStr">
        <is>
          <t>TÚ AYUDAS A AYUDAR</t>
        </is>
      </c>
      <c r="E27" s="73" t="n"/>
      <c r="F27" s="73" t="inlineStr">
        <is>
          <t xml:space="preserve">Representante </t>
        </is>
      </c>
      <c r="G27" s="73" t="inlineStr">
        <is>
          <t>https://juventud.gob.pe/wp-content/uploads/2022/04/BASE-DE-DATOS-ORGANIZACIONES-JUVENILES-E-INSTITUCIONES-PRIVADAS.xlsx</t>
        </is>
      </c>
      <c r="H27" s="73" t="inlineStr">
        <is>
          <t>Alfredo Jose Tantalean Cubas</t>
        </is>
      </c>
      <c r="I27" s="28" t="inlineStr">
        <is>
          <t>No disponible en fuente oficial</t>
        </is>
      </c>
      <c r="J27" s="73" t="inlineStr">
        <is>
          <t>Tuayudasaayudar@gmail.com</t>
        </is>
      </c>
      <c r="K27" s="73" t="inlineStr">
        <is>
          <t>https://juventud.gob.pe/wp-content/uploads/2022/04/BASE-DE-DATOS-ORGANIZACIONES-JUVENILES-E-INSTITUCIONES-PRIVADAS.xlsx</t>
        </is>
      </c>
      <c r="L27" s="51" t="inlineStr">
        <is>
          <t>CONFIRMADO</t>
        </is>
      </c>
      <c r="M27" s="30" t="n"/>
    </row>
    <row r="28" ht="30" customHeight="1" s="182">
      <c r="A28" s="42" t="inlineStr">
        <is>
          <t>Perú</t>
        </is>
      </c>
      <c r="B28" s="15" t="inlineStr">
        <is>
          <t>Organizaciones juveniles</t>
        </is>
      </c>
      <c r="C28" s="73" t="inlineStr">
        <is>
          <t>Organizaciones de voluntariado</t>
        </is>
      </c>
      <c r="D28" s="73" t="inlineStr">
        <is>
          <t>ASOCIACIÓN CONSECUENCIA</t>
        </is>
      </c>
      <c r="E28" s="73" t="n"/>
      <c r="F28" s="73" t="inlineStr">
        <is>
          <t xml:space="preserve">Representante </t>
        </is>
      </c>
      <c r="G28" s="73" t="inlineStr">
        <is>
          <t>https://juventud.gob.pe/wp-content/uploads/2022/04/BASE-DE-DATOS-ORGANIZACIONES-JUVENILES-E-INSTITUCIONES-PRIVADAS.xlsx</t>
        </is>
      </c>
      <c r="H28" s="73" t="inlineStr">
        <is>
          <t>Pati Llanina  Mori  Culqui</t>
        </is>
      </c>
      <c r="I28" s="28" t="inlineStr">
        <is>
          <t>No disponible en fuente oficial</t>
        </is>
      </c>
      <c r="J28" s="73" t="inlineStr">
        <is>
          <t>Conecuencia.ac@gmail.com</t>
        </is>
      </c>
      <c r="K28" s="73" t="inlineStr">
        <is>
          <t>https://juventud.gob.pe/wp-content/uploads/2022/04/BASE-DE-DATOS-ORGANIZACIONES-JUVENILES-E-INSTITUCIONES-PRIVADAS.xlsx</t>
        </is>
      </c>
      <c r="L28" s="51" t="inlineStr">
        <is>
          <t>CONFIRMADO</t>
        </is>
      </c>
      <c r="M28" s="30" t="n"/>
    </row>
    <row r="29" ht="30" customHeight="1" s="182">
      <c r="A29" s="42" t="inlineStr">
        <is>
          <t>Perú</t>
        </is>
      </c>
      <c r="B29" s="15" t="inlineStr">
        <is>
          <t>Organizaciones juveniles</t>
        </is>
      </c>
      <c r="C29" s="73" t="inlineStr">
        <is>
          <t>Organizaciones de voluntariado</t>
        </is>
      </c>
      <c r="D29" s="73" t="inlineStr">
        <is>
          <t>ESPERANZA AMAZONENSE - EA</t>
        </is>
      </c>
      <c r="E29" s="73" t="n"/>
      <c r="F29" s="73" t="inlineStr">
        <is>
          <t xml:space="preserve">Representante </t>
        </is>
      </c>
      <c r="G29" s="73" t="inlineStr">
        <is>
          <t>https://juventud.gob.pe/wp-content/uploads/2022/04/BASE-DE-DATOS-ORGANIZACIONES-JUVENILES-E-INSTITUCIONES-PRIVADAS.xlsx</t>
        </is>
      </c>
      <c r="H29" s="73" t="inlineStr">
        <is>
          <t>Dirk Helmut Mejia Terrones</t>
        </is>
      </c>
      <c r="I29" s="28" t="inlineStr">
        <is>
          <t>No disponible en fuente oficial</t>
        </is>
      </c>
      <c r="J29" s="73" t="inlineStr">
        <is>
          <t>ESPERANZAMAZONENSE@GMAIL.COM</t>
        </is>
      </c>
      <c r="K29" s="73" t="inlineStr">
        <is>
          <t>https://juventud.gob.pe/wp-content/uploads/2022/04/BASE-DE-DATOS-ORGANIZACIONES-JUVENILES-E-INSTITUCIONES-PRIVADAS.xlsx</t>
        </is>
      </c>
      <c r="L29" s="51" t="inlineStr">
        <is>
          <t>CONFIRMADO</t>
        </is>
      </c>
      <c r="M29" s="30" t="n"/>
    </row>
    <row r="30" ht="30" customHeight="1" s="182">
      <c r="A30" s="42" t="inlineStr">
        <is>
          <t>Perú</t>
        </is>
      </c>
      <c r="B30" s="15" t="inlineStr">
        <is>
          <t>Organizaciones juveniles</t>
        </is>
      </c>
      <c r="C30" s="73" t="inlineStr">
        <is>
          <t>Organizaciones de voluntariado</t>
        </is>
      </c>
      <c r="D30" s="73" t="inlineStr">
        <is>
          <t>AWAJKUNA</t>
        </is>
      </c>
      <c r="E30" s="73" t="n"/>
      <c r="F30" s="73" t="inlineStr">
        <is>
          <t xml:space="preserve">Representante </t>
        </is>
      </c>
      <c r="G30" s="73" t="inlineStr">
        <is>
          <t>https://juventud.gob.pe/wp-content/uploads/2022/04/BASE-DE-DATOS-ORGANIZACIONES-JUVENILES-E-INSTITUCIONES-PRIVADAS.xlsx</t>
        </is>
      </c>
      <c r="H30" s="73" t="inlineStr">
        <is>
          <t>Josefina Madeleine Camones Marzano</t>
        </is>
      </c>
      <c r="I30" s="28" t="inlineStr">
        <is>
          <t>No disponible en fuente oficial</t>
        </is>
      </c>
      <c r="J30" s="73" t="inlineStr">
        <is>
          <t>awajkuna@gmail.com</t>
        </is>
      </c>
      <c r="K30" s="73" t="inlineStr">
        <is>
          <t>https://juventud.gob.pe/wp-content/uploads/2022/04/BASE-DE-DATOS-ORGANIZACIONES-JUVENILES-E-INSTITUCIONES-PRIVADAS.xlsx</t>
        </is>
      </c>
      <c r="L30" s="51" t="inlineStr">
        <is>
          <t>CONFIRMADO</t>
        </is>
      </c>
      <c r="M30" s="30" t="n"/>
    </row>
    <row r="31" ht="30" customHeight="1" s="182">
      <c r="A31" s="42" t="inlineStr">
        <is>
          <t>Perú</t>
        </is>
      </c>
      <c r="B31" s="15" t="inlineStr">
        <is>
          <t>Organizaciones juveniles</t>
        </is>
      </c>
      <c r="C31" s="73" t="inlineStr">
        <is>
          <t>Organizaciones de voluntariado</t>
        </is>
      </c>
      <c r="D31" s="73" t="inlineStr">
        <is>
          <t>RED INTERQUORUM - ANCASH</t>
        </is>
      </c>
      <c r="E31" s="73" t="n"/>
      <c r="F31" s="73" t="inlineStr">
        <is>
          <t xml:space="preserve">Representante </t>
        </is>
      </c>
      <c r="G31" s="73" t="inlineStr">
        <is>
          <t>https://juventud.gob.pe/wp-content/uploads/2022/04/BASE-DE-DATOS-ORGANIZACIONES-JUVENILES-E-INSTITUCIONES-PRIVADAS.xlsx</t>
        </is>
      </c>
      <c r="H31" s="73" t="inlineStr">
        <is>
          <t>Marquiño Rosinaldo Luna Caya</t>
        </is>
      </c>
      <c r="I31" s="28" t="inlineStr">
        <is>
          <t>No disponible en fuente oficial</t>
        </is>
      </c>
      <c r="J31" s="73" t="inlineStr">
        <is>
          <t>rediqancash@gmail.com</t>
        </is>
      </c>
      <c r="K31" s="73" t="inlineStr">
        <is>
          <t>https://juventud.gob.pe/wp-content/uploads/2022/04/BASE-DE-DATOS-ORGANIZACIONES-JUVENILES-E-INSTITUCIONES-PRIVADAS.xlsx</t>
        </is>
      </c>
      <c r="L31" s="51" t="inlineStr">
        <is>
          <t>CONFIRMADO</t>
        </is>
      </c>
      <c r="M31" s="30" t="n"/>
    </row>
    <row r="32" ht="30" customHeight="1" s="182">
      <c r="A32" s="42" t="inlineStr">
        <is>
          <t>Perú</t>
        </is>
      </c>
      <c r="B32" s="15" t="inlineStr">
        <is>
          <t>Organizaciones juveniles</t>
        </is>
      </c>
      <c r="C32" s="73" t="inlineStr">
        <is>
          <t>Organizaciones de voluntariado</t>
        </is>
      </c>
      <c r="D32" s="73" t="inlineStr">
        <is>
          <t>ASOCIACIÓN SANTEÑOS EN ACCIÓN</t>
        </is>
      </c>
      <c r="E32" s="73" t="n"/>
      <c r="F32" s="73" t="inlineStr">
        <is>
          <t xml:space="preserve">Representante </t>
        </is>
      </c>
      <c r="G32" s="73" t="inlineStr">
        <is>
          <t>https://juventud.gob.pe/wp-content/uploads/2022/04/BASE-DE-DATOS-ORGANIZACIONES-JUVENILES-E-INSTITUCIONES-PRIVADAS.xlsx</t>
        </is>
      </c>
      <c r="H32" s="73" t="inlineStr">
        <is>
          <t>Milagro Del Socorro Monge Olortegui</t>
        </is>
      </c>
      <c r="I32" s="28" t="inlineStr">
        <is>
          <t>No disponible en fuente oficial</t>
        </is>
      </c>
      <c r="J32" s="73" t="inlineStr">
        <is>
          <t>asociacionsantaenaccion@hotmail.com</t>
        </is>
      </c>
      <c r="K32" s="73" t="inlineStr">
        <is>
          <t>https://juventud.gob.pe/wp-content/uploads/2022/04/BASE-DE-DATOS-ORGANIZACIONES-JUVENILES-E-INSTITUCIONES-PRIVADAS.xlsx</t>
        </is>
      </c>
      <c r="L32" s="51" t="inlineStr">
        <is>
          <t>CONFIRMADO</t>
        </is>
      </c>
      <c r="M32" s="30" t="n"/>
    </row>
    <row r="33" ht="30" customHeight="1" s="182">
      <c r="A33" s="42" t="inlineStr">
        <is>
          <t>Perú</t>
        </is>
      </c>
      <c r="B33" s="15" t="inlineStr">
        <is>
          <t>Organizaciones juveniles</t>
        </is>
      </c>
      <c r="C33" s="73" t="inlineStr">
        <is>
          <t>Organizaciones de estudiantes (escolar, universitario, tecnológico, artístico o pedagógico)</t>
        </is>
      </c>
      <c r="D33" s="73" t="inlineStr">
        <is>
          <t>ASOCIACIÓN DE JÓVENES ESTUDIANTES DE CARHUAZ JECAR - HATUN AYLLU</t>
        </is>
      </c>
      <c r="E33" s="73" t="n"/>
      <c r="F33" s="73" t="inlineStr">
        <is>
          <t xml:space="preserve">Representante </t>
        </is>
      </c>
      <c r="G33" s="73" t="inlineStr">
        <is>
          <t>https://juventud.gob.pe/wp-content/uploads/2022/04/BASE-DE-DATOS-ORGANIZACIONES-JUVENILES-E-INSTITUCIONES-PRIVADAS.xlsx</t>
        </is>
      </c>
      <c r="H33" s="73" t="inlineStr">
        <is>
          <t>Daniel Marco Robles Flores</t>
        </is>
      </c>
      <c r="I33" s="28" t="inlineStr">
        <is>
          <t>No disponible en fuente oficial</t>
        </is>
      </c>
      <c r="J33" s="73" t="inlineStr">
        <is>
          <t>asociacion_hatunayllu2016@hotmail.com</t>
        </is>
      </c>
      <c r="K33" s="73" t="inlineStr">
        <is>
          <t>https://juventud.gob.pe/wp-content/uploads/2022/04/BASE-DE-DATOS-ORGANIZACIONES-JUVENILES-E-INSTITUCIONES-PRIVADAS.xlsx</t>
        </is>
      </c>
      <c r="L33" s="51" t="inlineStr">
        <is>
          <t>CONFIRMADO</t>
        </is>
      </c>
      <c r="M33" s="30" t="n"/>
    </row>
    <row r="34" ht="30" customHeight="1" s="182">
      <c r="A34" s="42" t="inlineStr">
        <is>
          <t>Perú</t>
        </is>
      </c>
      <c r="B34" s="15" t="inlineStr">
        <is>
          <t>Organizaciones juveniles</t>
        </is>
      </c>
      <c r="C34" s="73" t="inlineStr">
        <is>
          <t>Organizaciones de voluntariado</t>
        </is>
      </c>
      <c r="D34" s="73" t="inlineStr">
        <is>
          <t>ORGANIZACIÓN FEMINISTA KILLA WARMI</t>
        </is>
      </c>
      <c r="E34" s="73" t="n"/>
      <c r="F34" s="73" t="inlineStr">
        <is>
          <t xml:space="preserve">Representante </t>
        </is>
      </c>
      <c r="G34" s="73" t="inlineStr">
        <is>
          <t>https://juventud.gob.pe/wp-content/uploads/2022/04/BASE-DE-DATOS-ORGANIZACIONES-JUVENILES-E-INSTITUCIONES-PRIVADAS.xlsx</t>
        </is>
      </c>
      <c r="H34" s="73" t="inlineStr">
        <is>
          <t>Diandra Milagros Mercedes Quiroz Bojorquez</t>
        </is>
      </c>
      <c r="I34" s="28" t="inlineStr">
        <is>
          <t>No disponible en fuente oficial</t>
        </is>
      </c>
      <c r="J34" s="73" t="inlineStr">
        <is>
          <t>killawarmihz@gmail.com</t>
        </is>
      </c>
      <c r="K34" s="73" t="inlineStr">
        <is>
          <t>https://juventud.gob.pe/wp-content/uploads/2022/04/BASE-DE-DATOS-ORGANIZACIONES-JUVENILES-E-INSTITUCIONES-PRIVADAS.xlsx</t>
        </is>
      </c>
      <c r="L34" s="51" t="inlineStr">
        <is>
          <t>CONFIRMADO</t>
        </is>
      </c>
      <c r="M34" s="30" t="n"/>
    </row>
    <row r="35" ht="30" customHeight="1" s="182">
      <c r="A35" s="42" t="inlineStr">
        <is>
          <t>Perú</t>
        </is>
      </c>
      <c r="B35" s="15" t="inlineStr">
        <is>
          <t>Organizaciones juveniles</t>
        </is>
      </c>
      <c r="C35" s="73" t="inlineStr">
        <is>
          <t>Organizaciones territoriales</t>
        </is>
      </c>
      <c r="D35" s="73" t="inlineStr">
        <is>
          <t>FRENTE REGIONAL DE JUVENTUDES DE ANCASH</t>
        </is>
      </c>
      <c r="E35" s="73" t="n"/>
      <c r="F35" s="73" t="inlineStr">
        <is>
          <t xml:space="preserve">Representante </t>
        </is>
      </c>
      <c r="G35" s="73" t="inlineStr">
        <is>
          <t>https://juventud.gob.pe/wp-content/uploads/2022/04/BASE-DE-DATOS-ORGANIZACIONES-JUVENILES-E-INSTITUCIONES-PRIVADAS.xlsx</t>
        </is>
      </c>
      <c r="H35" s="73" t="inlineStr">
        <is>
          <t>Luis Honorato Duran Prudencio</t>
        </is>
      </c>
      <c r="I35" s="28" t="inlineStr">
        <is>
          <t>No disponible en fuente oficial</t>
        </is>
      </c>
      <c r="J35" s="73" t="inlineStr">
        <is>
          <t>Frj_juventudesÁNCASH@gmail.com</t>
        </is>
      </c>
      <c r="K35" s="73" t="inlineStr">
        <is>
          <t>https://juventud.gob.pe/wp-content/uploads/2022/04/BASE-DE-DATOS-ORGANIZACIONES-JUVENILES-E-INSTITUCIONES-PRIVADAS.xlsx</t>
        </is>
      </c>
      <c r="L35" s="51" t="inlineStr">
        <is>
          <t>CONFIRMADO</t>
        </is>
      </c>
      <c r="M35" s="30" t="n"/>
    </row>
    <row r="36" ht="30" customHeight="1" s="182">
      <c r="A36" s="42" t="inlineStr">
        <is>
          <t>Perú</t>
        </is>
      </c>
      <c r="B36" s="15" t="inlineStr">
        <is>
          <t>Organizaciones juveniles</t>
        </is>
      </c>
      <c r="C36" s="73" t="inlineStr">
        <is>
          <t>Organizaciones de voluntariado</t>
        </is>
      </c>
      <c r="D36" s="73" t="inlineStr">
        <is>
          <t>TIKUY</t>
        </is>
      </c>
      <c r="E36" s="73" t="n"/>
      <c r="F36" s="73" t="inlineStr">
        <is>
          <t xml:space="preserve">Representante </t>
        </is>
      </c>
      <c r="G36" s="73" t="inlineStr">
        <is>
          <t>https://juventud.gob.pe/wp-content/uploads/2022/04/BASE-DE-DATOS-ORGANIZACIONES-JUVENILES-E-INSTITUCIONES-PRIVADAS.xlsx</t>
        </is>
      </c>
      <c r="H36" s="73" t="inlineStr">
        <is>
          <t>Angie Gamarra Zarzosa</t>
        </is>
      </c>
      <c r="I36" s="28" t="inlineStr">
        <is>
          <t>No disponible en fuente oficial</t>
        </is>
      </c>
      <c r="J36" s="73" t="inlineStr">
        <is>
          <t>Tikuy.warmy@gmail.com</t>
        </is>
      </c>
      <c r="K36" s="73" t="inlineStr">
        <is>
          <t>https://juventud.gob.pe/wp-content/uploads/2022/04/BASE-DE-DATOS-ORGANIZACIONES-JUVENILES-E-INSTITUCIONES-PRIVADAS.xlsx</t>
        </is>
      </c>
      <c r="L36" s="51" t="inlineStr">
        <is>
          <t>CONFIRMADO</t>
        </is>
      </c>
      <c r="M36" s="30" t="n"/>
    </row>
    <row r="37" ht="30" customHeight="1" s="182">
      <c r="A37" s="42" t="inlineStr">
        <is>
          <t>Perú</t>
        </is>
      </c>
      <c r="B37" s="15" t="inlineStr">
        <is>
          <t>Organizaciones juveniles</t>
        </is>
      </c>
      <c r="C37" s="73" t="inlineStr">
        <is>
          <t>Organizaciones de voluntariado</t>
        </is>
      </c>
      <c r="D37" s="73" t="inlineStr">
        <is>
          <t>RED MUNDIAL DE JÓVENES POLÍTICOS - ANCASH</t>
        </is>
      </c>
      <c r="E37" s="73" t="n"/>
      <c r="F37" s="73" t="inlineStr">
        <is>
          <t xml:space="preserve">Representante </t>
        </is>
      </c>
      <c r="G37" s="73" t="inlineStr">
        <is>
          <t>https://juventud.gob.pe/wp-content/uploads/2022/04/BASE-DE-DATOS-ORGANIZACIONES-JUVENILES-E-INSTITUCIONES-PRIVADAS.xlsx</t>
        </is>
      </c>
      <c r="H37" s="73" t="inlineStr">
        <is>
          <t>Jonathan Stick Flores Jamanca</t>
        </is>
      </c>
      <c r="I37" s="28" t="inlineStr">
        <is>
          <t>No disponible en fuente oficial</t>
        </is>
      </c>
      <c r="J37" s="73" t="inlineStr">
        <is>
          <t>Jonathanstickflores@gmail.com</t>
        </is>
      </c>
      <c r="K37" s="73" t="inlineStr">
        <is>
          <t>https://juventud.gob.pe/wp-content/uploads/2022/04/BASE-DE-DATOS-ORGANIZACIONES-JUVENILES-E-INSTITUCIONES-PRIVADAS.xlsx</t>
        </is>
      </c>
      <c r="L37" s="51" t="inlineStr">
        <is>
          <t>CONFIRMADO</t>
        </is>
      </c>
      <c r="M37" s="30" t="n"/>
    </row>
    <row r="38" ht="30" customHeight="1" s="182">
      <c r="A38" s="42" t="inlineStr">
        <is>
          <t>Perú</t>
        </is>
      </c>
      <c r="B38" s="15" t="inlineStr">
        <is>
          <t>Organizaciones juveniles</t>
        </is>
      </c>
      <c r="C38" s="73" t="inlineStr">
        <is>
          <t>Organizaciones de estudiantes (escolar, universitario, tecnológico, artístico o pedagógico)</t>
        </is>
      </c>
      <c r="D38" s="73" t="inlineStr">
        <is>
          <t>ECOFAT - Creando un mundo ecológico</t>
        </is>
      </c>
      <c r="E38" s="73" t="n"/>
      <c r="F38" s="73" t="inlineStr">
        <is>
          <t xml:space="preserve">Representante </t>
        </is>
      </c>
      <c r="G38" s="73" t="inlineStr">
        <is>
          <t>https://juventud.gob.pe/wp-content/uploads/2022/04/BASE-DE-DATOS-ORGANIZACIONES-JUVENILES-E-INSTITUCIONES-PRIVADAS.xlsx</t>
        </is>
      </c>
      <c r="H38" s="73" t="inlineStr">
        <is>
          <t>Cesar Augusto Maguiña Norabuena</t>
        </is>
      </c>
      <c r="I38" s="28" t="inlineStr">
        <is>
          <t>No disponible en fuente oficial</t>
        </is>
      </c>
      <c r="J38" s="73" t="inlineStr">
        <is>
          <t>cesarma148@gmail.com</t>
        </is>
      </c>
      <c r="K38" s="73" t="inlineStr">
        <is>
          <t>https://juventud.gob.pe/wp-content/uploads/2022/04/BASE-DE-DATOS-ORGANIZACIONES-JUVENILES-E-INSTITUCIONES-PRIVADAS.xlsx</t>
        </is>
      </c>
      <c r="L38" s="51" t="inlineStr">
        <is>
          <t>CONFIRMADO</t>
        </is>
      </c>
      <c r="M38" s="30" t="n"/>
    </row>
    <row r="39" ht="30" customHeight="1" s="182">
      <c r="A39" s="42" t="inlineStr">
        <is>
          <t>Perú</t>
        </is>
      </c>
      <c r="B39" s="15" t="inlineStr">
        <is>
          <t>Organizaciones juveniles</t>
        </is>
      </c>
      <c r="C39" s="73" t="inlineStr">
        <is>
          <t>Organizaciones de estudiantes (escolar, universitario, tecnológico, artístico o pedagógico)</t>
        </is>
      </c>
      <c r="D39" s="73" t="inlineStr">
        <is>
          <t>CÍRCULO DE RELACIONES INTERNACIONALES Y DERECHOS HUMANOS - ALEPH</t>
        </is>
      </c>
      <c r="E39" s="73" t="n"/>
      <c r="F39" s="73" t="inlineStr">
        <is>
          <t xml:space="preserve">Representante </t>
        </is>
      </c>
      <c r="G39" s="73" t="inlineStr">
        <is>
          <t>https://juventud.gob.pe/wp-content/uploads/2022/04/BASE-DE-DATOS-ORGANIZACIONES-JUVENILES-E-INSTITUCIONES-PRIVADAS.xlsx</t>
        </is>
      </c>
      <c r="H39" s="73" t="inlineStr">
        <is>
          <t>Paola Geraldine Miranda Cerna</t>
        </is>
      </c>
      <c r="I39" s="28" t="inlineStr">
        <is>
          <t>No disponible en fuente oficial</t>
        </is>
      </c>
      <c r="J39" s="73" t="inlineStr">
        <is>
          <t>cridh.aleph@gmail.com</t>
        </is>
      </c>
      <c r="K39" s="73" t="inlineStr">
        <is>
          <t>https://juventud.gob.pe/wp-content/uploads/2022/04/BASE-DE-DATOS-ORGANIZACIONES-JUVENILES-E-INSTITUCIONES-PRIVADAS.xlsx</t>
        </is>
      </c>
      <c r="L39" s="51" t="inlineStr">
        <is>
          <t>CONFIRMADO</t>
        </is>
      </c>
      <c r="M39" s="30" t="n"/>
    </row>
    <row r="40" ht="30" customHeight="1" s="182">
      <c r="A40" s="42" t="inlineStr">
        <is>
          <t>Perú</t>
        </is>
      </c>
      <c r="B40" s="15" t="inlineStr">
        <is>
          <t>Organizaciones juveniles</t>
        </is>
      </c>
      <c r="C40" s="73" t="inlineStr">
        <is>
          <t>Organizaciones de voluntariado</t>
        </is>
      </c>
      <c r="D40" s="73" t="inlineStr">
        <is>
          <t>RED DE IMAGINACIÓN EDUCATIVA (RIE)</t>
        </is>
      </c>
      <c r="E40" s="73" t="n"/>
      <c r="F40" s="73" t="inlineStr">
        <is>
          <t xml:space="preserve">Representante </t>
        </is>
      </c>
      <c r="G40" s="73" t="inlineStr">
        <is>
          <t>https://juventud.gob.pe/wp-content/uploads/2022/04/BASE-DE-DATOS-ORGANIZACIONES-JUVENILES-E-INSTITUCIONES-PRIVADAS.xlsx</t>
        </is>
      </c>
      <c r="H40" s="73" t="inlineStr">
        <is>
          <t>Jessenia Maria López Cancho</t>
        </is>
      </c>
      <c r="I40" s="28" t="inlineStr">
        <is>
          <t>No disponible en fuente oficial</t>
        </is>
      </c>
      <c r="J40" s="73" t="inlineStr">
        <is>
          <t>jessenialopez1392@gmail.com</t>
        </is>
      </c>
      <c r="K40" s="73" t="inlineStr">
        <is>
          <t>https://juventud.gob.pe/wp-content/uploads/2022/04/BASE-DE-DATOS-ORGANIZACIONES-JUVENILES-E-INSTITUCIONES-PRIVADAS.xlsx</t>
        </is>
      </c>
      <c r="L40" s="51" t="inlineStr">
        <is>
          <t>CONFIRMADO</t>
        </is>
      </c>
      <c r="M40" s="30" t="n"/>
    </row>
    <row r="41" ht="30" customHeight="1" s="182">
      <c r="A41" s="42" t="inlineStr">
        <is>
          <t>Perú</t>
        </is>
      </c>
      <c r="B41" s="15" t="inlineStr">
        <is>
          <t>Organizaciones juveniles</t>
        </is>
      </c>
      <c r="C41" s="73" t="inlineStr">
        <is>
          <t>Otros (especifique): Organización Pro Derechos Humanos</t>
        </is>
      </c>
      <c r="D41" s="73" t="inlineStr">
        <is>
          <t>ORGANIZACIÓN DEMOCRÁTICA MUNDIAL</t>
        </is>
      </c>
      <c r="E41" s="73" t="n"/>
      <c r="F41" s="73" t="inlineStr">
        <is>
          <t xml:space="preserve">Representante </t>
        </is>
      </c>
      <c r="G41" s="73" t="inlineStr">
        <is>
          <t>https://juventud.gob.pe/wp-content/uploads/2022/04/BASE-DE-DATOS-ORGANIZACIONES-JUVENILES-E-INSTITUCIONES-PRIVADAS.xlsx</t>
        </is>
      </c>
      <c r="H41" s="73" t="inlineStr">
        <is>
          <t>Eduardo Manuel Castro Franco</t>
        </is>
      </c>
      <c r="I41" s="28" t="inlineStr">
        <is>
          <t>No disponible en fuente oficial</t>
        </is>
      </c>
      <c r="J41" s="73" t="inlineStr">
        <is>
          <t>Educafr98@gmail.com</t>
        </is>
      </c>
      <c r="K41" s="73" t="inlineStr">
        <is>
          <t>https://juventud.gob.pe/wp-content/uploads/2022/04/BASE-DE-DATOS-ORGANIZACIONES-JUVENILES-E-INSTITUCIONES-PRIVADAS.xlsx</t>
        </is>
      </c>
      <c r="L41" s="51" t="inlineStr">
        <is>
          <t>CONFIRMADO</t>
        </is>
      </c>
      <c r="M41" s="30" t="n"/>
    </row>
    <row r="42" ht="30" customHeight="1" s="182">
      <c r="A42" s="42" t="inlineStr">
        <is>
          <t>Perú</t>
        </is>
      </c>
      <c r="B42" s="15" t="inlineStr">
        <is>
          <t>Organizaciones juveniles</t>
        </is>
      </c>
      <c r="C42" s="73" t="inlineStr">
        <is>
          <t>Organizaciones de voluntariado</t>
        </is>
      </c>
      <c r="D42" s="73" t="inlineStr">
        <is>
          <t>RED INTERQUORUM - APURÍMAC</t>
        </is>
      </c>
      <c r="E42" s="73" t="n"/>
      <c r="F42" s="73" t="inlineStr">
        <is>
          <t xml:space="preserve">Representante </t>
        </is>
      </c>
      <c r="G42" s="73" t="inlineStr">
        <is>
          <t>https://juventud.gob.pe/wp-content/uploads/2022/04/BASE-DE-DATOS-ORGANIZACIONES-JUVENILES-E-INSTITUCIONES-PRIVADAS.xlsx</t>
        </is>
      </c>
      <c r="H42" s="73" t="inlineStr">
        <is>
          <t>Yulitza Altamirano Arias</t>
        </is>
      </c>
      <c r="I42" s="28" t="inlineStr">
        <is>
          <t>No disponible en fuente oficial</t>
        </is>
      </c>
      <c r="J42" s="73" t="inlineStr">
        <is>
          <t>rediq_apurimac@yahoo.es</t>
        </is>
      </c>
      <c r="K42" s="73" t="inlineStr">
        <is>
          <t>https://juventud.gob.pe/wp-content/uploads/2022/04/BASE-DE-DATOS-ORGANIZACIONES-JUVENILES-E-INSTITUCIONES-PRIVADAS.xlsx</t>
        </is>
      </c>
      <c r="L42" s="51" t="inlineStr">
        <is>
          <t>CONFIRMADO</t>
        </is>
      </c>
      <c r="M42" s="30" t="n"/>
    </row>
    <row r="43" ht="30" customHeight="1" s="182">
      <c r="A43" s="42" t="inlineStr">
        <is>
          <t>Perú</t>
        </is>
      </c>
      <c r="B43" s="15" t="inlineStr">
        <is>
          <t>Organizaciones juveniles</t>
        </is>
      </c>
      <c r="C43" s="73" t="inlineStr">
        <is>
          <t>Organizaciones de estudiantes (escolar, universitario, tecnológico, artístico o pedagógico)</t>
        </is>
      </c>
      <c r="D43" s="73" t="inlineStr">
        <is>
          <t>ASOCIACIÓN DE OBSERVADORES DE AVES DE APURÍMAC</t>
        </is>
      </c>
      <c r="E43" s="73" t="n"/>
      <c r="F43" s="73" t="inlineStr">
        <is>
          <t xml:space="preserve">Representante </t>
        </is>
      </c>
      <c r="G43" s="73" t="inlineStr">
        <is>
          <t>https://juventud.gob.pe/wp-content/uploads/2022/04/BASE-DE-DATOS-ORGANIZACIONES-JUVENILES-E-INSTITUCIONES-PRIVADAS.xlsx</t>
        </is>
      </c>
      <c r="H43" s="73" t="inlineStr">
        <is>
          <t>Medalith Alenushka Gutiérrez Juárez</t>
        </is>
      </c>
      <c r="I43" s="28" t="inlineStr">
        <is>
          <t>No disponible en fuente oficial</t>
        </is>
      </c>
      <c r="J43" s="73" t="inlineStr">
        <is>
          <t>asobav.apu@gmail.com</t>
        </is>
      </c>
      <c r="K43" s="73" t="inlineStr">
        <is>
          <t>https://juventud.gob.pe/wp-content/uploads/2022/04/BASE-DE-DATOS-ORGANIZACIONES-JUVENILES-E-INSTITUCIONES-PRIVADAS.xlsx</t>
        </is>
      </c>
      <c r="L43" s="51" t="inlineStr">
        <is>
          <t>CONFIRMADO</t>
        </is>
      </c>
      <c r="M43" s="30" t="n"/>
    </row>
    <row r="44" ht="30" customHeight="1" s="182">
      <c r="A44" s="42" t="inlineStr">
        <is>
          <t>Perú</t>
        </is>
      </c>
      <c r="B44" s="15" t="inlineStr">
        <is>
          <t>Organizaciones juveniles</t>
        </is>
      </c>
      <c r="C44" s="73" t="inlineStr">
        <is>
          <t>Organizaciones de voluntariado</t>
        </is>
      </c>
      <c r="D44" s="73" t="inlineStr">
        <is>
          <t>YOUNG PERUVIAN LEADERS</t>
        </is>
      </c>
      <c r="E44" s="73" t="n"/>
      <c r="F44" s="73" t="inlineStr">
        <is>
          <t xml:space="preserve">Representante </t>
        </is>
      </c>
      <c r="G44" s="73" t="inlineStr">
        <is>
          <t>https://juventud.gob.pe/wp-content/uploads/2022/04/BASE-DE-DATOS-ORGANIZACIONES-JUVENILES-E-INSTITUCIONES-PRIVADAS.xlsx</t>
        </is>
      </c>
      <c r="H44" s="73" t="inlineStr">
        <is>
          <t>Vanessa Vargas Obregón</t>
        </is>
      </c>
      <c r="I44" s="28" t="inlineStr">
        <is>
          <t>No disponible en fuente oficial</t>
        </is>
      </c>
      <c r="J44" s="73" t="inlineStr">
        <is>
          <t>vvargasobregon@gmail.com</t>
        </is>
      </c>
      <c r="K44" s="73" t="inlineStr">
        <is>
          <t>https://juventud.gob.pe/wp-content/uploads/2022/04/BASE-DE-DATOS-ORGANIZACIONES-JUVENILES-E-INSTITUCIONES-PRIVADAS.xlsx</t>
        </is>
      </c>
      <c r="L44" s="51" t="inlineStr">
        <is>
          <t>CONFIRMADO</t>
        </is>
      </c>
      <c r="M44" s="184" t="inlineStr">
        <is>
          <t>Auditoría 08-oct-2026: Duplicado de fila 23 (Young Peruvian Leaders, otro representante).</t>
        </is>
      </c>
    </row>
    <row r="45" ht="30" customHeight="1" s="182">
      <c r="A45" s="42" t="inlineStr">
        <is>
          <t>Perú</t>
        </is>
      </c>
      <c r="B45" s="15" t="inlineStr">
        <is>
          <t>Organizaciones juveniles</t>
        </is>
      </c>
      <c r="C45" s="73" t="inlineStr">
        <is>
          <t>Organizaciones de redes comunitarias o colectivos</t>
        </is>
      </c>
      <c r="D45" s="73" t="inlineStr">
        <is>
          <t>GRUPO YANAPAQ</t>
        </is>
      </c>
      <c r="E45" s="73" t="n"/>
      <c r="F45" s="73" t="inlineStr">
        <is>
          <t xml:space="preserve">Representante </t>
        </is>
      </c>
      <c r="G45" s="73" t="inlineStr">
        <is>
          <t>https://juventud.gob.pe/wp-content/uploads/2022/04/BASE-DE-DATOS-ORGANIZACIONES-JUVENILES-E-INSTITUCIONES-PRIVADAS.xlsx</t>
        </is>
      </c>
      <c r="H45" s="73" t="inlineStr">
        <is>
          <t>Astrid Luisa Martel Diaz</t>
        </is>
      </c>
      <c r="I45" s="28" t="inlineStr">
        <is>
          <t>No disponible en fuente oficial</t>
        </is>
      </c>
      <c r="J45" s="73" t="inlineStr">
        <is>
          <t>astridmartel@outlook.com</t>
        </is>
      </c>
      <c r="K45" s="73" t="inlineStr">
        <is>
          <t>https://juventud.gob.pe/wp-content/uploads/2022/04/BASE-DE-DATOS-ORGANIZACIONES-JUVENILES-E-INSTITUCIONES-PRIVADAS.xlsx</t>
        </is>
      </c>
      <c r="L45" s="51" t="inlineStr">
        <is>
          <t>CONFIRMADO</t>
        </is>
      </c>
      <c r="M45" s="30" t="n"/>
    </row>
    <row r="46" ht="30" customHeight="1" s="182">
      <c r="A46" s="42" t="inlineStr">
        <is>
          <t>Perú</t>
        </is>
      </c>
      <c r="B46" s="15" t="inlineStr">
        <is>
          <t>Organizaciones juveniles</t>
        </is>
      </c>
      <c r="C46" s="73" t="inlineStr">
        <is>
          <t>Organizaciones de voluntariado</t>
        </is>
      </c>
      <c r="D46" s="73" t="inlineStr">
        <is>
          <t>NAMASTE PERÚ</t>
        </is>
      </c>
      <c r="E46" s="73" t="n"/>
      <c r="F46" s="73" t="inlineStr">
        <is>
          <t xml:space="preserve">Representante </t>
        </is>
      </c>
      <c r="G46" s="73" t="inlineStr">
        <is>
          <t>https://juventud.gob.pe/wp-content/uploads/2022/04/BASE-DE-DATOS-ORGANIZACIONES-JUVENILES-E-INSTITUCIONES-PRIVADAS.xlsx</t>
        </is>
      </c>
      <c r="H46" s="73" t="inlineStr">
        <is>
          <t>Carlos Alfredo Huarca Castro</t>
        </is>
      </c>
      <c r="I46" s="28" t="inlineStr">
        <is>
          <t>No disponible en fuente oficial</t>
        </is>
      </c>
      <c r="J46" s="73" t="inlineStr">
        <is>
          <t>carloshuarca91@gmail.com</t>
        </is>
      </c>
      <c r="K46" s="73" t="inlineStr">
        <is>
          <t>https://juventud.gob.pe/wp-content/uploads/2022/04/BASE-DE-DATOS-ORGANIZACIONES-JUVENILES-E-INSTITUCIONES-PRIVADAS.xlsx</t>
        </is>
      </c>
      <c r="L46" s="51" t="inlineStr">
        <is>
          <t>CONFIRMADO</t>
        </is>
      </c>
      <c r="M46" s="30" t="n"/>
    </row>
    <row r="47" ht="30" customHeight="1" s="182">
      <c r="A47" s="42" t="inlineStr">
        <is>
          <t>Perú</t>
        </is>
      </c>
      <c r="B47" s="15" t="inlineStr">
        <is>
          <t>Organizaciones juveniles</t>
        </is>
      </c>
      <c r="C47" s="73" t="inlineStr">
        <is>
          <t>Organizaciones de voluntariado</t>
        </is>
      </c>
      <c r="D47" s="73" t="inlineStr">
        <is>
          <t>SEMILLERO EMPRENDEDOR</t>
        </is>
      </c>
      <c r="E47" s="73" t="n"/>
      <c r="F47" s="73" t="inlineStr">
        <is>
          <t xml:space="preserve">Representante </t>
        </is>
      </c>
      <c r="G47" s="73" t="inlineStr">
        <is>
          <t>https://juventud.gob.pe/wp-content/uploads/2022/04/BASE-DE-DATOS-ORGANIZACIONES-JUVENILES-E-INSTITUCIONES-PRIVADAS.xlsx</t>
        </is>
      </c>
      <c r="H47" s="73" t="inlineStr">
        <is>
          <t>Marbella Melina Pizarro Marque</t>
        </is>
      </c>
      <c r="I47" s="28" t="inlineStr">
        <is>
          <t>No disponible en fuente oficial</t>
        </is>
      </c>
      <c r="J47" s="73" t="inlineStr">
        <is>
          <t>semilleroemprendedoraqp@gmail.com</t>
        </is>
      </c>
      <c r="K47" s="73" t="inlineStr">
        <is>
          <t>https://juventud.gob.pe/wp-content/uploads/2022/04/BASE-DE-DATOS-ORGANIZACIONES-JUVENILES-E-INSTITUCIONES-PRIVADAS.xlsx</t>
        </is>
      </c>
      <c r="L47" s="51" t="inlineStr">
        <is>
          <t>CONFIRMADO</t>
        </is>
      </c>
      <c r="M47" s="30" t="n"/>
    </row>
    <row r="48" ht="30" customHeight="1" s="182">
      <c r="A48" s="42" t="inlineStr">
        <is>
          <t>Perú</t>
        </is>
      </c>
      <c r="B48" s="15" t="inlineStr">
        <is>
          <t>Organizaciones juveniles</t>
        </is>
      </c>
      <c r="C48" s="73" t="inlineStr">
        <is>
          <t>Organizaciones de voluntariado</t>
        </is>
      </c>
      <c r="D48" s="73" t="inlineStr">
        <is>
          <t>CORAZONES MESTIZOS</t>
        </is>
      </c>
      <c r="E48" s="73" t="n"/>
      <c r="F48" s="73" t="inlineStr">
        <is>
          <t xml:space="preserve">Representante </t>
        </is>
      </c>
      <c r="G48" s="73" t="inlineStr">
        <is>
          <t>https://juventud.gob.pe/wp-content/uploads/2022/04/BASE-DE-DATOS-ORGANIZACIONES-JUVENILES-E-INSTITUCIONES-PRIVADAS.xlsx</t>
        </is>
      </c>
      <c r="H48" s="73" t="inlineStr">
        <is>
          <t>Viviana Blanca Curitumay  Sosa</t>
        </is>
      </c>
      <c r="I48" s="28" t="inlineStr">
        <is>
          <t>No disponible en fuente oficial</t>
        </is>
      </c>
      <c r="J48" s="73" t="inlineStr">
        <is>
          <t>corazonesmestizos@gmail.com</t>
        </is>
      </c>
      <c r="K48" s="73" t="inlineStr">
        <is>
          <t>https://juventud.gob.pe/wp-content/uploads/2022/04/BASE-DE-DATOS-ORGANIZACIONES-JUVENILES-E-INSTITUCIONES-PRIVADAS.xlsx</t>
        </is>
      </c>
      <c r="L48" s="51" t="inlineStr">
        <is>
          <t>CONFIRMADO</t>
        </is>
      </c>
      <c r="M48" s="30" t="n"/>
    </row>
    <row r="49" ht="30" customHeight="1" s="182">
      <c r="A49" s="42" t="inlineStr">
        <is>
          <t>Perú</t>
        </is>
      </c>
      <c r="B49" s="15" t="inlineStr">
        <is>
          <t>Organizaciones juveniles</t>
        </is>
      </c>
      <c r="C49" s="73" t="inlineStr">
        <is>
          <t>Organizaciones de voluntariado</t>
        </is>
      </c>
      <c r="D49" s="73" t="inlineStr">
        <is>
          <t>EMPRENDEDORES EN ACCIÓN</t>
        </is>
      </c>
      <c r="E49" s="73" t="n"/>
      <c r="F49" s="73" t="inlineStr">
        <is>
          <t xml:space="preserve">Representante </t>
        </is>
      </c>
      <c r="G49" s="73" t="inlineStr">
        <is>
          <t>https://juventud.gob.pe/wp-content/uploads/2022/04/BASE-DE-DATOS-ORGANIZACIONES-JUVENILES-E-INSTITUCIONES-PRIVADAS.xlsx</t>
        </is>
      </c>
      <c r="H49" s="73" t="inlineStr">
        <is>
          <t>Gabriela María Sánchez Lima</t>
        </is>
      </c>
      <c r="I49" s="28" t="inlineStr">
        <is>
          <t>No disponible en fuente oficial</t>
        </is>
      </c>
      <c r="J49" s="73" t="inlineStr">
        <is>
          <t>emprendedoresenaccionaqp@gmail.com</t>
        </is>
      </c>
      <c r="K49" s="73" t="inlineStr">
        <is>
          <t>https://juventud.gob.pe/wp-content/uploads/2022/04/BASE-DE-DATOS-ORGANIZACIONES-JUVENILES-E-INSTITUCIONES-PRIVADAS.xlsx</t>
        </is>
      </c>
      <c r="L49" s="51" t="inlineStr">
        <is>
          <t>CONFIRMADO</t>
        </is>
      </c>
      <c r="M49" s="30" t="n"/>
    </row>
    <row r="50" ht="30" customHeight="1" s="182">
      <c r="A50" s="42" t="inlineStr">
        <is>
          <t>Perú</t>
        </is>
      </c>
      <c r="B50" s="15" t="inlineStr">
        <is>
          <t>Organizaciones juveniles</t>
        </is>
      </c>
      <c r="C50" s="73" t="inlineStr">
        <is>
          <t>Organizaciones de voluntariado</t>
        </is>
      </c>
      <c r="D50" s="73" t="inlineStr">
        <is>
          <t>EMPODERADAS</t>
        </is>
      </c>
      <c r="E50" s="73" t="n"/>
      <c r="F50" s="73" t="inlineStr">
        <is>
          <t xml:space="preserve">Representante </t>
        </is>
      </c>
      <c r="G50" s="73" t="inlineStr">
        <is>
          <t>https://juventud.gob.pe/wp-content/uploads/2022/04/BASE-DE-DATOS-ORGANIZACIONES-JUVENILES-E-INSTITUCIONES-PRIVADAS.xlsx</t>
        </is>
      </c>
      <c r="H50" s="73" t="inlineStr">
        <is>
          <t>Fátima Vanessa Sánchez Honor</t>
        </is>
      </c>
      <c r="I50" s="28" t="inlineStr">
        <is>
          <t>No disponible en fuente oficial</t>
        </is>
      </c>
      <c r="J50" s="73" t="inlineStr">
        <is>
          <t>empoderadasarequipa@gmail.com</t>
        </is>
      </c>
      <c r="K50" s="73" t="inlineStr">
        <is>
          <t>https://juventud.gob.pe/wp-content/uploads/2022/04/BASE-DE-DATOS-ORGANIZACIONES-JUVENILES-E-INSTITUCIONES-PRIVADAS.xlsx</t>
        </is>
      </c>
      <c r="L50" s="51" t="inlineStr">
        <is>
          <t>CONFIRMADO</t>
        </is>
      </c>
      <c r="M50" s="30" t="n"/>
    </row>
    <row r="51" ht="30" customHeight="1" s="182">
      <c r="A51" s="42" t="inlineStr">
        <is>
          <t>Perú</t>
        </is>
      </c>
      <c r="B51" s="15" t="inlineStr">
        <is>
          <t>Organizaciones juveniles</t>
        </is>
      </c>
      <c r="C51" s="73" t="inlineStr">
        <is>
          <t>Organizaciones de estudiantes (escolar, universitario, tecnológico, artístico o pedagógico)</t>
        </is>
      </c>
      <c r="D51" s="73" t="inlineStr">
        <is>
          <t>CENTRO DE DOCUMENTACIÓN E INFORMACIÓN DE INGENIERÍA INDUSTRIAL - CENDII</t>
        </is>
      </c>
      <c r="E51" s="73" t="n"/>
      <c r="F51" s="73" t="inlineStr">
        <is>
          <t xml:space="preserve">Representante </t>
        </is>
      </c>
      <c r="G51" s="73" t="inlineStr">
        <is>
          <t>https://juventud.gob.pe/wp-content/uploads/2022/04/BASE-DE-DATOS-ORGANIZACIONES-JUVENILES-E-INSTITUCIONES-PRIVADAS.xlsx</t>
        </is>
      </c>
      <c r="H51" s="73" t="inlineStr">
        <is>
          <t>Anthony Leopoldo Contreras Rodriguez</t>
        </is>
      </c>
      <c r="I51" s="28" t="inlineStr">
        <is>
          <t>No disponible en fuente oficial</t>
        </is>
      </c>
      <c r="J51" s="73" t="inlineStr">
        <is>
          <t>cendii.epii.unsa@gmail.com</t>
        </is>
      </c>
      <c r="K51" s="73" t="inlineStr">
        <is>
          <t>https://juventud.gob.pe/wp-content/uploads/2022/04/BASE-DE-DATOS-ORGANIZACIONES-JUVENILES-E-INSTITUCIONES-PRIVADAS.xlsx</t>
        </is>
      </c>
      <c r="L51" s="51" t="inlineStr">
        <is>
          <t>CONFIRMADO</t>
        </is>
      </c>
      <c r="M51" s="30" t="n"/>
    </row>
    <row r="52" ht="30" customHeight="1" s="182">
      <c r="A52" s="42" t="inlineStr">
        <is>
          <t>Perú</t>
        </is>
      </c>
      <c r="B52" s="15" t="inlineStr">
        <is>
          <t>Organizaciones juveniles</t>
        </is>
      </c>
      <c r="C52" s="73" t="inlineStr">
        <is>
          <t>Organizaciones de voluntariado</t>
        </is>
      </c>
      <c r="D52" s="73" t="inlineStr">
        <is>
          <t>COOPERATIVA DEL ESTUDIANTE BARTSELANA</t>
        </is>
      </c>
      <c r="E52" s="73" t="n"/>
      <c r="F52" s="73" t="inlineStr">
        <is>
          <t xml:space="preserve">Representante </t>
        </is>
      </c>
      <c r="G52" s="73" t="inlineStr">
        <is>
          <t>https://juventud.gob.pe/wp-content/uploads/2022/04/BASE-DE-DATOS-ORGANIZACIONES-JUVENILES-E-INSTITUCIONES-PRIVADAS.xlsx</t>
        </is>
      </c>
      <c r="H52" s="73" t="inlineStr">
        <is>
          <t>Chrysthel Dayanna Quisocala  Vargas</t>
        </is>
      </c>
      <c r="I52" s="28" t="inlineStr">
        <is>
          <t>No disponible en fuente oficial</t>
        </is>
      </c>
      <c r="J52" s="73" t="inlineStr">
        <is>
          <t>informes@bancodelestudiante.org</t>
        </is>
      </c>
      <c r="K52" s="73" t="inlineStr">
        <is>
          <t>https://juventud.gob.pe/wp-content/uploads/2022/04/BASE-DE-DATOS-ORGANIZACIONES-JUVENILES-E-INSTITUCIONES-PRIVADAS.xlsx</t>
        </is>
      </c>
      <c r="L52" s="51" t="inlineStr">
        <is>
          <t>CONFIRMADO</t>
        </is>
      </c>
      <c r="M52" s="30" t="n"/>
    </row>
    <row r="53" ht="30" customHeight="1" s="182">
      <c r="A53" s="42" t="inlineStr">
        <is>
          <t>Perú</t>
        </is>
      </c>
      <c r="B53" s="15" t="inlineStr">
        <is>
          <t>Organizaciones juveniles</t>
        </is>
      </c>
      <c r="C53" s="73" t="inlineStr">
        <is>
          <t>Organizaciones de estudiantes (escolar, universitario, tecnológico, artístico o pedagógico)</t>
        </is>
      </c>
      <c r="D53" s="73" t="inlineStr">
        <is>
          <t>YAPA FILMS</t>
        </is>
      </c>
      <c r="E53" s="73" t="n"/>
      <c r="F53" s="73" t="inlineStr">
        <is>
          <t xml:space="preserve">Representante </t>
        </is>
      </c>
      <c r="G53" s="73" t="inlineStr">
        <is>
          <t>https://juventud.gob.pe/wp-content/uploads/2022/04/BASE-DE-DATOS-ORGANIZACIONES-JUVENILES-E-INSTITUCIONES-PRIVADAS.xlsx</t>
        </is>
      </c>
      <c r="H53" s="73" t="inlineStr">
        <is>
          <t>Walter Freddy Manrique Cervantes</t>
        </is>
      </c>
      <c r="I53" s="28" t="inlineStr">
        <is>
          <t>No disponible en fuente oficial</t>
        </is>
      </c>
      <c r="J53" s="73" t="inlineStr">
        <is>
          <t>yapafs@gmail.com</t>
        </is>
      </c>
      <c r="K53" s="73" t="inlineStr">
        <is>
          <t>https://juventud.gob.pe/wp-content/uploads/2022/04/BASE-DE-DATOS-ORGANIZACIONES-JUVENILES-E-INSTITUCIONES-PRIVADAS.xlsx</t>
        </is>
      </c>
      <c r="L53" s="51" t="inlineStr">
        <is>
          <t>CONFIRMADO</t>
        </is>
      </c>
      <c r="M53" s="30" t="n"/>
    </row>
    <row r="54" ht="30" customHeight="1" s="182">
      <c r="A54" s="42" t="inlineStr">
        <is>
          <t>Perú</t>
        </is>
      </c>
      <c r="B54" s="15" t="inlineStr">
        <is>
          <t>Organizaciones juveniles</t>
        </is>
      </c>
      <c r="C54" s="73" t="inlineStr">
        <is>
          <t>Organización del ámbito deportivo</t>
        </is>
      </c>
      <c r="D54" s="73" t="inlineStr">
        <is>
          <t>CLUB DEPORTIVO WIRACOCHA</t>
        </is>
      </c>
      <c r="E54" s="73" t="n"/>
      <c r="F54" s="73" t="inlineStr">
        <is>
          <t xml:space="preserve">Representante </t>
        </is>
      </c>
      <c r="G54" s="73" t="inlineStr">
        <is>
          <t>https://juventud.gob.pe/wp-content/uploads/2022/04/BASE-DE-DATOS-ORGANIZACIONES-JUVENILES-E-INSTITUCIONES-PRIVADAS.xlsx</t>
        </is>
      </c>
      <c r="H54" s="73" t="inlineStr">
        <is>
          <t>Paul Sebastián Volz Oporto</t>
        </is>
      </c>
      <c r="I54" s="28" t="inlineStr">
        <is>
          <t>No disponible en fuente oficial</t>
        </is>
      </c>
      <c r="J54" s="73" t="inlineStr">
        <is>
          <t>paulvolz@hotmail.com</t>
        </is>
      </c>
      <c r="K54" s="73" t="inlineStr">
        <is>
          <t>https://juventud.gob.pe/wp-content/uploads/2022/04/BASE-DE-DATOS-ORGANIZACIONES-JUVENILES-E-INSTITUCIONES-PRIVADAS.xlsx</t>
        </is>
      </c>
      <c r="L54" s="51" t="inlineStr">
        <is>
          <t>CONFIRMADO</t>
        </is>
      </c>
      <c r="M54" s="30" t="n"/>
    </row>
    <row r="55" ht="30" customHeight="1" s="182">
      <c r="A55" s="42" t="inlineStr">
        <is>
          <t>Perú</t>
        </is>
      </c>
      <c r="B55" s="15" t="inlineStr">
        <is>
          <t>Organizaciones juveniles</t>
        </is>
      </c>
      <c r="C55" s="73" t="inlineStr">
        <is>
          <t>Organizaciones de voluntariado</t>
        </is>
      </c>
      <c r="D55" s="73" t="inlineStr">
        <is>
          <t>CLUB DE LEO CHUQUIBAMBA</t>
        </is>
      </c>
      <c r="E55" s="73" t="n"/>
      <c r="F55" s="73" t="inlineStr">
        <is>
          <t xml:space="preserve">Representante </t>
        </is>
      </c>
      <c r="G55" s="73" t="inlineStr">
        <is>
          <t>https://juventud.gob.pe/wp-content/uploads/2022/04/BASE-DE-DATOS-ORGANIZACIONES-JUVENILES-E-INSTITUCIONES-PRIVADAS.xlsx</t>
        </is>
      </c>
      <c r="H55" s="73" t="inlineStr">
        <is>
          <t>Juan Bryan Fernández Torres</t>
        </is>
      </c>
      <c r="I55" s="28" t="inlineStr">
        <is>
          <t>No disponible en fuente oficial</t>
        </is>
      </c>
      <c r="J55" s="73" t="inlineStr">
        <is>
          <t>arequipa.chuquibamba@gmail.com</t>
        </is>
      </c>
      <c r="K55" s="73" t="inlineStr">
        <is>
          <t>https://juventud.gob.pe/wp-content/uploads/2022/04/BASE-DE-DATOS-ORGANIZACIONES-JUVENILES-E-INSTITUCIONES-PRIVADAS.xlsx</t>
        </is>
      </c>
      <c r="L55" s="51" t="inlineStr">
        <is>
          <t>CONFIRMADO</t>
        </is>
      </c>
      <c r="M55" s="30" t="n"/>
    </row>
    <row r="56" ht="30" customHeight="1" s="182">
      <c r="A56" s="42" t="inlineStr">
        <is>
          <t>Perú</t>
        </is>
      </c>
      <c r="B56" s="15" t="inlineStr">
        <is>
          <t>Organizaciones juveniles</t>
        </is>
      </c>
      <c r="C56" s="73" t="inlineStr">
        <is>
          <t>Organizaciones de voluntariado</t>
        </is>
      </c>
      <c r="D56" s="73" t="inlineStr">
        <is>
          <t>CINECINCO</t>
        </is>
      </c>
      <c r="E56" s="73" t="n"/>
      <c r="F56" s="73" t="inlineStr">
        <is>
          <t xml:space="preserve">Representante </t>
        </is>
      </c>
      <c r="G56" s="73" t="inlineStr">
        <is>
          <t>https://juventud.gob.pe/wp-content/uploads/2022/04/BASE-DE-DATOS-ORGANIZACIONES-JUVENILES-E-INSTITUCIONES-PRIVADAS.xlsx</t>
        </is>
      </c>
      <c r="H56" s="73" t="inlineStr">
        <is>
          <t>Jordan Martín Jáuregui Meza</t>
        </is>
      </c>
      <c r="I56" s="28" t="inlineStr">
        <is>
          <t>No disponible en fuente oficial</t>
        </is>
      </c>
      <c r="J56" s="73" t="n"/>
      <c r="K56" s="73" t="inlineStr">
        <is>
          <t>https://juventud.gob.pe/wp-content/uploads/2022/04/BASE-DE-DATOS-ORGANIZACIONES-JUVENILES-E-INSTITUCIONES-PRIVADAS.xlsx</t>
        </is>
      </c>
      <c r="L56" s="51" t="inlineStr">
        <is>
          <t>CONFIRMADO</t>
        </is>
      </c>
      <c r="M56" s="30" t="n"/>
    </row>
    <row r="57" ht="30" customHeight="1" s="182">
      <c r="A57" s="42" t="inlineStr">
        <is>
          <t>Perú</t>
        </is>
      </c>
      <c r="B57" s="15" t="inlineStr">
        <is>
          <t>Organizaciones juveniles</t>
        </is>
      </c>
      <c r="C57" s="73" t="inlineStr">
        <is>
          <t>Organizaciones de voluntariado</t>
        </is>
      </c>
      <c r="D57" s="73" t="inlineStr">
        <is>
          <t>VOLUNTARIADO ROCOTITOS</t>
        </is>
      </c>
      <c r="E57" s="73" t="n"/>
      <c r="F57" s="73" t="inlineStr">
        <is>
          <t xml:space="preserve">Representante </t>
        </is>
      </c>
      <c r="G57" s="73" t="inlineStr">
        <is>
          <t>https://juventud.gob.pe/wp-content/uploads/2022/04/BASE-DE-DATOS-ORGANIZACIONES-JUVENILES-E-INSTITUCIONES-PRIVADAS.xlsx</t>
        </is>
      </c>
      <c r="H57" s="73" t="inlineStr">
        <is>
          <t>Flavia Romina del Carmen Ramirez Diaz</t>
        </is>
      </c>
      <c r="I57" s="28" t="inlineStr">
        <is>
          <t>No disponible en fuente oficial</t>
        </is>
      </c>
      <c r="J57" s="73" t="inlineStr">
        <is>
          <t>-</t>
        </is>
      </c>
      <c r="K57" s="73" t="inlineStr">
        <is>
          <t>https://juventud.gob.pe/wp-content/uploads/2022/04/BASE-DE-DATOS-ORGANIZACIONES-JUVENILES-E-INSTITUCIONES-PRIVADAS.xlsx</t>
        </is>
      </c>
      <c r="L57" s="51" t="inlineStr">
        <is>
          <t>CONFIRMADO</t>
        </is>
      </c>
      <c r="M57" s="30" t="n"/>
    </row>
    <row r="58" ht="30" customHeight="1" s="182">
      <c r="A58" s="42" t="inlineStr">
        <is>
          <t>Perú</t>
        </is>
      </c>
      <c r="B58" s="15" t="inlineStr">
        <is>
          <t>Organizaciones juveniles</t>
        </is>
      </c>
      <c r="C58" s="73" t="inlineStr">
        <is>
          <t>Organizaciones de voluntariado</t>
        </is>
      </c>
      <c r="D58" s="73" t="inlineStr">
        <is>
          <t>VOLUNTARIADO MAGIS AYACUCHO</t>
        </is>
      </c>
      <c r="E58" s="73" t="n"/>
      <c r="F58" s="73" t="inlineStr">
        <is>
          <t xml:space="preserve">Representante </t>
        </is>
      </c>
      <c r="G58" s="73" t="inlineStr">
        <is>
          <t>https://juventud.gob.pe/wp-content/uploads/2022/04/BASE-DE-DATOS-ORGANIZACIONES-JUVENILES-E-INSTITUCIONES-PRIVADAS.xlsx</t>
        </is>
      </c>
      <c r="H58" s="73" t="inlineStr">
        <is>
          <t>Zandy Yoly Gamboa Talavera</t>
        </is>
      </c>
      <c r="I58" s="28" t="inlineStr">
        <is>
          <t>No disponible en fuente oficial</t>
        </is>
      </c>
      <c r="J58" s="73" t="inlineStr">
        <is>
          <t>magis.ayacucho@gmail.com</t>
        </is>
      </c>
      <c r="K58" s="73" t="inlineStr">
        <is>
          <t>https://juventud.gob.pe/wp-content/uploads/2022/04/BASE-DE-DATOS-ORGANIZACIONES-JUVENILES-E-INSTITUCIONES-PRIVADAS.xlsx</t>
        </is>
      </c>
      <c r="L58" s="51" t="inlineStr">
        <is>
          <t>CONFIRMADO</t>
        </is>
      </c>
      <c r="M58" s="30" t="n"/>
    </row>
    <row r="59" ht="30" customHeight="1" s="182">
      <c r="A59" s="42" t="inlineStr">
        <is>
          <t>Perú</t>
        </is>
      </c>
      <c r="B59" s="15" t="inlineStr">
        <is>
          <t>Organizaciones juveniles</t>
        </is>
      </c>
      <c r="C59" s="73" t="inlineStr">
        <is>
          <t>Organización de investigadores académicos</t>
        </is>
      </c>
      <c r="D59" s="73" t="inlineStr">
        <is>
          <t>CÍRCULO DE INVESTIGACIÓN HORIZONTE SOCIAL DEL DERECHO</t>
        </is>
      </c>
      <c r="E59" s="73" t="n"/>
      <c r="F59" s="73" t="inlineStr">
        <is>
          <t xml:space="preserve">Representante </t>
        </is>
      </c>
      <c r="G59" s="73" t="inlineStr">
        <is>
          <t>https://juventud.gob.pe/wp-content/uploads/2022/04/BASE-DE-DATOS-ORGANIZACIONES-JUVENILES-E-INSTITUCIONES-PRIVADAS.xlsx</t>
        </is>
      </c>
      <c r="H59" s="73" t="inlineStr">
        <is>
          <t>Mariela Ninahuanca Sánchez</t>
        </is>
      </c>
      <c r="I59" s="28" t="inlineStr">
        <is>
          <t>No disponible en fuente oficial</t>
        </is>
      </c>
      <c r="J59" s="73" t="inlineStr">
        <is>
          <t>cihsod.derecho@gmail.com</t>
        </is>
      </c>
      <c r="K59" s="73" t="inlineStr">
        <is>
          <t>https://juventud.gob.pe/wp-content/uploads/2022/04/BASE-DE-DATOS-ORGANIZACIONES-JUVENILES-E-INSTITUCIONES-PRIVADAS.xlsx</t>
        </is>
      </c>
      <c r="L59" s="51" t="inlineStr">
        <is>
          <t>CONFIRMADO</t>
        </is>
      </c>
      <c r="M59" s="30" t="n"/>
    </row>
    <row r="60" ht="30" customHeight="1" s="182">
      <c r="A60" s="42" t="inlineStr">
        <is>
          <t>Perú</t>
        </is>
      </c>
      <c r="B60" s="15" t="inlineStr">
        <is>
          <t>Organizaciones juveniles</t>
        </is>
      </c>
      <c r="C60" s="73" t="inlineStr">
        <is>
          <t>Organizaciones de estudiantes (escolar, universitario, tecnológico, artístico o pedagógico)</t>
        </is>
      </c>
      <c r="D60" s="73" t="inlineStr">
        <is>
          <t>FEDERACIÓN NACIONAL DE ESTUDIANTES DE INGENIERÍA AGRÍCOLA - FENEIA</t>
        </is>
      </c>
      <c r="E60" s="73" t="n"/>
      <c r="F60" s="73" t="inlineStr">
        <is>
          <t xml:space="preserve">Representante </t>
        </is>
      </c>
      <c r="G60" s="73" t="inlineStr">
        <is>
          <t>https://juventud.gob.pe/wp-content/uploads/2022/04/BASE-DE-DATOS-ORGANIZACIONES-JUVENILES-E-INSTITUCIONES-PRIVADAS.xlsx</t>
        </is>
      </c>
      <c r="H60" s="73" t="inlineStr">
        <is>
          <t>AGENTES IMPULSORES DEL CAMBIO - AIC "DESDE LA TIERRA DE LOS MOROCHUCOS"</t>
        </is>
      </c>
      <c r="I60" s="28" t="inlineStr">
        <is>
          <t>No disponible en fuente oficial</t>
        </is>
      </c>
      <c r="J60" s="73" t="inlineStr">
        <is>
          <t>yiselmi_hg@hotmail.com</t>
        </is>
      </c>
      <c r="K60" s="73" t="inlineStr">
        <is>
          <t>https://juventud.gob.pe/wp-content/uploads/2022/04/BASE-DE-DATOS-ORGANIZACIONES-JUVENILES-E-INSTITUCIONES-PRIVADAS.xlsx</t>
        </is>
      </c>
      <c r="L60" s="51" t="inlineStr">
        <is>
          <t>CONFIRMADO</t>
        </is>
      </c>
      <c r="M60" s="30" t="n"/>
    </row>
    <row r="61" ht="30" customHeight="1" s="182">
      <c r="A61" s="42" t="inlineStr">
        <is>
          <t>Perú</t>
        </is>
      </c>
      <c r="B61" s="15" t="inlineStr">
        <is>
          <t>Organizaciones juveniles</t>
        </is>
      </c>
      <c r="C61" s="73" t="inlineStr">
        <is>
          <t>Organizaciones de voluntariado</t>
        </is>
      </c>
      <c r="D61" s="73" t="inlineStr">
        <is>
          <t>RED INTERQUORUM - AYACUCHO</t>
        </is>
      </c>
      <c r="E61" s="73" t="n"/>
      <c r="F61" s="73" t="inlineStr">
        <is>
          <t xml:space="preserve">Representante </t>
        </is>
      </c>
      <c r="G61" s="73" t="inlineStr">
        <is>
          <t>https://juventud.gob.pe/wp-content/uploads/2022/04/BASE-DE-DATOS-ORGANIZACIONES-JUVENILES-E-INSTITUCIONES-PRIVADAS.xlsx</t>
        </is>
      </c>
      <c r="H61" s="73" t="inlineStr">
        <is>
          <t>Rolando Huyhua Calderón</t>
        </is>
      </c>
      <c r="I61" s="28" t="inlineStr">
        <is>
          <t>No disponible en fuente oficial</t>
        </is>
      </c>
      <c r="J61" s="73" t="inlineStr">
        <is>
          <t>rolanhc1991@gmail.com</t>
        </is>
      </c>
      <c r="K61" s="73" t="inlineStr">
        <is>
          <t>https://juventud.gob.pe/wp-content/uploads/2022/04/BASE-DE-DATOS-ORGANIZACIONES-JUVENILES-E-INSTITUCIONES-PRIVADAS.xlsx</t>
        </is>
      </c>
      <c r="L61" s="51" t="inlineStr">
        <is>
          <t>CONFIRMADO</t>
        </is>
      </c>
      <c r="M61" s="30" t="n"/>
    </row>
    <row r="62" ht="30" customHeight="1" s="182">
      <c r="A62" s="42" t="inlineStr">
        <is>
          <t>Perú</t>
        </is>
      </c>
      <c r="B62" s="15" t="inlineStr">
        <is>
          <t>Organizaciones juveniles</t>
        </is>
      </c>
      <c r="C62" s="73" t="inlineStr">
        <is>
          <t>Organizaciones territoriales</t>
        </is>
      </c>
      <c r="D62" s="73" t="inlineStr">
        <is>
          <t>ALIANZA REGIONAL DE LÍDERES DE TRANSFORMACIÓN - ARELIT</t>
        </is>
      </c>
      <c r="E62" s="73" t="n"/>
      <c r="F62" s="73" t="inlineStr">
        <is>
          <t xml:space="preserve">Representante </t>
        </is>
      </c>
      <c r="G62" s="73" t="inlineStr">
        <is>
          <t>https://juventud.gob.pe/wp-content/uploads/2022/04/BASE-DE-DATOS-ORGANIZACIONES-JUVENILES-E-INSTITUCIONES-PRIVADAS.xlsx</t>
        </is>
      </c>
      <c r="H62" s="73" t="inlineStr">
        <is>
          <t>Jean Alexis Illaccanqui Vega</t>
        </is>
      </c>
      <c r="I62" s="28" t="inlineStr">
        <is>
          <t>No disponible en fuente oficial</t>
        </is>
      </c>
      <c r="J62" s="73" t="inlineStr">
        <is>
          <t>arelitayacucho@hotmail.com</t>
        </is>
      </c>
      <c r="K62" s="73" t="inlineStr">
        <is>
          <t>https://juventud.gob.pe/wp-content/uploads/2022/04/BASE-DE-DATOS-ORGANIZACIONES-JUVENILES-E-INSTITUCIONES-PRIVADAS.xlsx</t>
        </is>
      </c>
      <c r="L62" s="51" t="inlineStr">
        <is>
          <t>CONFIRMADO</t>
        </is>
      </c>
      <c r="M62" s="30" t="n"/>
    </row>
    <row r="63" ht="30" customHeight="1" s="182">
      <c r="A63" s="42" t="inlineStr">
        <is>
          <t>Perú</t>
        </is>
      </c>
      <c r="B63" s="15" t="inlineStr">
        <is>
          <t>Organizaciones juveniles</t>
        </is>
      </c>
      <c r="C63" s="73" t="inlineStr">
        <is>
          <t>Otros: ONG</t>
        </is>
      </c>
      <c r="D63" s="73" t="inlineStr">
        <is>
          <t>ORGANIZACIÓN DEMOCRÁTICA MUNDIAL PARA EL DESARROLLO (ODM - A)</t>
        </is>
      </c>
      <c r="E63" s="73" t="n"/>
      <c r="F63" s="73" t="inlineStr">
        <is>
          <t xml:space="preserve">Representante </t>
        </is>
      </c>
      <c r="G63" s="73" t="inlineStr">
        <is>
          <t>https://juventud.gob.pe/wp-content/uploads/2022/04/BASE-DE-DATOS-ORGANIZACIONES-JUVENILES-E-INSTITUCIONES-PRIVADAS.xlsx</t>
        </is>
      </c>
      <c r="H63" s="73" t="inlineStr">
        <is>
          <t>Denís Huamaní Huamaní</t>
        </is>
      </c>
      <c r="I63" s="28" t="inlineStr">
        <is>
          <t>No disponible en fuente oficial</t>
        </is>
      </c>
      <c r="J63" s="73" t="inlineStr">
        <is>
          <t>odmayacucho@gmail.com</t>
        </is>
      </c>
      <c r="K63" s="73" t="inlineStr">
        <is>
          <t>https://juventud.gob.pe/wp-content/uploads/2022/04/BASE-DE-DATOS-ORGANIZACIONES-JUVENILES-E-INSTITUCIONES-PRIVADAS.xlsx</t>
        </is>
      </c>
      <c r="L63" s="51" t="inlineStr">
        <is>
          <t>CONFIRMADO</t>
        </is>
      </c>
      <c r="M63" s="30" t="n"/>
    </row>
    <row r="64" ht="30" customHeight="1" s="182">
      <c r="A64" s="42" t="inlineStr">
        <is>
          <t>Perú</t>
        </is>
      </c>
      <c r="B64" s="15" t="inlineStr">
        <is>
          <t>Organizaciones juveniles</t>
        </is>
      </c>
      <c r="C64" s="73" t="inlineStr">
        <is>
          <t>Organizaciones de voluntariado</t>
        </is>
      </c>
      <c r="D64" s="73" t="inlineStr">
        <is>
          <t>JÓVENES POR UN MEDIO AMBIENTE CON JUSTICIA</t>
        </is>
      </c>
      <c r="E64" s="73" t="n"/>
      <c r="F64" s="73" t="inlineStr">
        <is>
          <t xml:space="preserve">Representante </t>
        </is>
      </c>
      <c r="G64" s="73" t="inlineStr">
        <is>
          <t>https://juventud.gob.pe/wp-content/uploads/2022/04/BASE-DE-DATOS-ORGANIZACIONES-JUVENILES-E-INSTITUCIONES-PRIVADAS.xlsx</t>
        </is>
      </c>
      <c r="H64" s="73" t="inlineStr">
        <is>
          <t>María Enriqueta Flores Romaní</t>
        </is>
      </c>
      <c r="I64" s="28" t="inlineStr">
        <is>
          <t>No disponible en fuente oficial</t>
        </is>
      </c>
      <c r="J64" s="73" t="inlineStr">
        <is>
          <t>jomaju.ambiental@gmail.com</t>
        </is>
      </c>
      <c r="K64" s="73" t="inlineStr">
        <is>
          <t>https://juventud.gob.pe/wp-content/uploads/2022/04/BASE-DE-DATOS-ORGANIZACIONES-JUVENILES-E-INSTITUCIONES-PRIVADAS.xlsx</t>
        </is>
      </c>
      <c r="L64" s="51" t="inlineStr">
        <is>
          <t>CONFIRMADO</t>
        </is>
      </c>
      <c r="M64" s="30" t="n"/>
    </row>
    <row r="65" ht="30" customHeight="1" s="182">
      <c r="A65" s="42" t="inlineStr">
        <is>
          <t>Perú</t>
        </is>
      </c>
      <c r="B65" s="15" t="inlineStr">
        <is>
          <t>Organizaciones juveniles</t>
        </is>
      </c>
      <c r="C65" s="73" t="inlineStr">
        <is>
          <t>Organizaciones de estudiantes (escolar, universitario, tecnológico, artístico o pedagógico)</t>
        </is>
      </c>
      <c r="D65" s="73" t="inlineStr">
        <is>
          <t>CENTRO FOLKLÓRICO INDÍGENO MESTIZO</t>
        </is>
      </c>
      <c r="E65" s="73" t="n"/>
      <c r="F65" s="73" t="inlineStr">
        <is>
          <t xml:space="preserve">Representante </t>
        </is>
      </c>
      <c r="G65" s="73" t="inlineStr">
        <is>
          <t>https://juventud.gob.pe/wp-content/uploads/2022/04/BASE-DE-DATOS-ORGANIZACIONES-JUVENILES-E-INSTITUCIONES-PRIVADAS.xlsx</t>
        </is>
      </c>
      <c r="H65" s="73" t="inlineStr">
        <is>
          <t>Edith Llasacce López</t>
        </is>
      </c>
      <c r="I65" s="28" t="inlineStr">
        <is>
          <t>No disponible en fuente oficial</t>
        </is>
      </c>
      <c r="J65" s="73" t="inlineStr">
        <is>
          <t>sunqullaqta@hotmail.com</t>
        </is>
      </c>
      <c r="K65" s="73" t="inlineStr">
        <is>
          <t>https://juventud.gob.pe/wp-content/uploads/2022/04/BASE-DE-DATOS-ORGANIZACIONES-JUVENILES-E-INSTITUCIONES-PRIVADAS.xlsx</t>
        </is>
      </c>
      <c r="L65" s="51" t="inlineStr">
        <is>
          <t>CONFIRMADO</t>
        </is>
      </c>
      <c r="M65" s="30" t="n"/>
    </row>
    <row r="66" ht="15.75" customHeight="1" s="182">
      <c r="A66" s="42" t="inlineStr">
        <is>
          <t>Perú</t>
        </is>
      </c>
      <c r="B66" s="15" t="inlineStr">
        <is>
          <t>Organizaciones juveniles</t>
        </is>
      </c>
      <c r="C66" s="73" t="inlineStr">
        <is>
          <t>Organizaciones de voluntariado</t>
        </is>
      </c>
      <c r="D66" s="73" t="inlineStr">
        <is>
          <t>JUVENTUD PAUCINA</t>
        </is>
      </c>
      <c r="E66" s="73" t="n"/>
      <c r="F66" s="73" t="inlineStr">
        <is>
          <t xml:space="preserve">Representante </t>
        </is>
      </c>
      <c r="G66" s="73" t="inlineStr">
        <is>
          <t>https://juventud.gob.pe/wp-content/uploads/2022/04/BASE-DE-DATOS-ORGANIZACIONES-JUVENILES-E-INSTITUCIONES-PRIVADAS.xlsx</t>
        </is>
      </c>
      <c r="H66" s="73" t="inlineStr">
        <is>
          <t>Junior Hugo Gutierrez Barriga</t>
        </is>
      </c>
      <c r="I66" s="28" t="inlineStr">
        <is>
          <t>No disponible en fuente oficial</t>
        </is>
      </c>
      <c r="J66" s="73" t="inlineStr">
        <is>
          <t>gutierrezhgo@gmail.com</t>
        </is>
      </c>
      <c r="K66" s="73" t="inlineStr">
        <is>
          <t>https://juventud.gob.pe/wp-content/uploads/2022/04/BASE-DE-DATOS-ORGANIZACIONES-JUVENILES-E-INSTITUCIONES-PRIVADAS.xlsx</t>
        </is>
      </c>
      <c r="L66" s="51" t="inlineStr">
        <is>
          <t>CONFIRMADO</t>
        </is>
      </c>
      <c r="M66" s="30" t="n"/>
    </row>
    <row r="67" ht="15.75" customHeight="1" s="182">
      <c r="A67" s="42" t="inlineStr">
        <is>
          <t>Perú</t>
        </is>
      </c>
      <c r="B67" s="15" t="inlineStr">
        <is>
          <t>Organizaciones juveniles</t>
        </is>
      </c>
      <c r="C67" s="73" t="inlineStr">
        <is>
          <t>Organizaciones de voluntariado</t>
        </is>
      </c>
      <c r="D67" s="73" t="inlineStr">
        <is>
          <t>ASOCIACIÓN MUSUQKUNA</t>
        </is>
      </c>
      <c r="E67" s="73" t="n"/>
      <c r="F67" s="73" t="inlineStr">
        <is>
          <t xml:space="preserve">Representante </t>
        </is>
      </c>
      <c r="G67" s="73" t="inlineStr">
        <is>
          <t>https://juventud.gob.pe/wp-content/uploads/2022/04/BASE-DE-DATOS-ORGANIZACIONES-JUVENILES-E-INSTITUCIONES-PRIVADAS.xlsx</t>
        </is>
      </c>
      <c r="H67" s="73" t="inlineStr">
        <is>
          <t>Thedy Paloma Pacheco Vera</t>
        </is>
      </c>
      <c r="I67" s="28" t="inlineStr">
        <is>
          <t>No disponible en fuente oficial</t>
        </is>
      </c>
      <c r="J67" s="73" t="inlineStr">
        <is>
          <t>-</t>
        </is>
      </c>
      <c r="K67" s="73" t="inlineStr">
        <is>
          <t>https://juventud.gob.pe/wp-content/uploads/2022/04/BASE-DE-DATOS-ORGANIZACIONES-JUVENILES-E-INSTITUCIONES-PRIVADAS.xlsx</t>
        </is>
      </c>
      <c r="L67" s="51" t="inlineStr">
        <is>
          <t>CONFIRMADO</t>
        </is>
      </c>
      <c r="M67" s="30" t="n"/>
    </row>
    <row r="68" ht="15.75" customHeight="1" s="182">
      <c r="A68" s="42" t="inlineStr">
        <is>
          <t>Perú</t>
        </is>
      </c>
      <c r="B68" s="15" t="inlineStr">
        <is>
          <t>Organizaciones juveniles</t>
        </is>
      </c>
      <c r="C68" s="73" t="inlineStr">
        <is>
          <t>Organizaciones de voluntariado</t>
        </is>
      </c>
      <c r="D68" s="73" t="inlineStr">
        <is>
          <t>ATELIER URBANO PERÚ</t>
        </is>
      </c>
      <c r="E68" s="73" t="n"/>
      <c r="F68" s="73" t="inlineStr">
        <is>
          <t xml:space="preserve">Representante </t>
        </is>
      </c>
      <c r="G68" s="73" t="inlineStr">
        <is>
          <t>https://juventud.gob.pe/wp-content/uploads/2022/04/BASE-DE-DATOS-ORGANIZACIONES-JUVENILES-E-INSTITUCIONES-PRIVADAS.xlsx</t>
        </is>
      </c>
      <c r="H68" s="73" t="inlineStr">
        <is>
          <t>Alberth Andreé Calle Campoverde</t>
        </is>
      </c>
      <c r="I68" s="28" t="inlineStr">
        <is>
          <t>No disponible en fuente oficial</t>
        </is>
      </c>
      <c r="J68" s="73" t="inlineStr">
        <is>
          <t>atelierurbano.pe@gmail.com</t>
        </is>
      </c>
      <c r="K68" s="73" t="inlineStr">
        <is>
          <t>https://juventud.gob.pe/wp-content/uploads/2022/04/BASE-DE-DATOS-ORGANIZACIONES-JUVENILES-E-INSTITUCIONES-PRIVADAS.xlsx</t>
        </is>
      </c>
      <c r="L68" s="51" t="inlineStr">
        <is>
          <t>CONFIRMADO</t>
        </is>
      </c>
      <c r="M68" s="30" t="n"/>
    </row>
    <row r="69" ht="15.75" customHeight="1" s="182">
      <c r="A69" s="42" t="inlineStr">
        <is>
          <t>Perú</t>
        </is>
      </c>
      <c r="B69" s="15" t="inlineStr">
        <is>
          <t>Organizaciones juveniles</t>
        </is>
      </c>
      <c r="C69" s="73" t="inlineStr">
        <is>
          <t>Organizaciones de voluntariado</t>
        </is>
      </c>
      <c r="D69" s="73" t="inlineStr">
        <is>
          <t>RED INTERQUORUM - CAJAMARCA</t>
        </is>
      </c>
      <c r="E69" s="73" t="n"/>
      <c r="F69" s="73" t="inlineStr">
        <is>
          <t xml:space="preserve">Representante </t>
        </is>
      </c>
      <c r="G69" s="73" t="inlineStr">
        <is>
          <t>https://juventud.gob.pe/wp-content/uploads/2022/04/BASE-DE-DATOS-ORGANIZACIONES-JUVENILES-E-INSTITUCIONES-PRIVADAS.xlsx</t>
        </is>
      </c>
      <c r="H69" s="73" t="inlineStr">
        <is>
          <t>Rodney Lohemar Herrera Mendoza</t>
        </is>
      </c>
      <c r="I69" s="28" t="inlineStr">
        <is>
          <t>No disponible en fuente oficial</t>
        </is>
      </c>
      <c r="J69" s="73" t="inlineStr">
        <is>
          <t>rediqcajamarca2018@gmail.com</t>
        </is>
      </c>
      <c r="K69" s="73" t="inlineStr">
        <is>
          <t>https://juventud.gob.pe/wp-content/uploads/2022/04/BASE-DE-DATOS-ORGANIZACIONES-JUVENILES-E-INSTITUCIONES-PRIVADAS.xlsx</t>
        </is>
      </c>
      <c r="L69" s="51" t="inlineStr">
        <is>
          <t>CONFIRMADO</t>
        </is>
      </c>
      <c r="M69" s="30" t="n"/>
    </row>
    <row r="70" ht="15.75" customHeight="1" s="182">
      <c r="A70" s="42" t="inlineStr">
        <is>
          <t>Perú</t>
        </is>
      </c>
      <c r="B70" s="15" t="inlineStr">
        <is>
          <t>Organizaciones juveniles</t>
        </is>
      </c>
      <c r="C70" s="73" t="inlineStr">
        <is>
          <t>Organizaciones de voluntariado</t>
        </is>
      </c>
      <c r="D70" s="73" t="inlineStr">
        <is>
          <t>ORGANIZACIÓN DEMOCRÁTICO MUNDIAL POR EL DESARROLLO</t>
        </is>
      </c>
      <c r="E70" s="73" t="n"/>
      <c r="F70" s="73" t="inlineStr">
        <is>
          <t xml:space="preserve">Representante </t>
        </is>
      </c>
      <c r="G70" s="73" t="inlineStr">
        <is>
          <t>https://juventud.gob.pe/wp-content/uploads/2022/04/BASE-DE-DATOS-ORGANIZACIONES-JUVENILES-E-INSTITUCIONES-PRIVADAS.xlsx</t>
        </is>
      </c>
      <c r="H70" s="73" t="inlineStr">
        <is>
          <t>Yudy Lizeth Montes Cahuapaza</t>
        </is>
      </c>
      <c r="I70" s="28" t="inlineStr">
        <is>
          <t>No disponible en fuente oficial</t>
        </is>
      </c>
      <c r="J70" s="73" t="inlineStr">
        <is>
          <t>odm.cajamarca@gmail.com</t>
        </is>
      </c>
      <c r="K70" s="73" t="inlineStr">
        <is>
          <t>https://juventud.gob.pe/wp-content/uploads/2022/04/BASE-DE-DATOS-ORGANIZACIONES-JUVENILES-E-INSTITUCIONES-PRIVADAS.xlsx</t>
        </is>
      </c>
      <c r="L70" s="51" t="inlineStr">
        <is>
          <t>CONFIRMADO</t>
        </is>
      </c>
      <c r="M70" s="30" t="n"/>
    </row>
    <row r="71" ht="15.75" customHeight="1" s="182">
      <c r="A71" s="42" t="inlineStr">
        <is>
          <t>Perú</t>
        </is>
      </c>
      <c r="B71" s="15" t="inlineStr">
        <is>
          <t>Organizaciones juveniles</t>
        </is>
      </c>
      <c r="C71" s="73" t="inlineStr">
        <is>
          <t>Organizaciones de voluntariado</t>
        </is>
      </c>
      <c r="D71" s="73" t="inlineStr">
        <is>
          <t>JÓVENES SIN PERJUICIOS</t>
        </is>
      </c>
      <c r="E71" s="73" t="n"/>
      <c r="F71" s="73" t="inlineStr">
        <is>
          <t xml:space="preserve">Representante </t>
        </is>
      </c>
      <c r="G71" s="73" t="inlineStr">
        <is>
          <t>https://juventud.gob.pe/wp-content/uploads/2022/04/BASE-DE-DATOS-ORGANIZACIONES-JUVENILES-E-INSTITUCIONES-PRIVADAS.xlsx</t>
        </is>
      </c>
      <c r="H71" s="73" t="inlineStr">
        <is>
          <t>Dina Rocio Villanueva Quevedo</t>
        </is>
      </c>
      <c r="I71" s="28" t="inlineStr">
        <is>
          <t>No disponible en fuente oficial</t>
        </is>
      </c>
      <c r="J71" s="73" t="inlineStr">
        <is>
          <t>Jovenessinprejuicios2018@gmail.com</t>
        </is>
      </c>
      <c r="K71" s="73" t="inlineStr">
        <is>
          <t>https://juventud.gob.pe/wp-content/uploads/2022/04/BASE-DE-DATOS-ORGANIZACIONES-JUVENILES-E-INSTITUCIONES-PRIVADAS.xlsx</t>
        </is>
      </c>
      <c r="L71" s="51" t="inlineStr">
        <is>
          <t>CONFIRMADO</t>
        </is>
      </c>
      <c r="M71" s="30" t="n"/>
    </row>
    <row r="72" ht="15.75" customHeight="1" s="182">
      <c r="A72" s="42" t="inlineStr">
        <is>
          <t>Perú</t>
        </is>
      </c>
      <c r="B72" s="15" t="inlineStr">
        <is>
          <t>Organizaciones juveniles</t>
        </is>
      </c>
      <c r="C72" s="73" t="inlineStr">
        <is>
          <t>Organizaciones de voluntariado</t>
        </is>
      </c>
      <c r="D72" s="73" t="inlineStr">
        <is>
          <t>BIO PLAN PROYECTA</t>
        </is>
      </c>
      <c r="E72" s="73" t="n"/>
      <c r="F72" s="73" t="inlineStr">
        <is>
          <t xml:space="preserve">Representante </t>
        </is>
      </c>
      <c r="G72" s="73" t="inlineStr">
        <is>
          <t>https://juventud.gob.pe/wp-content/uploads/2022/04/BASE-DE-DATOS-ORGANIZACIONES-JUVENILES-E-INSTITUCIONES-PRIVADAS.xlsx</t>
        </is>
      </c>
      <c r="H72" s="73" t="inlineStr">
        <is>
          <t>Carlos Miguel Mercado Panduro</t>
        </is>
      </c>
      <c r="I72" s="28" t="inlineStr">
        <is>
          <t>No disponible en fuente oficial</t>
        </is>
      </c>
      <c r="J72" s="73" t="inlineStr">
        <is>
          <t>Bioplan.proyecta@gmail.com</t>
        </is>
      </c>
      <c r="K72" s="73" t="inlineStr">
        <is>
          <t>https://juventud.gob.pe/wp-content/uploads/2022/04/BASE-DE-DATOS-ORGANIZACIONES-JUVENILES-E-INSTITUCIONES-PRIVADAS.xlsx</t>
        </is>
      </c>
      <c r="L72" s="51" t="inlineStr">
        <is>
          <t>CONFIRMADO</t>
        </is>
      </c>
      <c r="M72" s="30" t="n"/>
    </row>
    <row r="73" ht="15.75" customHeight="1" s="182">
      <c r="A73" s="42" t="inlineStr">
        <is>
          <t>Perú</t>
        </is>
      </c>
      <c r="B73" s="15" t="inlineStr">
        <is>
          <t>Organizaciones juveniles</t>
        </is>
      </c>
      <c r="C73" s="73" t="inlineStr">
        <is>
          <t>Organizaciones de voluntariado</t>
        </is>
      </c>
      <c r="D73" s="73" t="inlineStr">
        <is>
          <t>ORGANIZACIÓN REGULADORA DE LA CALIDAD AMBIENTAL - ORCAA CAJAMARCA</t>
        </is>
      </c>
      <c r="E73" s="73" t="n"/>
      <c r="F73" s="73" t="inlineStr">
        <is>
          <t xml:space="preserve">Representante </t>
        </is>
      </c>
      <c r="G73" s="73" t="inlineStr">
        <is>
          <t>https://juventud.gob.pe/wp-content/uploads/2022/04/BASE-DE-DATOS-ORGANIZACIONES-JUVENILES-E-INSTITUCIONES-PRIVADAS.xlsx</t>
        </is>
      </c>
      <c r="H73" s="73" t="inlineStr">
        <is>
          <t>Bruno Bringas Becerra</t>
        </is>
      </c>
      <c r="I73" s="28" t="inlineStr">
        <is>
          <t>No disponible en fuente oficial</t>
        </is>
      </c>
      <c r="J73" s="73" t="inlineStr">
        <is>
          <t>orcaa.peru@gmail.com</t>
        </is>
      </c>
      <c r="K73" s="73" t="inlineStr">
        <is>
          <t>https://juventud.gob.pe/wp-content/uploads/2022/04/BASE-DE-DATOS-ORGANIZACIONES-JUVENILES-E-INSTITUCIONES-PRIVADAS.xlsx</t>
        </is>
      </c>
      <c r="L73" s="51" t="inlineStr">
        <is>
          <t>CONFIRMADO</t>
        </is>
      </c>
      <c r="M73" s="30" t="n"/>
    </row>
    <row r="74" ht="15.75" customHeight="1" s="182">
      <c r="A74" s="42" t="inlineStr">
        <is>
          <t>Perú</t>
        </is>
      </c>
      <c r="B74" s="15" t="inlineStr">
        <is>
          <t>Organizaciones juveniles</t>
        </is>
      </c>
      <c r="C74" s="73" t="inlineStr">
        <is>
          <t>Organizaciones de redes comunitarias o colectivos</t>
        </is>
      </c>
      <c r="D74" s="73" t="inlineStr">
        <is>
          <t>LiDER KICS</t>
        </is>
      </c>
      <c r="E74" s="73" t="n"/>
      <c r="F74" s="73" t="inlineStr">
        <is>
          <t xml:space="preserve">Representante </t>
        </is>
      </c>
      <c r="G74" s="73" t="inlineStr">
        <is>
          <t>https://juventud.gob.pe/wp-content/uploads/2022/04/BASE-DE-DATOS-ORGANIZACIONES-JUVENILES-E-INSTITUCIONES-PRIVADAS.xlsx</t>
        </is>
      </c>
      <c r="H74" s="73" t="inlineStr">
        <is>
          <t>James Eli Silva Fernández</t>
        </is>
      </c>
      <c r="I74" s="28" t="inlineStr">
        <is>
          <t>No disponible en fuente oficial</t>
        </is>
      </c>
      <c r="J74" s="73" t="inlineStr">
        <is>
          <t>elite.coach26@gmail.com</t>
        </is>
      </c>
      <c r="K74" s="73" t="inlineStr">
        <is>
          <t>https://juventud.gob.pe/wp-content/uploads/2022/04/BASE-DE-DATOS-ORGANIZACIONES-JUVENILES-E-INSTITUCIONES-PRIVADAS.xlsx</t>
        </is>
      </c>
      <c r="L74" s="51" t="inlineStr">
        <is>
          <t>CONFIRMADO</t>
        </is>
      </c>
      <c r="M74" s="30" t="n"/>
    </row>
    <row r="75" ht="15.75" customHeight="1" s="182">
      <c r="A75" s="42" t="inlineStr">
        <is>
          <t>Perú</t>
        </is>
      </c>
      <c r="B75" s="15" t="inlineStr">
        <is>
          <t>Organizaciones juveniles</t>
        </is>
      </c>
      <c r="C75" s="73" t="inlineStr">
        <is>
          <t>Organizaciones de voluntariado</t>
        </is>
      </c>
      <c r="D75" s="73" t="inlineStr">
        <is>
          <t>ASOCIACIÓN KAWSAY Q'UMA</t>
        </is>
      </c>
      <c r="E75" s="73" t="n"/>
      <c r="F75" s="73" t="inlineStr">
        <is>
          <t xml:space="preserve">Representante </t>
        </is>
      </c>
      <c r="G75" s="73" t="inlineStr">
        <is>
          <t>https://juventud.gob.pe/wp-content/uploads/2022/04/BASE-DE-DATOS-ORGANIZACIONES-JUVENILES-E-INSTITUCIONES-PRIVADAS.xlsx</t>
        </is>
      </c>
      <c r="H75" s="73" t="inlineStr">
        <is>
          <t>Ever Jonar Vera Araujo</t>
        </is>
      </c>
      <c r="I75" s="28" t="inlineStr">
        <is>
          <t>No disponible en fuente oficial</t>
        </is>
      </c>
      <c r="J75" s="73" t="inlineStr">
        <is>
          <t>ong.kawsay.q@gmail.com</t>
        </is>
      </c>
      <c r="K75" s="73" t="inlineStr">
        <is>
          <t>https://juventud.gob.pe/wp-content/uploads/2022/04/BASE-DE-DATOS-ORGANIZACIONES-JUVENILES-E-INSTITUCIONES-PRIVADAS.xlsx</t>
        </is>
      </c>
      <c r="L75" s="51" t="inlineStr">
        <is>
          <t>CONFIRMADO</t>
        </is>
      </c>
      <c r="M75" s="30" t="n"/>
    </row>
    <row r="76" ht="15.75" customHeight="1" s="182">
      <c r="A76" s="42" t="inlineStr">
        <is>
          <t>Perú</t>
        </is>
      </c>
      <c r="B76" s="15" t="inlineStr">
        <is>
          <t>Organizaciones juveniles</t>
        </is>
      </c>
      <c r="C76" s="73" t="inlineStr">
        <is>
          <t>Organizaciones de voluntariado</t>
        </is>
      </c>
      <c r="D76" s="73" t="inlineStr">
        <is>
          <t>ASOCIACIÓN CIVIL VIVE PSICOLOGÍA</t>
        </is>
      </c>
      <c r="E76" s="73" t="n"/>
      <c r="F76" s="73" t="inlineStr">
        <is>
          <t xml:space="preserve">Representante </t>
        </is>
      </c>
      <c r="G76" s="73" t="inlineStr">
        <is>
          <t>https://juventud.gob.pe/wp-content/uploads/2022/04/BASE-DE-DATOS-ORGANIZACIONES-JUVENILES-E-INSTITUCIONES-PRIVADAS.xlsx</t>
        </is>
      </c>
      <c r="H76" s="73" t="inlineStr">
        <is>
          <t>Anghy Jamalí Indira Vega Rojas</t>
        </is>
      </c>
      <c r="I76" s="28" t="inlineStr">
        <is>
          <t>No disponible en fuente oficial</t>
        </is>
      </c>
      <c r="J76" s="73" t="inlineStr">
        <is>
          <t>fundacionpsicologicavive@gmail.com</t>
        </is>
      </c>
      <c r="K76" s="73" t="inlineStr">
        <is>
          <t>https://juventud.gob.pe/wp-content/uploads/2022/04/BASE-DE-DATOS-ORGANIZACIONES-JUVENILES-E-INSTITUCIONES-PRIVADAS.xlsx</t>
        </is>
      </c>
      <c r="L76" s="51" t="inlineStr">
        <is>
          <t>CONFIRMADO</t>
        </is>
      </c>
      <c r="M76" s="30" t="n"/>
    </row>
    <row r="77" ht="15.75" customHeight="1" s="182">
      <c r="A77" s="42" t="inlineStr">
        <is>
          <t>Perú</t>
        </is>
      </c>
      <c r="B77" s="15" t="inlineStr">
        <is>
          <t>Organizaciones juveniles</t>
        </is>
      </c>
      <c r="C77" s="73" t="inlineStr">
        <is>
          <t>Otros: Sociedad civil en salud</t>
        </is>
      </c>
      <c r="D77" s="73" t="inlineStr">
        <is>
          <t>FORO DE LA SOCIEDAD CIVIL EN SALUD - FORO SALUD</t>
        </is>
      </c>
      <c r="E77" s="73" t="n"/>
      <c r="F77" s="73" t="inlineStr">
        <is>
          <t xml:space="preserve">Representante </t>
        </is>
      </c>
      <c r="G77" s="73" t="inlineStr">
        <is>
          <t>https://juventud.gob.pe/wp-content/uploads/2022/04/BASE-DE-DATOS-ORGANIZACIONES-JUVENILES-E-INSTITUCIONES-PRIVADAS.xlsx</t>
        </is>
      </c>
      <c r="H77" s="73" t="inlineStr">
        <is>
          <t>Maribel Carahuatay Sandoval</t>
        </is>
      </c>
      <c r="I77" s="28" t="inlineStr">
        <is>
          <t>No disponible en fuente oficial</t>
        </is>
      </c>
      <c r="J77" s="73" t="inlineStr">
        <is>
          <t>forosaludc@gmail.com</t>
        </is>
      </c>
      <c r="K77" s="73" t="inlineStr">
        <is>
          <t>https://juventud.gob.pe/wp-content/uploads/2022/04/BASE-DE-DATOS-ORGANIZACIONES-JUVENILES-E-INSTITUCIONES-PRIVADAS.xlsx</t>
        </is>
      </c>
      <c r="L77" s="51" t="inlineStr">
        <is>
          <t>CONFIRMADO</t>
        </is>
      </c>
      <c r="M77" s="30" t="n"/>
    </row>
    <row r="78" ht="15.75" customHeight="1" s="182">
      <c r="A78" s="42" t="inlineStr">
        <is>
          <t>Perú</t>
        </is>
      </c>
      <c r="B78" s="15" t="inlineStr">
        <is>
          <t>Organizaciones juveniles</t>
        </is>
      </c>
      <c r="C78" s="73" t="inlineStr">
        <is>
          <t>Otros: Organización Empresarial</t>
        </is>
      </c>
      <c r="D78" s="73" t="inlineStr">
        <is>
          <t>GESTIÓN GUBERNAMENTAL SOSTENIBLE - GGS</t>
        </is>
      </c>
      <c r="E78" s="73" t="n"/>
      <c r="F78" s="73" t="inlineStr">
        <is>
          <t xml:space="preserve">Representante </t>
        </is>
      </c>
      <c r="G78" s="73" t="inlineStr">
        <is>
          <t>https://juventud.gob.pe/wp-content/uploads/2022/04/BASE-DE-DATOS-ORGANIZACIONES-JUVENILES-E-INSTITUCIONES-PRIVADAS.xlsx</t>
        </is>
      </c>
      <c r="H78" s="73" t="inlineStr">
        <is>
          <t>José Luis Vásquez Correa</t>
        </is>
      </c>
      <c r="I78" s="28" t="inlineStr">
        <is>
          <t>No disponible en fuente oficial</t>
        </is>
      </c>
      <c r="J78" s="73" t="inlineStr">
        <is>
          <t>calidad.ggs1@gmail.com</t>
        </is>
      </c>
      <c r="K78" s="73" t="inlineStr">
        <is>
          <t>https://juventud.gob.pe/wp-content/uploads/2022/04/BASE-DE-DATOS-ORGANIZACIONES-JUVENILES-E-INSTITUCIONES-PRIVADAS.xlsx</t>
        </is>
      </c>
      <c r="L78" s="51" t="inlineStr">
        <is>
          <t>CONFIRMADO</t>
        </is>
      </c>
      <c r="M78" s="30" t="n"/>
    </row>
    <row r="79" ht="15.75" customHeight="1" s="182">
      <c r="A79" s="42" t="inlineStr">
        <is>
          <t>Perú</t>
        </is>
      </c>
      <c r="B79" s="15" t="inlineStr">
        <is>
          <t>Organizaciones juveniles</t>
        </is>
      </c>
      <c r="C79" s="73" t="inlineStr">
        <is>
          <t>Organizaciones de estudiantes (escolar, universitario, tecnológico, artístico o pedagógico)</t>
        </is>
      </c>
      <c r="D79" s="73" t="inlineStr">
        <is>
          <t>COLECTIVO RUNI</t>
        </is>
      </c>
      <c r="E79" s="73" t="n"/>
      <c r="F79" s="73" t="inlineStr">
        <is>
          <t xml:space="preserve">Representante </t>
        </is>
      </c>
      <c r="G79" s="73" t="inlineStr">
        <is>
          <t>https://juventud.gob.pe/wp-content/uploads/2022/04/BASE-DE-DATOS-ORGANIZACIONES-JUVENILES-E-INSTITUCIONES-PRIVADAS.xlsx</t>
        </is>
      </c>
      <c r="H79" s="73" t="inlineStr">
        <is>
          <t>Camila Graciela Bullon Ruiz</t>
        </is>
      </c>
      <c r="I79" s="28" t="inlineStr">
        <is>
          <t>No disponible en fuente oficial</t>
        </is>
      </c>
      <c r="J79" s="73" t="inlineStr">
        <is>
          <t>runi.org@gmail.com</t>
        </is>
      </c>
      <c r="K79" s="73" t="inlineStr">
        <is>
          <t>https://juventud.gob.pe/wp-content/uploads/2022/04/BASE-DE-DATOS-ORGANIZACIONES-JUVENILES-E-INSTITUCIONES-PRIVADAS.xlsx</t>
        </is>
      </c>
      <c r="L79" s="51" t="inlineStr">
        <is>
          <t>CONFIRMADO</t>
        </is>
      </c>
      <c r="M79" s="30" t="n"/>
    </row>
    <row r="80" ht="15.75" customHeight="1" s="182">
      <c r="A80" s="42" t="inlineStr">
        <is>
          <t>Perú</t>
        </is>
      </c>
      <c r="B80" s="15" t="inlineStr">
        <is>
          <t>Organizaciones juveniles</t>
        </is>
      </c>
      <c r="C80" s="73" t="inlineStr">
        <is>
          <t>Organizaciones de estudiantes (escolar, universitario, tecnológico, artístico o pedagógico)</t>
        </is>
      </c>
      <c r="D80" s="73" t="inlineStr">
        <is>
          <t>ORGANIZACIÓN KALLAM BLACKS CREW</t>
        </is>
      </c>
      <c r="E80" s="73" t="n"/>
      <c r="F80" s="73" t="inlineStr">
        <is>
          <t xml:space="preserve">Representante </t>
        </is>
      </c>
      <c r="G80" s="73" t="inlineStr">
        <is>
          <t>https://juventud.gob.pe/wp-content/uploads/2022/04/BASE-DE-DATOS-ORGANIZACIONES-JUVENILES-E-INSTITUCIONES-PRIVADAS.xlsx</t>
        </is>
      </c>
      <c r="H80" s="73" t="inlineStr">
        <is>
          <t>Robert Alexander Domínguez Estrella</t>
        </is>
      </c>
      <c r="I80" s="28" t="inlineStr">
        <is>
          <t>No disponible en fuente oficial</t>
        </is>
      </c>
      <c r="J80" s="73" t="inlineStr">
        <is>
          <t>robdominguez6@gmail.com</t>
        </is>
      </c>
      <c r="K80" s="73" t="inlineStr">
        <is>
          <t>https://juventud.gob.pe/wp-content/uploads/2022/04/BASE-DE-DATOS-ORGANIZACIONES-JUVENILES-E-INSTITUCIONES-PRIVADAS.xlsx</t>
        </is>
      </c>
      <c r="L80" s="51" t="inlineStr">
        <is>
          <t>CONFIRMADO</t>
        </is>
      </c>
      <c r="M80" s="30" t="n"/>
    </row>
    <row r="81" ht="15.75" customHeight="1" s="182">
      <c r="A81" s="42" t="inlineStr">
        <is>
          <t>Perú</t>
        </is>
      </c>
      <c r="B81" s="15" t="inlineStr">
        <is>
          <t>Organizaciones juveniles</t>
        </is>
      </c>
      <c r="C81" s="73" t="inlineStr">
        <is>
          <t>Otros: Organización juvenil conformada por jóvenes chalacos representantes de organizaciones políticas, sociales e independientes con solvencia moral y ética.</t>
        </is>
      </c>
      <c r="D81" s="73" t="inlineStr">
        <is>
          <t>RED NACIONAL DE ACTORES POLÍTICOS JÓVENES DEL CALLAO - RENAPJ CALLAO</t>
        </is>
      </c>
      <c r="E81" s="73" t="n"/>
      <c r="F81" s="73" t="inlineStr">
        <is>
          <t xml:space="preserve">Representante </t>
        </is>
      </c>
      <c r="G81" s="73" t="inlineStr">
        <is>
          <t>https://juventud.gob.pe/wp-content/uploads/2022/04/BASE-DE-DATOS-ORGANIZACIONES-JUVENILES-E-INSTITUCIONES-PRIVADAS.xlsx</t>
        </is>
      </c>
      <c r="H81" s="73" t="inlineStr">
        <is>
          <t>Ernesto Jr Solano Montoya</t>
        </is>
      </c>
      <c r="I81" s="28" t="inlineStr">
        <is>
          <t>No disponible en fuente oficial</t>
        </is>
      </c>
      <c r="J81" s="73" t="inlineStr">
        <is>
          <t>renapj.callao@gmail.com</t>
        </is>
      </c>
      <c r="K81" s="73" t="inlineStr">
        <is>
          <t>https://juventud.gob.pe/wp-content/uploads/2022/04/BASE-DE-DATOS-ORGANIZACIONES-JUVENILES-E-INSTITUCIONES-PRIVADAS.xlsx</t>
        </is>
      </c>
      <c r="L81" s="51" t="inlineStr">
        <is>
          <t>CONFIRMADO</t>
        </is>
      </c>
      <c r="M81" s="30" t="n"/>
    </row>
    <row r="82" ht="15.75" customHeight="1" s="182">
      <c r="A82" s="42" t="inlineStr">
        <is>
          <t>Perú</t>
        </is>
      </c>
      <c r="B82" s="15" t="inlineStr">
        <is>
          <t>Organizaciones juveniles</t>
        </is>
      </c>
      <c r="C82" s="73" t="inlineStr">
        <is>
          <t>Organizaciones de voluntariado</t>
        </is>
      </c>
      <c r="D82" s="73" t="inlineStr">
        <is>
          <t>ORGANIZACIÓN JUVENIL ASEZ</t>
        </is>
      </c>
      <c r="E82" s="73" t="n"/>
      <c r="F82" s="73" t="inlineStr">
        <is>
          <t xml:space="preserve">Representante </t>
        </is>
      </c>
      <c r="G82" s="73" t="inlineStr">
        <is>
          <t>https://juventud.gob.pe/wp-content/uploads/2022/04/BASE-DE-DATOS-ORGANIZACIONES-JUVENILES-E-INSTITUCIONES-PRIVADAS.xlsx</t>
        </is>
      </c>
      <c r="H82" s="73" t="inlineStr">
        <is>
          <t>Anthony Fredrick Gamarra Ubaldo</t>
        </is>
      </c>
      <c r="I82" s="28" t="inlineStr">
        <is>
          <t>No disponible en fuente oficial</t>
        </is>
      </c>
      <c r="J82" s="73" t="inlineStr">
        <is>
          <t>Anthonygamarra9888@gmail.com</t>
        </is>
      </c>
      <c r="K82" s="73" t="inlineStr">
        <is>
          <t>https://juventud.gob.pe/wp-content/uploads/2022/04/BASE-DE-DATOS-ORGANIZACIONES-JUVENILES-E-INSTITUCIONES-PRIVADAS.xlsx</t>
        </is>
      </c>
      <c r="L82" s="51" t="inlineStr">
        <is>
          <t>CONFIRMADO</t>
        </is>
      </c>
      <c r="M82" s="30" t="n"/>
    </row>
    <row r="83" ht="15.75" customHeight="1" s="182">
      <c r="A83" s="42" t="inlineStr">
        <is>
          <t>Perú</t>
        </is>
      </c>
      <c r="B83" s="15" t="inlineStr">
        <is>
          <t>Organizaciones juveniles</t>
        </is>
      </c>
      <c r="C83" s="73" t="inlineStr">
        <is>
          <t>Organizaciones de voluntariado</t>
        </is>
      </c>
      <c r="D83" s="73" t="inlineStr">
        <is>
          <t>ASEW WAO</t>
        </is>
      </c>
      <c r="E83" s="73" t="n"/>
      <c r="F83" s="73" t="inlineStr">
        <is>
          <t xml:space="preserve">Representante </t>
        </is>
      </c>
      <c r="G83" s="73" t="inlineStr">
        <is>
          <t>https://juventud.gob.pe/wp-content/uploads/2022/04/BASE-DE-DATOS-ORGANIZACIONES-JUVENILES-E-INSTITUCIONES-PRIVADAS.xlsx</t>
        </is>
      </c>
      <c r="H83" s="73" t="inlineStr">
        <is>
          <t>Romina Sigrid Catay Terreros</t>
        </is>
      </c>
      <c r="I83" s="28" t="inlineStr">
        <is>
          <t>No disponible en fuente oficial</t>
        </is>
      </c>
      <c r="J83" s="73" t="inlineStr">
        <is>
          <t>Romina.catay@gmail.com</t>
        </is>
      </c>
      <c r="K83" s="73" t="inlineStr">
        <is>
          <t>https://juventud.gob.pe/wp-content/uploads/2022/04/BASE-DE-DATOS-ORGANIZACIONES-JUVENILES-E-INSTITUCIONES-PRIVADAS.xlsx</t>
        </is>
      </c>
      <c r="L83" s="51" t="inlineStr">
        <is>
          <t>CONFIRMADO</t>
        </is>
      </c>
      <c r="M83" s="30" t="n"/>
    </row>
    <row r="84" ht="15.75" customHeight="1" s="182">
      <c r="A84" s="42" t="inlineStr">
        <is>
          <t>Perú</t>
        </is>
      </c>
      <c r="B84" s="15" t="inlineStr">
        <is>
          <t>Organizaciones juveniles</t>
        </is>
      </c>
      <c r="C84" s="73" t="inlineStr">
        <is>
          <t>Organizaciones de estudiantes (escolar, universitario, tecnológico, artístico o pedagógico)</t>
        </is>
      </c>
      <c r="D84" s="73" t="inlineStr">
        <is>
          <t>ASOCIACIÓN DE ESTUDIANTES, TÉCNICOS Y PROFESIONALES DE MI PERÚ - ASETP</t>
        </is>
      </c>
      <c r="E84" s="73" t="n"/>
      <c r="F84" s="73" t="inlineStr">
        <is>
          <t xml:space="preserve">Representante </t>
        </is>
      </c>
      <c r="G84" s="73" t="inlineStr">
        <is>
          <t>https://juventud.gob.pe/wp-content/uploads/2022/04/BASE-DE-DATOS-ORGANIZACIONES-JUVENILES-E-INSTITUCIONES-PRIVADAS.xlsx</t>
        </is>
      </c>
      <c r="H84" s="73" t="inlineStr">
        <is>
          <t>Diana Carmen Céspedes Céspedes</t>
        </is>
      </c>
      <c r="I84" s="28" t="inlineStr">
        <is>
          <t>No disponible en fuente oficial</t>
        </is>
      </c>
      <c r="J84" s="73" t="inlineStr">
        <is>
          <t>asetpmiperu@gmail.com</t>
        </is>
      </c>
      <c r="K84" s="73" t="inlineStr">
        <is>
          <t>https://juventud.gob.pe/wp-content/uploads/2022/04/BASE-DE-DATOS-ORGANIZACIONES-JUVENILES-E-INSTITUCIONES-PRIVADAS.xlsx</t>
        </is>
      </c>
      <c r="L84" s="51" t="inlineStr">
        <is>
          <t>CONFIRMADO</t>
        </is>
      </c>
      <c r="M84" s="30" t="n"/>
    </row>
    <row r="85" ht="15.75" customHeight="1" s="182">
      <c r="A85" s="42" t="inlineStr">
        <is>
          <t>Perú</t>
        </is>
      </c>
      <c r="B85" s="15" t="inlineStr">
        <is>
          <t>Organizaciones juveniles</t>
        </is>
      </c>
      <c r="C85" s="73" t="inlineStr">
        <is>
          <t>Organización del ámbito deportivo</t>
        </is>
      </c>
      <c r="D85" s="73" t="inlineStr">
        <is>
          <t>ACADEMÍA DE FÚTBOL "CARAV"</t>
        </is>
      </c>
      <c r="E85" s="73" t="n"/>
      <c r="F85" s="73" t="inlineStr">
        <is>
          <t xml:space="preserve">Representante </t>
        </is>
      </c>
      <c r="G85" s="73" t="inlineStr">
        <is>
          <t>https://juventud.gob.pe/wp-content/uploads/2022/04/BASE-DE-DATOS-ORGANIZACIONES-JUVENILES-E-INSTITUCIONES-PRIVADAS.xlsx</t>
        </is>
      </c>
      <c r="H85" s="73" t="inlineStr">
        <is>
          <t>Anderson Martin Burgos Villanueva</t>
        </is>
      </c>
      <c r="I85" s="28" t="inlineStr">
        <is>
          <t>No disponible en fuente oficial</t>
        </is>
      </c>
      <c r="J85" s="73" t="inlineStr">
        <is>
          <t>Gatovaldizan@hotmail.com</t>
        </is>
      </c>
      <c r="K85" s="73" t="inlineStr">
        <is>
          <t>https://juventud.gob.pe/wp-content/uploads/2022/04/BASE-DE-DATOS-ORGANIZACIONES-JUVENILES-E-INSTITUCIONES-PRIVADAS.xlsx</t>
        </is>
      </c>
      <c r="L85" s="51" t="inlineStr">
        <is>
          <t>CONFIRMADO</t>
        </is>
      </c>
      <c r="M85" s="30" t="n"/>
    </row>
    <row r="86" ht="15.75" customHeight="1" s="182">
      <c r="A86" s="42" t="inlineStr">
        <is>
          <t>Perú</t>
        </is>
      </c>
      <c r="B86" s="15" t="inlineStr">
        <is>
          <t>Organizaciones juveniles</t>
        </is>
      </c>
      <c r="C86" s="73" t="inlineStr">
        <is>
          <t>Organizaciones de voluntariado</t>
        </is>
      </c>
      <c r="D86" s="73" t="inlineStr">
        <is>
          <t>ACADEMÍA JESSBOL</t>
        </is>
      </c>
      <c r="E86" s="73" t="n"/>
      <c r="F86" s="73" t="inlineStr">
        <is>
          <t xml:space="preserve">Representante </t>
        </is>
      </c>
      <c r="G86" s="73" t="inlineStr">
        <is>
          <t>https://juventud.gob.pe/wp-content/uploads/2022/04/BASE-DE-DATOS-ORGANIZACIONES-JUVENILES-E-INSTITUCIONES-PRIVADAS.xlsx</t>
        </is>
      </c>
      <c r="H86" s="73" t="inlineStr">
        <is>
          <t>Milagros Leyla Bazalar Zavala</t>
        </is>
      </c>
      <c r="I86" s="28" t="inlineStr">
        <is>
          <t>No disponible en fuente oficial</t>
        </is>
      </c>
      <c r="J86" s="73" t="inlineStr">
        <is>
          <t>academiajessbol5@gmail.com</t>
        </is>
      </c>
      <c r="K86" s="73" t="inlineStr">
        <is>
          <t>https://juventud.gob.pe/wp-content/uploads/2022/04/BASE-DE-DATOS-ORGANIZACIONES-JUVENILES-E-INSTITUCIONES-PRIVADAS.xlsx</t>
        </is>
      </c>
      <c r="L86" s="51" t="inlineStr">
        <is>
          <t>CONFIRMADO</t>
        </is>
      </c>
      <c r="M86" s="30" t="n"/>
    </row>
    <row r="87" ht="15.75" customHeight="1" s="182">
      <c r="A87" s="42" t="inlineStr">
        <is>
          <t>Perú</t>
        </is>
      </c>
      <c r="B87" s="15" t="inlineStr">
        <is>
          <t>Organizaciones juveniles</t>
        </is>
      </c>
      <c r="C87" s="73" t="inlineStr">
        <is>
          <t>Organización del ámbito deportivo</t>
        </is>
      </c>
      <c r="D87" s="73" t="inlineStr">
        <is>
          <t>F.C. AMÉRICA LATINA</t>
        </is>
      </c>
      <c r="E87" s="73" t="n"/>
      <c r="F87" s="73" t="inlineStr">
        <is>
          <t xml:space="preserve">Representante </t>
        </is>
      </c>
      <c r="G87" s="73" t="inlineStr">
        <is>
          <t>https://juventud.gob.pe/wp-content/uploads/2022/04/BASE-DE-DATOS-ORGANIZACIONES-JUVENILES-E-INSTITUCIONES-PRIVADAS.xlsx</t>
        </is>
      </c>
      <c r="H87" s="73" t="inlineStr">
        <is>
          <t>Berkeley Maykier Cavero Medina</t>
        </is>
      </c>
      <c r="I87" s="28" t="inlineStr">
        <is>
          <t>No disponible en fuente oficial</t>
        </is>
      </c>
      <c r="J87" s="73" t="inlineStr">
        <is>
          <t>Americalatina1988@hotmail.com</t>
        </is>
      </c>
      <c r="K87" s="73" t="inlineStr">
        <is>
          <t>https://juventud.gob.pe/wp-content/uploads/2022/04/BASE-DE-DATOS-ORGANIZACIONES-JUVENILES-E-INSTITUCIONES-PRIVADAS.xlsx</t>
        </is>
      </c>
      <c r="L87" s="51" t="inlineStr">
        <is>
          <t>CONFIRMADO</t>
        </is>
      </c>
      <c r="M87" s="30" t="n"/>
    </row>
    <row r="88" ht="15.75" customHeight="1" s="182">
      <c r="A88" s="42" t="inlineStr">
        <is>
          <t>Perú</t>
        </is>
      </c>
      <c r="B88" s="15" t="inlineStr">
        <is>
          <t>Organizaciones juveniles</t>
        </is>
      </c>
      <c r="C88" s="73" t="inlineStr">
        <is>
          <t>Organización del ámbito deportivo</t>
        </is>
      </c>
      <c r="D88" s="73" t="inlineStr">
        <is>
          <t>ATLETISMO - UNAC</t>
        </is>
      </c>
      <c r="E88" s="73" t="n"/>
      <c r="F88" s="73" t="inlineStr">
        <is>
          <t xml:space="preserve">Representante </t>
        </is>
      </c>
      <c r="G88" s="73" t="inlineStr">
        <is>
          <t>https://juventud.gob.pe/wp-content/uploads/2022/04/BASE-DE-DATOS-ORGANIZACIONES-JUVENILES-E-INSTITUCIONES-PRIVADAS.xlsx</t>
        </is>
      </c>
      <c r="H88" s="73" t="inlineStr">
        <is>
          <t>Aldair Huamanchumo Zegarra</t>
        </is>
      </c>
      <c r="I88" s="28" t="inlineStr">
        <is>
          <t>No disponible en fuente oficial</t>
        </is>
      </c>
      <c r="J88" s="73" t="inlineStr">
        <is>
          <t>ALDAIRDENILZON587@GMAIL.COM</t>
        </is>
      </c>
      <c r="K88" s="73" t="inlineStr">
        <is>
          <t>https://juventud.gob.pe/wp-content/uploads/2022/04/BASE-DE-DATOS-ORGANIZACIONES-JUVENILES-E-INSTITUCIONES-PRIVADAS.xlsx</t>
        </is>
      </c>
      <c r="L88" s="51" t="inlineStr">
        <is>
          <t>CONFIRMADO</t>
        </is>
      </c>
      <c r="M88" s="30" t="n"/>
    </row>
    <row r="89" ht="15.75" customHeight="1" s="182">
      <c r="A89" s="42" t="inlineStr">
        <is>
          <t>Perú</t>
        </is>
      </c>
      <c r="B89" s="15" t="inlineStr">
        <is>
          <t>Organizaciones juveniles</t>
        </is>
      </c>
      <c r="C89" s="73" t="inlineStr">
        <is>
          <t>Organización de investigadores académicos</t>
        </is>
      </c>
      <c r="D89" s="73" t="inlineStr">
        <is>
          <t>RESEARCH ENVIRONMENTAL - SYNERGIE UNAC</t>
        </is>
      </c>
      <c r="E89" s="73" t="n"/>
      <c r="F89" s="73" t="inlineStr">
        <is>
          <t xml:space="preserve">Representante </t>
        </is>
      </c>
      <c r="G89" s="73" t="inlineStr">
        <is>
          <t>https://juventud.gob.pe/wp-content/uploads/2022/04/BASE-DE-DATOS-ORGANIZACIONES-JUVENILES-E-INSTITUCIONES-PRIVADAS.xlsx</t>
        </is>
      </c>
      <c r="H89" s="73" t="inlineStr">
        <is>
          <t>Roberto Antonio Muñoz Llanos</t>
        </is>
      </c>
      <c r="I89" s="28" t="inlineStr">
        <is>
          <t>No disponible en fuente oficial</t>
        </is>
      </c>
      <c r="J89" s="73" t="inlineStr">
        <is>
          <t>r.munhoz.23@hotmail.com</t>
        </is>
      </c>
      <c r="K89" s="73" t="inlineStr">
        <is>
          <t>https://juventud.gob.pe/wp-content/uploads/2022/04/BASE-DE-DATOS-ORGANIZACIONES-JUVENILES-E-INSTITUCIONES-PRIVADAS.xlsx</t>
        </is>
      </c>
      <c r="L89" s="51" t="inlineStr">
        <is>
          <t>CONFIRMADO</t>
        </is>
      </c>
      <c r="M89" s="30" t="n"/>
    </row>
    <row r="90" ht="15.75" customHeight="1" s="182">
      <c r="A90" s="42" t="inlineStr">
        <is>
          <t>Perú</t>
        </is>
      </c>
      <c r="B90" s="15" t="inlineStr">
        <is>
          <t>Organizaciones juveniles</t>
        </is>
      </c>
      <c r="C90" s="73" t="inlineStr">
        <is>
          <t>Organización artística y/o cultural</t>
        </is>
      </c>
      <c r="D90" s="73" t="inlineStr">
        <is>
          <t>ASOCIACIÓN CASA JUVENIL PACHACUTEC - ACJP - THE SOURCE</t>
        </is>
      </c>
      <c r="E90" s="73" t="n"/>
      <c r="F90" s="73" t="inlineStr">
        <is>
          <t xml:space="preserve">Representante </t>
        </is>
      </c>
      <c r="G90" s="73" t="inlineStr">
        <is>
          <t>https://juventud.gob.pe/wp-content/uploads/2022/04/BASE-DE-DATOS-ORGANIZACIONES-JUVENILES-E-INSTITUCIONES-PRIVADAS.xlsx</t>
        </is>
      </c>
      <c r="H90" s="73" t="inlineStr">
        <is>
          <t>César Leonardo Mozo Loli</t>
        </is>
      </c>
      <c r="I90" s="28" t="inlineStr">
        <is>
          <t>No disponible en fuente oficial</t>
        </is>
      </c>
      <c r="J90" s="73" t="inlineStr">
        <is>
          <t>casajuvenilpachacutec@hotmail.com</t>
        </is>
      </c>
      <c r="K90" s="73" t="inlineStr">
        <is>
          <t>https://juventud.gob.pe/wp-content/uploads/2022/04/BASE-DE-DATOS-ORGANIZACIONES-JUVENILES-E-INSTITUCIONES-PRIVADAS.xlsx</t>
        </is>
      </c>
      <c r="L90" s="51" t="inlineStr">
        <is>
          <t>CONFIRMADO</t>
        </is>
      </c>
      <c r="M90" s="30" t="n"/>
    </row>
    <row r="91" ht="15.75" customHeight="1" s="182">
      <c r="A91" s="42" t="inlineStr">
        <is>
          <t>Perú</t>
        </is>
      </c>
      <c r="B91" s="15" t="inlineStr">
        <is>
          <t>Organizaciones juveniles</t>
        </is>
      </c>
      <c r="C91" s="73" t="inlineStr">
        <is>
          <t>Organización artístIca y/o cultural</t>
        </is>
      </c>
      <c r="D91" s="73" t="inlineStr">
        <is>
          <t>BITOCA ATITUDE CAPOEIRA</t>
        </is>
      </c>
      <c r="E91" s="73" t="n"/>
      <c r="F91" s="73" t="inlineStr">
        <is>
          <t xml:space="preserve">Representante </t>
        </is>
      </c>
      <c r="G91" s="73" t="inlineStr">
        <is>
          <t>https://juventud.gob.pe/wp-content/uploads/2022/04/BASE-DE-DATOS-ORGANIZACIONES-JUVENILES-E-INSTITUCIONES-PRIVADAS.xlsx</t>
        </is>
      </c>
      <c r="H91" s="73" t="inlineStr">
        <is>
          <t>Luis Miguel Rios Pérez</t>
        </is>
      </c>
      <c r="I91" s="28" t="inlineStr">
        <is>
          <t>No disponible en fuente oficial</t>
        </is>
      </c>
      <c r="J91" s="183" t="inlineStr">
        <is>
          <t>ured.2018@hotmail.com</t>
        </is>
      </c>
      <c r="K91" s="73" t="inlineStr">
        <is>
          <t>https://juventud.gob.pe/wp-content/uploads/2022/04/BASE-DE-DATOS-ORGANIZACIONES-JUVENILES-E-INSTITUCIONES-PRIVADAS.xlsx</t>
        </is>
      </c>
      <c r="L91" s="51" t="inlineStr">
        <is>
          <t>CONFIRMADO</t>
        </is>
      </c>
      <c r="M91" s="184" t="inlineStr">
        <is>
          <t>Auditoría 08-oct-2026: Email corregido (coma→punto).</t>
        </is>
      </c>
    </row>
    <row r="92" ht="15.75" customHeight="1" s="182">
      <c r="A92" s="42" t="inlineStr">
        <is>
          <t>Perú</t>
        </is>
      </c>
      <c r="B92" s="15" t="inlineStr">
        <is>
          <t>Organizaciones juveniles</t>
        </is>
      </c>
      <c r="C92" s="73" t="inlineStr">
        <is>
          <t>Organización de personas con discapacidad</t>
        </is>
      </c>
      <c r="D92" s="73" t="inlineStr">
        <is>
          <t>CALLAO QUERIDO</t>
        </is>
      </c>
      <c r="E92" s="73" t="n"/>
      <c r="F92" s="73" t="inlineStr">
        <is>
          <t xml:space="preserve">Representante </t>
        </is>
      </c>
      <c r="G92" s="73" t="inlineStr">
        <is>
          <t>https://juventud.gob.pe/wp-content/uploads/2022/04/BASE-DE-DATOS-ORGANIZACIONES-JUVENILES-E-INSTITUCIONES-PRIVADAS.xlsx</t>
        </is>
      </c>
      <c r="H92" s="73" t="inlineStr">
        <is>
          <t>Fernando Paulo Barrueto Bravo</t>
        </is>
      </c>
      <c r="I92" s="28" t="inlineStr">
        <is>
          <t>No disponible en fuente oficial</t>
        </is>
      </c>
      <c r="J92" s="73" t="inlineStr">
        <is>
          <t>MULTISER42@GMAIL.COM</t>
        </is>
      </c>
      <c r="K92" s="73" t="inlineStr">
        <is>
          <t>https://juventud.gob.pe/wp-content/uploads/2022/04/BASE-DE-DATOS-ORGANIZACIONES-JUVENILES-E-INSTITUCIONES-PRIVADAS.xlsx</t>
        </is>
      </c>
      <c r="L92" s="51" t="inlineStr">
        <is>
          <t>CONFIRMADO</t>
        </is>
      </c>
      <c r="M92" s="30" t="n"/>
    </row>
    <row r="93" ht="15.75" customHeight="1" s="182">
      <c r="A93" s="42" t="inlineStr">
        <is>
          <t>Perú</t>
        </is>
      </c>
      <c r="B93" s="15" t="inlineStr">
        <is>
          <t>Organizaciones juveniles</t>
        </is>
      </c>
      <c r="C93" s="73" t="inlineStr">
        <is>
          <t>Organización artística y/o cultural</t>
        </is>
      </c>
      <c r="D93" s="73" t="inlineStr">
        <is>
          <t>COMUNIDAD CALLAO UNDERGROUND</t>
        </is>
      </c>
      <c r="E93" s="73" t="n"/>
      <c r="F93" s="73" t="inlineStr">
        <is>
          <t xml:space="preserve">Representante </t>
        </is>
      </c>
      <c r="G93" s="73" t="inlineStr">
        <is>
          <t>https://juventud.gob.pe/wp-content/uploads/2022/04/BASE-DE-DATOS-ORGANIZACIONES-JUVENILES-E-INSTITUCIONES-PRIVADAS.xlsx</t>
        </is>
      </c>
      <c r="H93" s="73" t="inlineStr">
        <is>
          <t>Camila Rosely Brizuela Cisneros</t>
        </is>
      </c>
      <c r="I93" s="28" t="inlineStr">
        <is>
          <t>No disponible en fuente oficial</t>
        </is>
      </c>
      <c r="J93" s="73" t="inlineStr">
        <is>
          <t>ccu.hiphop@gmail.com</t>
        </is>
      </c>
      <c r="K93" s="73" t="inlineStr">
        <is>
          <t>https://juventud.gob.pe/wp-content/uploads/2022/04/BASE-DE-DATOS-ORGANIZACIONES-JUVENILES-E-INSTITUCIONES-PRIVADAS.xlsx</t>
        </is>
      </c>
      <c r="L93" s="51" t="inlineStr">
        <is>
          <t>CONFIRMADO</t>
        </is>
      </c>
      <c r="M93" s="30" t="n"/>
    </row>
    <row r="94" ht="15.75" customHeight="1" s="182">
      <c r="A94" s="42" t="inlineStr">
        <is>
          <t>Perú</t>
        </is>
      </c>
      <c r="B94" s="15" t="inlineStr">
        <is>
          <t>Organizaciones juveniles</t>
        </is>
      </c>
      <c r="C94" s="73" t="inlineStr">
        <is>
          <t>Organización artística y/o cultural</t>
        </is>
      </c>
      <c r="D94" s="73" t="inlineStr">
        <is>
          <t>ORGANIZACIÓN JUVENIL CULTURAL - GENEY</t>
        </is>
      </c>
      <c r="E94" s="73" t="n"/>
      <c r="F94" s="73" t="inlineStr">
        <is>
          <t xml:space="preserve">Representante </t>
        </is>
      </c>
      <c r="G94" s="73" t="inlineStr">
        <is>
          <t>https://juventud.gob.pe/wp-content/uploads/2022/04/BASE-DE-DATOS-ORGANIZACIONES-JUVENILES-E-INSTITUCIONES-PRIVADAS.xlsx</t>
        </is>
      </c>
      <c r="H94" s="73" t="inlineStr">
        <is>
          <t>Angie Stefanny Oliva Miro</t>
        </is>
      </c>
      <c r="I94" s="28" t="inlineStr">
        <is>
          <t>No disponible en fuente oficial</t>
        </is>
      </c>
      <c r="J94" s="73" t="inlineStr">
        <is>
          <t>angieoliva22@hotmail.com</t>
        </is>
      </c>
      <c r="K94" s="73" t="inlineStr">
        <is>
          <t>https://juventud.gob.pe/wp-content/uploads/2022/04/BASE-DE-DATOS-ORGANIZACIONES-JUVENILES-E-INSTITUCIONES-PRIVADAS.xlsx</t>
        </is>
      </c>
      <c r="L94" s="51" t="inlineStr">
        <is>
          <t>CONFIRMADO</t>
        </is>
      </c>
      <c r="M94" s="30" t="n"/>
    </row>
    <row r="95" ht="15.75" customHeight="1" s="182">
      <c r="A95" s="42" t="inlineStr">
        <is>
          <t>Perú</t>
        </is>
      </c>
      <c r="B95" s="15" t="inlineStr">
        <is>
          <t>Organizaciones juveniles</t>
        </is>
      </c>
      <c r="C95" s="73" t="inlineStr">
        <is>
          <t>Organización artístIca y/o cultural</t>
        </is>
      </c>
      <c r="D95" s="73" t="inlineStr">
        <is>
          <t>AGRUPACIÓN FOLKLÓRICA - EXPRESARTE</t>
        </is>
      </c>
      <c r="E95" s="73" t="n"/>
      <c r="F95" s="73" t="inlineStr">
        <is>
          <t xml:space="preserve">Representante </t>
        </is>
      </c>
      <c r="G95" s="73" t="inlineStr">
        <is>
          <t>https://juventud.gob.pe/wp-content/uploads/2022/04/BASE-DE-DATOS-ORGANIZACIONES-JUVENILES-E-INSTITUCIONES-PRIVADAS.xlsx</t>
        </is>
      </c>
      <c r="H95" s="73" t="inlineStr">
        <is>
          <t>Efrain Rodriguez OrIcay</t>
        </is>
      </c>
      <c r="I95" s="28" t="inlineStr">
        <is>
          <t>No disponible en fuente oficial</t>
        </is>
      </c>
      <c r="J95" s="73" t="inlineStr">
        <is>
          <t>rodriguezorIcay2611@gmail.com</t>
        </is>
      </c>
      <c r="K95" s="73" t="inlineStr">
        <is>
          <t>https://juventud.gob.pe/wp-content/uploads/2022/04/BASE-DE-DATOS-ORGANIZACIONES-JUVENILES-E-INSTITUCIONES-PRIVADAS.xlsx</t>
        </is>
      </c>
      <c r="L95" s="51" t="inlineStr">
        <is>
          <t>CONFIRMADO</t>
        </is>
      </c>
      <c r="M95" s="30" t="n"/>
    </row>
    <row r="96" ht="15.75" customHeight="1" s="182">
      <c r="A96" s="42" t="inlineStr">
        <is>
          <t>Perú</t>
        </is>
      </c>
      <c r="B96" s="15" t="inlineStr">
        <is>
          <t>Organizaciones juveniles</t>
        </is>
      </c>
      <c r="C96" s="73" t="inlineStr">
        <is>
          <t>Organización del ámbito deportivo</t>
        </is>
      </c>
      <c r="D96" s="73" t="inlineStr">
        <is>
          <t>CLUB GIRLS SPORT SOCCER</t>
        </is>
      </c>
      <c r="E96" s="73" t="n"/>
      <c r="F96" s="73" t="inlineStr">
        <is>
          <t xml:space="preserve">Representante </t>
        </is>
      </c>
      <c r="G96" s="73" t="inlineStr">
        <is>
          <t>https://juventud.gob.pe/wp-content/uploads/2022/04/BASE-DE-DATOS-ORGANIZACIONES-JUVENILES-E-INSTITUCIONES-PRIVADAS.xlsx</t>
        </is>
      </c>
      <c r="H96" s="73" t="inlineStr">
        <is>
          <t>Adriana Alfaro Pariona</t>
        </is>
      </c>
      <c r="I96" s="28" t="inlineStr">
        <is>
          <t>No disponible en fuente oficial</t>
        </is>
      </c>
      <c r="J96" s="73" t="inlineStr">
        <is>
          <t>alqueda3@hotmail.com</t>
        </is>
      </c>
      <c r="K96" s="73" t="inlineStr">
        <is>
          <t>https://juventud.gob.pe/wp-content/uploads/2022/04/BASE-DE-DATOS-ORGANIZACIONES-JUVENILES-E-INSTITUCIONES-PRIVADAS.xlsx</t>
        </is>
      </c>
      <c r="L96" s="51" t="inlineStr">
        <is>
          <t>CONFIRMADO</t>
        </is>
      </c>
      <c r="M96" s="30" t="n"/>
    </row>
    <row r="97" ht="15.75" customHeight="1" s="182">
      <c r="A97" s="42" t="inlineStr">
        <is>
          <t>Perú</t>
        </is>
      </c>
      <c r="B97" s="15" t="inlineStr">
        <is>
          <t>Organizaciones juveniles</t>
        </is>
      </c>
      <c r="C97" s="73" t="inlineStr">
        <is>
          <t>Organización del ámbito deportivo</t>
        </is>
      </c>
      <c r="D97" s="73" t="inlineStr">
        <is>
          <t>CLUB DEPORTIVO DE LA PALETA FRONTÓN VIRÚ</t>
        </is>
      </c>
      <c r="E97" s="73" t="n"/>
      <c r="F97" s="73" t="inlineStr">
        <is>
          <t xml:space="preserve">Representante </t>
        </is>
      </c>
      <c r="G97" s="73" t="inlineStr">
        <is>
          <t>https://juventud.gob.pe/wp-content/uploads/2022/04/BASE-DE-DATOS-ORGANIZACIONES-JUVENILES-E-INSTITUCIONES-PRIVADAS.xlsx</t>
        </is>
      </c>
      <c r="H97" s="73" t="inlineStr">
        <is>
          <t>Joel Jairo Sánchez Silva Bázan</t>
        </is>
      </c>
      <c r="I97" s="28" t="inlineStr">
        <is>
          <t>No disponible en fuente oficial</t>
        </is>
      </c>
      <c r="J97" s="73" t="inlineStr">
        <is>
          <t>joelss7@hotmail.com</t>
        </is>
      </c>
      <c r="K97" s="73" t="inlineStr">
        <is>
          <t>https://juventud.gob.pe/wp-content/uploads/2022/04/BASE-DE-DATOS-ORGANIZACIONES-JUVENILES-E-INSTITUCIONES-PRIVADAS.xlsx</t>
        </is>
      </c>
      <c r="L97" s="51" t="inlineStr">
        <is>
          <t>CONFIRMADO</t>
        </is>
      </c>
      <c r="M97" s="30" t="n"/>
    </row>
    <row r="98" ht="15.75" customHeight="1" s="182">
      <c r="A98" s="42" t="inlineStr">
        <is>
          <t>Perú</t>
        </is>
      </c>
      <c r="B98" s="15" t="inlineStr">
        <is>
          <t>Organizaciones juveniles</t>
        </is>
      </c>
      <c r="C98" s="73" t="inlineStr">
        <is>
          <t>Organización del ámbito deportivo</t>
        </is>
      </c>
      <c r="D98" s="73" t="inlineStr">
        <is>
          <t>CLUB ANDRÉS CAMPEÓN</t>
        </is>
      </c>
      <c r="E98" s="73" t="n"/>
      <c r="F98" s="73" t="inlineStr">
        <is>
          <t xml:space="preserve">Representante </t>
        </is>
      </c>
      <c r="G98" s="73" t="inlineStr">
        <is>
          <t>https://juventud.gob.pe/wp-content/uploads/2022/04/BASE-DE-DATOS-ORGANIZACIONES-JUVENILES-E-INSTITUCIONES-PRIVADAS.xlsx</t>
        </is>
      </c>
      <c r="H98" s="73" t="inlineStr">
        <is>
          <t>Abrahan Paolo Navarrete Requena</t>
        </is>
      </c>
      <c r="I98" s="28" t="inlineStr">
        <is>
          <t>No disponible en fuente oficial</t>
        </is>
      </c>
      <c r="J98" s="73" t="inlineStr">
        <is>
          <t>wilberrequena@gmail.com</t>
        </is>
      </c>
      <c r="K98" s="73" t="inlineStr">
        <is>
          <t>https://juventud.gob.pe/wp-content/uploads/2022/04/BASE-DE-DATOS-ORGANIZACIONES-JUVENILES-E-INSTITUCIONES-PRIVADAS.xlsx</t>
        </is>
      </c>
      <c r="L98" s="51" t="inlineStr">
        <is>
          <t>CONFIRMADO</t>
        </is>
      </c>
      <c r="M98" s="30" t="n"/>
    </row>
    <row r="99" ht="15.75" customHeight="1" s="182">
      <c r="A99" s="42" t="inlineStr">
        <is>
          <t>Perú</t>
        </is>
      </c>
      <c r="B99" s="15" t="inlineStr">
        <is>
          <t>Organizaciones juveniles</t>
        </is>
      </c>
      <c r="C99" s="73" t="inlineStr">
        <is>
          <t>Organización artístIca y/o cultural</t>
        </is>
      </c>
      <c r="D99" s="73" t="inlineStr">
        <is>
          <t>LA CARIMBA</t>
        </is>
      </c>
      <c r="E99" s="73" t="n"/>
      <c r="F99" s="73" t="inlineStr">
        <is>
          <t xml:space="preserve">Representante </t>
        </is>
      </c>
      <c r="G99" s="73" t="inlineStr">
        <is>
          <t>https://juventud.gob.pe/wp-content/uploads/2022/04/BASE-DE-DATOS-ORGANIZACIONES-JUVENILES-E-INSTITUCIONES-PRIVADAS.xlsx</t>
        </is>
      </c>
      <c r="H99" s="73" t="inlineStr">
        <is>
          <t>Jefferson Echevarria Angelponis</t>
        </is>
      </c>
      <c r="I99" s="28" t="inlineStr">
        <is>
          <t>No disponible en fuente oficial</t>
        </is>
      </c>
      <c r="J99" s="73" t="inlineStr">
        <is>
          <t>Carimba_dejandohuellas@hotmail.com</t>
        </is>
      </c>
      <c r="K99" s="73" t="inlineStr">
        <is>
          <t>https://juventud.gob.pe/wp-content/uploads/2022/04/BASE-DE-DATOS-ORGANIZACIONES-JUVENILES-E-INSTITUCIONES-PRIVADAS.xlsx</t>
        </is>
      </c>
      <c r="L99" s="51" t="inlineStr">
        <is>
          <t>CONFIRMADO</t>
        </is>
      </c>
      <c r="M99" s="30" t="n"/>
    </row>
    <row r="100" ht="15.75" customHeight="1" s="182">
      <c r="A100" s="42" t="inlineStr">
        <is>
          <t>Perú</t>
        </is>
      </c>
      <c r="B100" s="15" t="inlineStr">
        <is>
          <t>Organizaciones juveniles</t>
        </is>
      </c>
      <c r="C100" s="73" t="inlineStr">
        <is>
          <t>Organización artística y/o cultural</t>
        </is>
      </c>
      <c r="D100" s="73" t="inlineStr">
        <is>
          <t>DANCE DREAMS</t>
        </is>
      </c>
      <c r="E100" s="73" t="n"/>
      <c r="F100" s="73" t="inlineStr">
        <is>
          <t xml:space="preserve">Representante </t>
        </is>
      </c>
      <c r="G100" s="73" t="inlineStr">
        <is>
          <t>https://juventud.gob.pe/wp-content/uploads/2022/04/BASE-DE-DATOS-ORGANIZACIONES-JUVENILES-E-INSTITUCIONES-PRIVADAS.xlsx</t>
        </is>
      </c>
      <c r="H100" s="73" t="inlineStr">
        <is>
          <t>Ashely Chencel Rosales Moran</t>
        </is>
      </c>
      <c r="I100" s="28" t="inlineStr">
        <is>
          <t>No disponible en fuente oficial</t>
        </is>
      </c>
      <c r="J100" s="73" t="inlineStr">
        <is>
          <t>ASHLEYSHENNEIR@GMAIL.COM</t>
        </is>
      </c>
      <c r="K100" s="73" t="inlineStr">
        <is>
          <t>https://juventud.gob.pe/wp-content/uploads/2022/04/BASE-DE-DATOS-ORGANIZACIONES-JUVENILES-E-INSTITUCIONES-PRIVADAS.xlsx</t>
        </is>
      </c>
      <c r="L100" s="51" t="inlineStr">
        <is>
          <t>CONFIRMADO</t>
        </is>
      </c>
      <c r="M100" s="30" t="n"/>
    </row>
    <row r="101" ht="15.75" customHeight="1" s="182">
      <c r="A101" s="42" t="inlineStr">
        <is>
          <t>Perú</t>
        </is>
      </c>
      <c r="B101" s="15" t="inlineStr">
        <is>
          <t>Organizaciones juveniles</t>
        </is>
      </c>
      <c r="C101" s="73" t="inlineStr">
        <is>
          <t>Organización del ámbito deportivo</t>
        </is>
      </c>
      <c r="D101" s="73" t="inlineStr">
        <is>
          <t>SOLTANDO COURE</t>
        </is>
      </c>
      <c r="E101" s="73" t="n"/>
      <c r="F101" s="73" t="inlineStr">
        <is>
          <t xml:space="preserve">Representante </t>
        </is>
      </c>
      <c r="G101" s="73" t="inlineStr">
        <is>
          <t>https://juventud.gob.pe/wp-content/uploads/2022/04/BASE-DE-DATOS-ORGANIZACIONES-JUVENILES-E-INSTITUCIONES-PRIVADAS.xlsx</t>
        </is>
      </c>
      <c r="H101" s="73" t="inlineStr">
        <is>
          <t>Jorge Andrés Navarro Calderon</t>
        </is>
      </c>
      <c r="I101" s="28" t="inlineStr">
        <is>
          <t>No disponible en fuente oficial</t>
        </is>
      </c>
      <c r="J101" s="73" t="inlineStr">
        <is>
          <t>jorgejanc@hotmail.com</t>
        </is>
      </c>
      <c r="K101" s="73" t="inlineStr">
        <is>
          <t>https://juventud.gob.pe/wp-content/uploads/2022/04/BASE-DE-DATOS-ORGANIZACIONES-JUVENILES-E-INSTITUCIONES-PRIVADAS.xlsx</t>
        </is>
      </c>
      <c r="L101" s="51" t="inlineStr">
        <is>
          <t>CONFIRMADO</t>
        </is>
      </c>
      <c r="M101" s="30" t="n"/>
    </row>
    <row r="102" ht="15.75" customHeight="1" s="182">
      <c r="A102" s="42" t="inlineStr">
        <is>
          <t>Perú</t>
        </is>
      </c>
      <c r="B102" s="15" t="inlineStr">
        <is>
          <t>Organizaciones juveniles</t>
        </is>
      </c>
      <c r="C102" s="73" t="inlineStr">
        <is>
          <t>Organización del ámbito deportivo</t>
        </is>
      </c>
      <c r="D102" s="73" t="inlineStr">
        <is>
          <t>DEPORTIVO CALLAO</t>
        </is>
      </c>
      <c r="E102" s="73" t="n"/>
      <c r="F102" s="73" t="inlineStr">
        <is>
          <t xml:space="preserve">Representante </t>
        </is>
      </c>
      <c r="G102" s="73" t="inlineStr">
        <is>
          <t>https://juventud.gob.pe/wp-content/uploads/2022/04/BASE-DE-DATOS-ORGANIZACIONES-JUVENILES-E-INSTITUCIONES-PRIVADAS.xlsx</t>
        </is>
      </c>
      <c r="H102" s="73" t="inlineStr">
        <is>
          <t>Paulo Enrique Contreras Acaro</t>
        </is>
      </c>
      <c r="I102" s="28" t="inlineStr">
        <is>
          <t>No disponible en fuente oficial</t>
        </is>
      </c>
      <c r="J102" s="73" t="inlineStr">
        <is>
          <t>Yomariomauricio27@hotmail.com</t>
        </is>
      </c>
      <c r="K102" s="73" t="inlineStr">
        <is>
          <t>https://juventud.gob.pe/wp-content/uploads/2022/04/BASE-DE-DATOS-ORGANIZACIONES-JUVENILES-E-INSTITUCIONES-PRIVADAS.xlsx</t>
        </is>
      </c>
      <c r="L102" s="51" t="inlineStr">
        <is>
          <t>CONFIRMADO</t>
        </is>
      </c>
      <c r="M102" s="30" t="n"/>
    </row>
    <row r="103" ht="15.75" customHeight="1" s="182">
      <c r="A103" s="42" t="inlineStr">
        <is>
          <t>Perú</t>
        </is>
      </c>
      <c r="B103" s="15" t="inlineStr">
        <is>
          <t>Organizaciones juveniles</t>
        </is>
      </c>
      <c r="C103" s="73" t="inlineStr">
        <is>
          <t>Organización del ámbito deportivo</t>
        </is>
      </c>
      <c r="D103" s="73" t="inlineStr">
        <is>
          <t>F.C. UNIÓN RIERA - JUVENIL</t>
        </is>
      </c>
      <c r="E103" s="73" t="n"/>
      <c r="F103" s="73" t="inlineStr">
        <is>
          <t xml:space="preserve">Representante </t>
        </is>
      </c>
      <c r="G103" s="73" t="inlineStr">
        <is>
          <t>https://juventud.gob.pe/wp-content/uploads/2022/04/BASE-DE-DATOS-ORGANIZACIONES-JUVENILES-E-INSTITUCIONES-PRIVADAS.xlsx</t>
        </is>
      </c>
      <c r="H103" s="73" t="inlineStr">
        <is>
          <t>Sergio Augusto Castillo Farfán</t>
        </is>
      </c>
      <c r="I103" s="28" t="inlineStr">
        <is>
          <t>No disponible en fuente oficial</t>
        </is>
      </c>
      <c r="J103" s="73" t="inlineStr">
        <is>
          <t>scastillo2317@gmail.com</t>
        </is>
      </c>
      <c r="K103" s="73" t="inlineStr">
        <is>
          <t>https://juventud.gob.pe/wp-content/uploads/2022/04/BASE-DE-DATOS-ORGANIZACIONES-JUVENILES-E-INSTITUCIONES-PRIVADAS.xlsx</t>
        </is>
      </c>
      <c r="L103" s="51" t="inlineStr">
        <is>
          <t>CONFIRMADO</t>
        </is>
      </c>
      <c r="M103" s="30" t="n"/>
    </row>
    <row r="104" ht="15.75" customHeight="1" s="182">
      <c r="A104" s="42" t="inlineStr">
        <is>
          <t>Perú</t>
        </is>
      </c>
      <c r="B104" s="15" t="inlineStr">
        <is>
          <t>Organizaciones juveniles</t>
        </is>
      </c>
      <c r="C104" s="73" t="inlineStr">
        <is>
          <t>Organización del ámbito deportivo</t>
        </is>
      </c>
      <c r="D104" s="73" t="inlineStr">
        <is>
          <t>FORMACIÓN CALLAO</t>
        </is>
      </c>
      <c r="E104" s="73" t="n"/>
      <c r="F104" s="73" t="inlineStr">
        <is>
          <t xml:space="preserve">Representante </t>
        </is>
      </c>
      <c r="G104" s="73" t="inlineStr">
        <is>
          <t>https://juventud.gob.pe/wp-content/uploads/2022/04/BASE-DE-DATOS-ORGANIZACIONES-JUVENILES-E-INSTITUCIONES-PRIVADAS.xlsx</t>
        </is>
      </c>
      <c r="H104" s="73" t="inlineStr">
        <is>
          <t>José Ángel Nole Palacios</t>
        </is>
      </c>
      <c r="I104" s="28" t="inlineStr">
        <is>
          <t>No disponible en fuente oficial</t>
        </is>
      </c>
      <c r="J104" s="73" t="inlineStr">
        <is>
          <t>alfonsonole@gmail.com</t>
        </is>
      </c>
      <c r="K104" s="73" t="inlineStr">
        <is>
          <t>https://juventud.gob.pe/wp-content/uploads/2022/04/BASE-DE-DATOS-ORGANIZACIONES-JUVENILES-E-INSTITUCIONES-PRIVADAS.xlsx</t>
        </is>
      </c>
      <c r="L104" s="51" t="inlineStr">
        <is>
          <t>CONFIRMADO</t>
        </is>
      </c>
      <c r="M104" s="30" t="n"/>
    </row>
    <row r="105" ht="15.75" customHeight="1" s="182">
      <c r="A105" s="42" t="inlineStr">
        <is>
          <t>Perú</t>
        </is>
      </c>
      <c r="B105" s="15" t="inlineStr">
        <is>
          <t>Organizaciones juveniles</t>
        </is>
      </c>
      <c r="C105" s="73" t="inlineStr">
        <is>
          <t>Organización del ámbito deportivo</t>
        </is>
      </c>
      <c r="D105" s="73" t="inlineStr">
        <is>
          <t>SPORT COLONIAL</t>
        </is>
      </c>
      <c r="E105" s="73" t="n"/>
      <c r="F105" s="73" t="inlineStr">
        <is>
          <t xml:space="preserve">Representante </t>
        </is>
      </c>
      <c r="G105" s="73" t="inlineStr">
        <is>
          <t>https://juventud.gob.pe/wp-content/uploads/2022/04/BASE-DE-DATOS-ORGANIZACIONES-JUVENILES-E-INSTITUCIONES-PRIVADAS.xlsx</t>
        </is>
      </c>
      <c r="H105" s="73" t="inlineStr">
        <is>
          <t>Benjamin Juda Briceño Baldeón</t>
        </is>
      </c>
      <c r="I105" s="28" t="inlineStr">
        <is>
          <t>No disponible en fuente oficial</t>
        </is>
      </c>
      <c r="J105" s="73" t="inlineStr">
        <is>
          <t>Robertogomezb2004@gmail.com</t>
        </is>
      </c>
      <c r="K105" s="73" t="inlineStr">
        <is>
          <t>https://juventud.gob.pe/wp-content/uploads/2022/04/BASE-DE-DATOS-ORGANIZACIONES-JUVENILES-E-INSTITUCIONES-PRIVADAS.xlsx</t>
        </is>
      </c>
      <c r="L105" s="51" t="inlineStr">
        <is>
          <t>CONFIRMADO</t>
        </is>
      </c>
      <c r="M105" s="30" t="n"/>
    </row>
    <row r="106" ht="15.75" customHeight="1" s="182">
      <c r="A106" s="42" t="inlineStr">
        <is>
          <t>Perú</t>
        </is>
      </c>
      <c r="B106" s="15" t="inlineStr">
        <is>
          <t>Organizaciones juveniles</t>
        </is>
      </c>
      <c r="C106" s="73" t="inlineStr">
        <is>
          <t>Organización artística y/o cultural</t>
        </is>
      </c>
      <c r="D106" s="73" t="inlineStr">
        <is>
          <t>BALLET ARTÍSTICO JUVENTUD Y TRADICIÓN</t>
        </is>
      </c>
      <c r="E106" s="73" t="n"/>
      <c r="F106" s="73" t="inlineStr">
        <is>
          <t xml:space="preserve">Representante </t>
        </is>
      </c>
      <c r="G106" s="73" t="inlineStr">
        <is>
          <t>https://juventud.gob.pe/wp-content/uploads/2022/04/BASE-DE-DATOS-ORGANIZACIONES-JUVENILES-E-INSTITUCIONES-PRIVADAS.xlsx</t>
        </is>
      </c>
      <c r="H106" s="73" t="inlineStr">
        <is>
          <t>Deymar Adirl Aguirre Arteaga</t>
        </is>
      </c>
      <c r="I106" s="28" t="inlineStr">
        <is>
          <t>No disponible en fuente oficial</t>
        </is>
      </c>
      <c r="J106" s="73" t="inlineStr">
        <is>
          <t>Adiel.arteaga.1997@gmail.com</t>
        </is>
      </c>
      <c r="K106" s="73" t="inlineStr">
        <is>
          <t>https://juventud.gob.pe/wp-content/uploads/2022/04/BASE-DE-DATOS-ORGANIZACIONES-JUVENILES-E-INSTITUCIONES-PRIVADAS.xlsx</t>
        </is>
      </c>
      <c r="L106" s="51" t="inlineStr">
        <is>
          <t>CONFIRMADO</t>
        </is>
      </c>
      <c r="M106" s="30" t="n"/>
    </row>
    <row r="107" ht="15.75" customHeight="1" s="182">
      <c r="A107" s="42" t="inlineStr">
        <is>
          <t>Perú</t>
        </is>
      </c>
      <c r="B107" s="15" t="inlineStr">
        <is>
          <t>Organizaciones juveniles</t>
        </is>
      </c>
      <c r="C107" s="73" t="inlineStr">
        <is>
          <t>Organización artística y/o cultural</t>
        </is>
      </c>
      <c r="D107" s="73" t="inlineStr">
        <is>
          <t>ASOCIACIÓN CULTURAL SOMOS ROMERO PAIVA</t>
        </is>
      </c>
      <c r="E107" s="73" t="n"/>
      <c r="F107" s="73" t="inlineStr">
        <is>
          <t xml:space="preserve">Representante </t>
        </is>
      </c>
      <c r="G107" s="73" t="inlineStr">
        <is>
          <t>https://juventud.gob.pe/wp-content/uploads/2022/04/BASE-DE-DATOS-ORGANIZACIONES-JUVENILES-E-INSTITUCIONES-PRIVADAS.xlsx</t>
        </is>
      </c>
      <c r="H107" s="73" t="inlineStr">
        <is>
          <t>José Luis Romero Paiva</t>
        </is>
      </c>
      <c r="I107" s="28" t="inlineStr">
        <is>
          <t>No disponible en fuente oficial</t>
        </is>
      </c>
      <c r="J107" s="73" t="inlineStr">
        <is>
          <t>somosromeropaiva@hotmail.com</t>
        </is>
      </c>
      <c r="K107" s="73" t="inlineStr">
        <is>
          <t>https://juventud.gob.pe/wp-content/uploads/2022/04/BASE-DE-DATOS-ORGANIZACIONES-JUVENILES-E-INSTITUCIONES-PRIVADAS.xlsx</t>
        </is>
      </c>
      <c r="L107" s="51" t="inlineStr">
        <is>
          <t>CONFIRMADO</t>
        </is>
      </c>
      <c r="M107" s="30" t="n"/>
    </row>
    <row r="108" ht="15.75" customHeight="1" s="182">
      <c r="A108" s="42" t="inlineStr">
        <is>
          <t>Perú</t>
        </is>
      </c>
      <c r="B108" s="15" t="inlineStr">
        <is>
          <t>Organizaciones juveniles</t>
        </is>
      </c>
      <c r="C108" s="73" t="inlineStr">
        <is>
          <t>Organización artística y/o cultural</t>
        </is>
      </c>
      <c r="D108" s="73" t="inlineStr">
        <is>
          <t>AGRUPACIÓN ARTÍSTICA AGAPE</t>
        </is>
      </c>
      <c r="E108" s="73" t="n"/>
      <c r="F108" s="73" t="inlineStr">
        <is>
          <t xml:space="preserve">Representante </t>
        </is>
      </c>
      <c r="G108" s="73" t="inlineStr">
        <is>
          <t>https://juventud.gob.pe/wp-content/uploads/2022/04/BASE-DE-DATOS-ORGANIZACIONES-JUVENILES-E-INSTITUCIONES-PRIVADAS.xlsx</t>
        </is>
      </c>
      <c r="H108" s="73" t="inlineStr">
        <is>
          <t>Milagros Lissette Ciudad Molina</t>
        </is>
      </c>
      <c r="I108" s="28" t="inlineStr">
        <is>
          <t>No disponible en fuente oficial</t>
        </is>
      </c>
      <c r="J108" s="73" t="inlineStr">
        <is>
          <t>agapeagrupación@gmail.com</t>
        </is>
      </c>
      <c r="K108" s="73" t="inlineStr">
        <is>
          <t>https://juventud.gob.pe/wp-content/uploads/2022/04/BASE-DE-DATOS-ORGANIZACIONES-JUVENILES-E-INSTITUCIONES-PRIVADAS.xlsx</t>
        </is>
      </c>
      <c r="L108" s="51" t="inlineStr">
        <is>
          <t>CONFIRMADO</t>
        </is>
      </c>
      <c r="M108" s="30" t="n"/>
    </row>
    <row r="109" ht="15.75" customHeight="1" s="182">
      <c r="A109" s="42" t="inlineStr">
        <is>
          <t>Perú</t>
        </is>
      </c>
      <c r="B109" s="15" t="inlineStr">
        <is>
          <t>Organizaciones juveniles</t>
        </is>
      </c>
      <c r="C109" s="73" t="inlineStr">
        <is>
          <t>Organización artística y/o cultural</t>
        </is>
      </c>
      <c r="D109" s="73" t="inlineStr">
        <is>
          <t>GRUPO NOIR – DANCE COVER</t>
        </is>
      </c>
      <c r="E109" s="73" t="n"/>
      <c r="F109" s="73" t="inlineStr">
        <is>
          <t xml:space="preserve">Representante </t>
        </is>
      </c>
      <c r="G109" s="73" t="inlineStr">
        <is>
          <t>https://juventud.gob.pe/wp-content/uploads/2022/04/BASE-DE-DATOS-ORGANIZACIONES-JUVENILES-E-INSTITUCIONES-PRIVADAS.xlsx</t>
        </is>
      </c>
      <c r="H109" s="73" t="inlineStr">
        <is>
          <t>Anghely Mazuelos Monteverde</t>
        </is>
      </c>
      <c r="I109" s="28" t="inlineStr">
        <is>
          <t>No disponible en fuente oficial</t>
        </is>
      </c>
      <c r="J109" s="73" t="inlineStr">
        <is>
          <t>Nkole.08@yahoo.com</t>
        </is>
      </c>
      <c r="K109" s="73" t="inlineStr">
        <is>
          <t>https://juventud.gob.pe/wp-content/uploads/2022/04/BASE-DE-DATOS-ORGANIZACIONES-JUVENILES-E-INSTITUCIONES-PRIVADAS.xlsx</t>
        </is>
      </c>
      <c r="L109" s="51" t="inlineStr">
        <is>
          <t>CONFIRMADO</t>
        </is>
      </c>
      <c r="M109" s="30" t="n"/>
    </row>
    <row r="110" ht="15.75" customHeight="1" s="182">
      <c r="A110" s="42" t="inlineStr">
        <is>
          <t>Perú</t>
        </is>
      </c>
      <c r="B110" s="15" t="inlineStr">
        <is>
          <t>Organizaciones juveniles</t>
        </is>
      </c>
      <c r="C110" s="73" t="inlineStr">
        <is>
          <t>Organización artística y/o cultural</t>
        </is>
      </c>
      <c r="D110" s="73" t="inlineStr">
        <is>
          <t xml:space="preserve">PUNTO CULTURAL ASOCIACIÓN ARTÍSTICA
</t>
        </is>
      </c>
      <c r="E110" s="73" t="n"/>
      <c r="F110" s="73" t="inlineStr">
        <is>
          <t xml:space="preserve">Representante </t>
        </is>
      </c>
      <c r="G110" s="73" t="inlineStr">
        <is>
          <t>https://juventud.gob.pe/wp-content/uploads/2022/04/BASE-DE-DATOS-ORGANIZACIONES-JUVENILES-E-INSTITUCIONES-PRIVADAS.xlsx</t>
        </is>
      </c>
      <c r="H110" s="73" t="inlineStr">
        <is>
          <t>Christian Cesar Ugaz Diaz</t>
        </is>
      </c>
      <c r="I110" s="28" t="inlineStr">
        <is>
          <t>No disponible en fuente oficial</t>
        </is>
      </c>
      <c r="J110" s="73" t="inlineStr">
        <is>
          <t>sam.christianugaz@gmail.com</t>
        </is>
      </c>
      <c r="K110" s="73" t="inlineStr">
        <is>
          <t>https://juventud.gob.pe/wp-content/uploads/2022/04/BASE-DE-DATOS-ORGANIZACIONES-JUVENILES-E-INSTITUCIONES-PRIVADAS.xlsx</t>
        </is>
      </c>
      <c r="L110" s="51" t="inlineStr">
        <is>
          <t>CONFIRMADO</t>
        </is>
      </c>
      <c r="M110" s="30" t="n"/>
    </row>
    <row r="111" ht="15.75" customHeight="1" s="182">
      <c r="A111" s="42" t="inlineStr">
        <is>
          <t>Perú</t>
        </is>
      </c>
      <c r="B111" s="15" t="inlineStr">
        <is>
          <t>Organizaciones juveniles</t>
        </is>
      </c>
      <c r="C111" s="73" t="inlineStr">
        <is>
          <t>Organización artística y/o cultural</t>
        </is>
      </c>
      <c r="D111" s="73" t="inlineStr">
        <is>
          <t>VENTANILLA SUPER STAR</t>
        </is>
      </c>
      <c r="E111" s="73" t="n"/>
      <c r="F111" s="73" t="inlineStr">
        <is>
          <t xml:space="preserve">Representante </t>
        </is>
      </c>
      <c r="G111" s="73" t="inlineStr">
        <is>
          <t>https://juventud.gob.pe/wp-content/uploads/2022/04/BASE-DE-DATOS-ORGANIZACIONES-JUVENILES-E-INSTITUCIONES-PRIVADAS.xlsx</t>
        </is>
      </c>
      <c r="H111" s="73" t="inlineStr">
        <is>
          <t>Dayanna Sophia Baez Castellano</t>
        </is>
      </c>
      <c r="I111" s="28" t="inlineStr">
        <is>
          <t>No disponible en fuente oficial</t>
        </is>
      </c>
      <c r="J111" s="73" t="inlineStr">
        <is>
          <t>Dayanabaez1@hotmail.com</t>
        </is>
      </c>
      <c r="K111" s="73" t="inlineStr">
        <is>
          <t>https://juventud.gob.pe/wp-content/uploads/2022/04/BASE-DE-DATOS-ORGANIZACIONES-JUVENILES-E-INSTITUCIONES-PRIVADAS.xlsx</t>
        </is>
      </c>
      <c r="L111" s="51" t="inlineStr">
        <is>
          <t>CONFIRMADO</t>
        </is>
      </c>
      <c r="M111" s="30" t="n"/>
    </row>
    <row r="112" ht="15.75" customHeight="1" s="182">
      <c r="A112" s="42" t="inlineStr">
        <is>
          <t>Perú</t>
        </is>
      </c>
      <c r="B112" s="15" t="inlineStr">
        <is>
          <t>Organizaciones juveniles</t>
        </is>
      </c>
      <c r="C112" s="73" t="inlineStr">
        <is>
          <t>Organizaciones de voluntariado</t>
        </is>
      </c>
      <c r="D112" s="73" t="inlineStr">
        <is>
          <t>ACTIVISMO SOCIAL PERÚ</t>
        </is>
      </c>
      <c r="E112" s="73" t="n"/>
      <c r="F112" s="73" t="inlineStr">
        <is>
          <t xml:space="preserve">Representante </t>
        </is>
      </c>
      <c r="G112" s="73" t="inlineStr">
        <is>
          <t>https://juventud.gob.pe/wp-content/uploads/2022/04/BASE-DE-DATOS-ORGANIZACIONES-JUVENILES-E-INSTITUCIONES-PRIVADAS.xlsx</t>
        </is>
      </c>
      <c r="H112" s="73" t="inlineStr">
        <is>
          <t>VIVANCO LAZO INGRID SARAHY</t>
        </is>
      </c>
      <c r="I112" s="28" t="inlineStr">
        <is>
          <t>No disponible en fuente oficial</t>
        </is>
      </c>
      <c r="J112" s="73" t="inlineStr">
        <is>
          <t>activismo.social.peru@gmail.com</t>
        </is>
      </c>
      <c r="K112" s="73" t="inlineStr">
        <is>
          <t>https://juventud.gob.pe/wp-content/uploads/2022/04/BASE-DE-DATOS-ORGANIZACIONES-JUVENILES-E-INSTITUCIONES-PRIVADAS.xlsx</t>
        </is>
      </c>
      <c r="L112" s="51" t="inlineStr">
        <is>
          <t>CONFIRMADO</t>
        </is>
      </c>
      <c r="M112" s="30" t="n"/>
    </row>
    <row r="113" ht="15.75" customHeight="1" s="182">
      <c r="A113" s="42" t="inlineStr">
        <is>
          <t>Perú</t>
        </is>
      </c>
      <c r="B113" s="15" t="inlineStr">
        <is>
          <t>Organizaciones juveniles</t>
        </is>
      </c>
      <c r="C113" s="73" t="inlineStr">
        <is>
          <t>Organizaciones de estudiantes (escolar, universitario, tecnológico, artístico o pedagógico)</t>
        </is>
      </c>
      <c r="D113" s="73" t="inlineStr">
        <is>
          <t>CREANDO ARTE CON PROPÓSITO</t>
        </is>
      </c>
      <c r="E113" s="73" t="n"/>
      <c r="F113" s="73" t="inlineStr">
        <is>
          <t xml:space="preserve">Representante </t>
        </is>
      </c>
      <c r="G113" s="73" t="inlineStr">
        <is>
          <t>https://juventud.gob.pe/wp-content/uploads/2022/04/BASE-DE-DATOS-ORGANIZACIONES-JUVENILES-E-INSTITUCIONES-PRIVADAS.xlsx</t>
        </is>
      </c>
      <c r="H113" s="73" t="n"/>
      <c r="I113" s="28" t="inlineStr">
        <is>
          <t>No disponible en fuente oficial</t>
        </is>
      </c>
      <c r="J113" s="73" t="n"/>
      <c r="K113" s="73" t="inlineStr">
        <is>
          <t>https://juventud.gob.pe/wp-content/uploads/2022/04/BASE-DE-DATOS-ORGANIZACIONES-JUVENILES-E-INSTITUCIONES-PRIVADAS.xlsx</t>
        </is>
      </c>
      <c r="L113" s="51" t="inlineStr">
        <is>
          <t>CONFIRMADO</t>
        </is>
      </c>
      <c r="M113" s="30" t="n"/>
    </row>
    <row r="114" ht="15.75" customHeight="1" s="182">
      <c r="A114" s="42" t="inlineStr">
        <is>
          <t>Perú</t>
        </is>
      </c>
      <c r="B114" s="15" t="inlineStr">
        <is>
          <t>Organizaciones juveniles</t>
        </is>
      </c>
      <c r="C114" s="73" t="inlineStr">
        <is>
          <t>Organizaciones de voluntariado</t>
        </is>
      </c>
      <c r="D114" s="73" t="inlineStr">
        <is>
          <t>ORGANIZACIÓN SONRISAS SOLIDARIAS - CUSCO</t>
        </is>
      </c>
      <c r="E114" s="73" t="n"/>
      <c r="F114" s="73" t="inlineStr">
        <is>
          <t xml:space="preserve">Representante </t>
        </is>
      </c>
      <c r="G114" s="73" t="inlineStr">
        <is>
          <t>https://juventud.gob.pe/wp-content/uploads/2022/04/BASE-DE-DATOS-ORGANIZACIONES-JUVENILES-E-INSTITUCIONES-PRIVADAS.xlsx</t>
        </is>
      </c>
      <c r="H114" s="73" t="inlineStr">
        <is>
          <t>Jarin Neftali Ricaldi Chacon</t>
        </is>
      </c>
      <c r="I114" s="28" t="inlineStr">
        <is>
          <t>No disponible en fuente oficial</t>
        </is>
      </c>
      <c r="J114" s="73" t="inlineStr">
        <is>
          <t>sonrisassolidariasCusco@gmail.com</t>
        </is>
      </c>
      <c r="K114" s="73" t="inlineStr">
        <is>
          <t>https://juventud.gob.pe/wp-content/uploads/2022/04/BASE-DE-DATOS-ORGANIZACIONES-JUVENILES-E-INSTITUCIONES-PRIVADAS.xlsx</t>
        </is>
      </c>
      <c r="L114" s="51" t="inlineStr">
        <is>
          <t>CONFIRMADO</t>
        </is>
      </c>
      <c r="M114" s="30" t="n"/>
    </row>
    <row r="115" ht="15.75" customHeight="1" s="182">
      <c r="A115" s="42" t="inlineStr">
        <is>
          <t>Perú</t>
        </is>
      </c>
      <c r="B115" s="15" t="inlineStr">
        <is>
          <t>Organizaciones juveniles</t>
        </is>
      </c>
      <c r="C115" s="73" t="inlineStr">
        <is>
          <t>Organizaciones de estudiantes (escolar, universitario, tecnológico, artístico o pedagógico)</t>
        </is>
      </c>
      <c r="D115" s="73" t="inlineStr">
        <is>
          <t>ORGANIZACIÓN JUVENIL SAYARI WAYNA</t>
        </is>
      </c>
      <c r="E115" s="73" t="n"/>
      <c r="F115" s="73" t="inlineStr">
        <is>
          <t xml:space="preserve">Representante </t>
        </is>
      </c>
      <c r="G115" s="73" t="inlineStr">
        <is>
          <t>https://juventud.gob.pe/wp-content/uploads/2022/04/BASE-DE-DATOS-ORGANIZACIONES-JUVENILES-E-INSTITUCIONES-PRIVADAS.xlsx</t>
        </is>
      </c>
      <c r="H115" s="73" t="inlineStr">
        <is>
          <t>Jooseph Hinojosa Uscapi</t>
        </is>
      </c>
      <c r="I115" s="28" t="inlineStr">
        <is>
          <t>No disponible en fuente oficial</t>
        </is>
      </c>
      <c r="J115" s="73" t="inlineStr">
        <is>
          <t>INFO@SAYARIWAYNA.ORG</t>
        </is>
      </c>
      <c r="K115" s="73" t="inlineStr">
        <is>
          <t>https://juventud.gob.pe/wp-content/uploads/2022/04/BASE-DE-DATOS-ORGANIZACIONES-JUVENILES-E-INSTITUCIONES-PRIVADAS.xlsx</t>
        </is>
      </c>
      <c r="L115" s="51" t="inlineStr">
        <is>
          <t>CONFIRMADO</t>
        </is>
      </c>
      <c r="M115" s="30" t="n"/>
    </row>
    <row r="116" ht="15.75" customHeight="1" s="182">
      <c r="A116" s="42" t="inlineStr">
        <is>
          <t>Perú</t>
        </is>
      </c>
      <c r="B116" s="15" t="inlineStr">
        <is>
          <t>Organizaciones juveniles</t>
        </is>
      </c>
      <c r="C116" s="73" t="inlineStr">
        <is>
          <t>Organizaciones de voluntariado</t>
        </is>
      </c>
      <c r="D116" s="73" t="inlineStr">
        <is>
          <t>HUMAN ACTIONS ASOCIATION</t>
        </is>
      </c>
      <c r="E116" s="73" t="n"/>
      <c r="F116" s="73" t="inlineStr">
        <is>
          <t xml:space="preserve">Representante </t>
        </is>
      </c>
      <c r="G116" s="73" t="inlineStr">
        <is>
          <t>https://juventud.gob.pe/wp-content/uploads/2022/04/BASE-DE-DATOS-ORGANIZACIONES-JUVENILES-E-INSTITUCIONES-PRIVADAS.xlsx</t>
        </is>
      </c>
      <c r="H116" s="73" t="inlineStr">
        <is>
          <t>Paola Javiera Herrera Choque</t>
        </is>
      </c>
      <c r="I116" s="28" t="inlineStr">
        <is>
          <t>No disponible en fuente oficial</t>
        </is>
      </c>
      <c r="J116" s="73" t="inlineStr">
        <is>
          <t>humanactionsorg@gmail.com</t>
        </is>
      </c>
      <c r="K116" s="73" t="inlineStr">
        <is>
          <t>https://juventud.gob.pe/wp-content/uploads/2022/04/BASE-DE-DATOS-ORGANIZACIONES-JUVENILES-E-INSTITUCIONES-PRIVADAS.xlsx</t>
        </is>
      </c>
      <c r="L116" s="51" t="inlineStr">
        <is>
          <t>CONFIRMADO</t>
        </is>
      </c>
      <c r="M116" s="30" t="n"/>
    </row>
    <row r="117" ht="15.75" customHeight="1" s="182">
      <c r="A117" s="42" t="inlineStr">
        <is>
          <t>Perú</t>
        </is>
      </c>
      <c r="B117" s="15" t="inlineStr">
        <is>
          <t>Organizaciones juveniles</t>
        </is>
      </c>
      <c r="C117" s="73" t="inlineStr">
        <is>
          <t>Organizaciones de estudiantes (escolar, universitario, tecnológico, artístico o pedagógico)</t>
        </is>
      </c>
      <c r="D117" s="73" t="inlineStr">
        <is>
          <t>ORGANIZACIÓN DE JÓVENES Y ESTUDIANTES DEL DISTRITO DE MOSOCLLACTA</t>
        </is>
      </c>
      <c r="E117" s="73" t="n"/>
      <c r="F117" s="73" t="inlineStr">
        <is>
          <t xml:space="preserve">Representante </t>
        </is>
      </c>
      <c r="G117" s="73" t="inlineStr">
        <is>
          <t>https://juventud.gob.pe/wp-content/uploads/2022/04/BASE-DE-DATOS-ORGANIZACIONES-JUVENILES-E-INSTITUCIONES-PRIVADAS.xlsx</t>
        </is>
      </c>
      <c r="H117" s="73" t="inlineStr">
        <is>
          <t>Beltran Huanca Salas</t>
        </is>
      </c>
      <c r="I117" s="28" t="inlineStr">
        <is>
          <t>No disponible en fuente oficial</t>
        </is>
      </c>
      <c r="J117" s="73" t="inlineStr">
        <is>
          <t>beltran95huancasalas@gmail.com</t>
        </is>
      </c>
      <c r="K117" s="73" t="inlineStr">
        <is>
          <t>https://juventud.gob.pe/wp-content/uploads/2022/04/BASE-DE-DATOS-ORGANIZACIONES-JUVENILES-E-INSTITUCIONES-PRIVADAS.xlsx</t>
        </is>
      </c>
      <c r="L117" s="51" t="inlineStr">
        <is>
          <t>CONFIRMADO</t>
        </is>
      </c>
      <c r="M117" s="30" t="n"/>
    </row>
    <row r="118" ht="15.75" customHeight="1" s="182">
      <c r="A118" s="42" t="inlineStr">
        <is>
          <t>Perú</t>
        </is>
      </c>
      <c r="B118" s="15" t="inlineStr">
        <is>
          <t>Organizaciones juveniles</t>
        </is>
      </c>
      <c r="C118" s="73" t="inlineStr">
        <is>
          <t>Organizaciones de estudiantes (escolar, universitario, tecnológico, artístico o pedagógico)</t>
        </is>
      </c>
      <c r="D118" s="73" t="inlineStr">
        <is>
          <t>INDUSTRIALES EN ACCIÓN</t>
        </is>
      </c>
      <c r="E118" s="73" t="n"/>
      <c r="F118" s="73" t="inlineStr">
        <is>
          <t xml:space="preserve">Representante </t>
        </is>
      </c>
      <c r="G118" s="73" t="inlineStr">
        <is>
          <t>https://juventud.gob.pe/wp-content/uploads/2022/04/BASE-DE-DATOS-ORGANIZACIONES-JUVENILES-E-INSTITUCIONES-PRIVADAS.xlsx</t>
        </is>
      </c>
      <c r="H118" s="73" t="inlineStr">
        <is>
          <t>Melissa Angelica Guillen Hurtado</t>
        </is>
      </c>
      <c r="I118" s="28" t="inlineStr">
        <is>
          <t>No disponible en fuente oficial</t>
        </is>
      </c>
      <c r="J118" s="73" t="inlineStr">
        <is>
          <t>Melisaguillen16@gmail.com</t>
        </is>
      </c>
      <c r="K118" s="73" t="inlineStr">
        <is>
          <t>https://juventud.gob.pe/wp-content/uploads/2022/04/BASE-DE-DATOS-ORGANIZACIONES-JUVENILES-E-INSTITUCIONES-PRIVADAS.xlsx</t>
        </is>
      </c>
      <c r="L118" s="51" t="inlineStr">
        <is>
          <t>CONFIRMADO</t>
        </is>
      </c>
      <c r="M118" s="30" t="n"/>
    </row>
    <row r="119" ht="15.75" customHeight="1" s="182">
      <c r="A119" s="42" t="inlineStr">
        <is>
          <t>Perú</t>
        </is>
      </c>
      <c r="B119" s="15" t="inlineStr">
        <is>
          <t>Organizaciones juveniles</t>
        </is>
      </c>
      <c r="C119" s="73" t="inlineStr">
        <is>
          <t>Organizaciones de voluntariado</t>
        </is>
      </c>
      <c r="D119" s="73" t="inlineStr">
        <is>
          <t>LUCHOS FAMILY</t>
        </is>
      </c>
      <c r="E119" s="73" t="n"/>
      <c r="F119" s="73" t="inlineStr">
        <is>
          <t xml:space="preserve">Representante </t>
        </is>
      </c>
      <c r="G119" s="73" t="inlineStr">
        <is>
          <t>https://juventud.gob.pe/wp-content/uploads/2022/04/BASE-DE-DATOS-ORGANIZACIONES-JUVENILES-E-INSTITUCIONES-PRIVADAS.xlsx</t>
        </is>
      </c>
      <c r="H119" s="73" t="inlineStr">
        <is>
          <t>Yeni Miriam Llamocca Lima</t>
        </is>
      </c>
      <c r="I119" s="28" t="inlineStr">
        <is>
          <t>No disponible en fuente oficial</t>
        </is>
      </c>
      <c r="J119" s="73" t="inlineStr">
        <is>
          <t>luchosfamily@gmail.com</t>
        </is>
      </c>
      <c r="K119" s="73" t="inlineStr">
        <is>
          <t>https://juventud.gob.pe/wp-content/uploads/2022/04/BASE-DE-DATOS-ORGANIZACIONES-JUVENILES-E-INSTITUCIONES-PRIVADAS.xlsx</t>
        </is>
      </c>
      <c r="L119" s="51" t="inlineStr">
        <is>
          <t>CONFIRMADO</t>
        </is>
      </c>
      <c r="M119" s="30" t="n"/>
    </row>
    <row r="120" ht="15.75" customHeight="1" s="182">
      <c r="A120" s="42" t="inlineStr">
        <is>
          <t>Perú</t>
        </is>
      </c>
      <c r="B120" s="15" t="inlineStr">
        <is>
          <t>Organizaciones juveniles</t>
        </is>
      </c>
      <c r="C120" s="73" t="inlineStr">
        <is>
          <t>Organización artístIca y/o cultural</t>
        </is>
      </c>
      <c r="D120" s="73" t="inlineStr">
        <is>
          <t>ASOCIACIÓN DE ESTUDIANTES QUECHUAS, AYMARAS Y AMAZÓNICOS</t>
        </is>
      </c>
      <c r="E120" s="73" t="n"/>
      <c r="F120" s="73" t="inlineStr">
        <is>
          <t xml:space="preserve">Representante </t>
        </is>
      </c>
      <c r="G120" s="73" t="inlineStr">
        <is>
          <t>https://juventud.gob.pe/wp-content/uploads/2022/04/BASE-DE-DATOS-ORGANIZACIONES-JUVENILES-E-INSTITUCIONES-PRIVADAS.xlsx</t>
        </is>
      </c>
      <c r="H120" s="73" t="inlineStr">
        <is>
          <t>Katherine Milagros Flores Ramos</t>
        </is>
      </c>
      <c r="I120" s="28" t="inlineStr">
        <is>
          <t>No disponible en fuente oficial</t>
        </is>
      </c>
      <c r="J120" s="73" t="inlineStr">
        <is>
          <t>Kami_15ad@hotmail.com</t>
        </is>
      </c>
      <c r="K120" s="73" t="inlineStr">
        <is>
          <t>https://juventud.gob.pe/wp-content/uploads/2022/04/BASE-DE-DATOS-ORGANIZACIONES-JUVENILES-E-INSTITUCIONES-PRIVADAS.xlsx</t>
        </is>
      </c>
      <c r="L120" s="51" t="inlineStr">
        <is>
          <t>CONFIRMADO</t>
        </is>
      </c>
      <c r="M120" s="30" t="n"/>
    </row>
    <row r="121" ht="15.75" customHeight="1" s="182">
      <c r="A121" s="42" t="inlineStr">
        <is>
          <t>Perú</t>
        </is>
      </c>
      <c r="B121" s="15" t="inlineStr">
        <is>
          <t>Organizaciones juveniles</t>
        </is>
      </c>
      <c r="C121" s="73" t="inlineStr">
        <is>
          <t>Organizaciones de estudiantes (escolar, universitario, tecnológico, artístico o pedagógico)</t>
        </is>
      </c>
      <c r="D121" s="73" t="inlineStr">
        <is>
          <t>FEDERACIÓN DE ESTUDIANTES ESPINARENSES EN CUSCO</t>
        </is>
      </c>
      <c r="E121" s="73" t="n"/>
      <c r="F121" s="73" t="inlineStr">
        <is>
          <t xml:space="preserve">Representante </t>
        </is>
      </c>
      <c r="G121" s="73" t="inlineStr">
        <is>
          <t>https://juventud.gob.pe/wp-content/uploads/2022/04/BASE-DE-DATOS-ORGANIZACIONES-JUVENILES-E-INSTITUCIONES-PRIVADAS.xlsx</t>
        </is>
      </c>
      <c r="H121" s="73" t="inlineStr">
        <is>
          <t>Ibeth Carlos Quispe</t>
        </is>
      </c>
      <c r="I121" s="28" t="inlineStr">
        <is>
          <t>No disponible en fuente oficial</t>
        </is>
      </c>
      <c r="J121" s="73" t="inlineStr">
        <is>
          <t>Cuscoespinarfeec@gmail.com</t>
        </is>
      </c>
      <c r="K121" s="73" t="inlineStr">
        <is>
          <t>https://juventud.gob.pe/wp-content/uploads/2022/04/BASE-DE-DATOS-ORGANIZACIONES-JUVENILES-E-INSTITUCIONES-PRIVADAS.xlsx</t>
        </is>
      </c>
      <c r="L121" s="51" t="inlineStr">
        <is>
          <t>CONFIRMADO</t>
        </is>
      </c>
      <c r="M121" s="30" t="n"/>
    </row>
    <row r="122" ht="15.75" customHeight="1" s="182">
      <c r="A122" s="42" t="inlineStr">
        <is>
          <t>Perú</t>
        </is>
      </c>
      <c r="B122" s="15" t="inlineStr">
        <is>
          <t>Organizaciones juveniles</t>
        </is>
      </c>
      <c r="C122" s="73" t="inlineStr">
        <is>
          <t>Organizaciones de voluntariado</t>
        </is>
      </c>
      <c r="D122" s="73" t="inlineStr">
        <is>
          <t>JUVANTA JUVENTUDES ANTA</t>
        </is>
      </c>
      <c r="E122" s="73" t="n"/>
      <c r="F122" s="73" t="inlineStr">
        <is>
          <t xml:space="preserve">Representante </t>
        </is>
      </c>
      <c r="G122" s="73" t="inlineStr">
        <is>
          <t>https://juventud.gob.pe/wp-content/uploads/2022/04/BASE-DE-DATOS-ORGANIZACIONES-JUVENILES-E-INSTITUCIONES-PRIVADAS.xlsx</t>
        </is>
      </c>
      <c r="H122" s="73" t="inlineStr">
        <is>
          <t>Yaneth Cristina Quispe Quispe</t>
        </is>
      </c>
      <c r="I122" s="28" t="inlineStr">
        <is>
          <t>No disponible en fuente oficial</t>
        </is>
      </c>
      <c r="J122" s="73" t="inlineStr">
        <is>
          <t>antajuventudes@gmail.com</t>
        </is>
      </c>
      <c r="K122" s="73" t="inlineStr">
        <is>
          <t>https://juventud.gob.pe/wp-content/uploads/2022/04/BASE-DE-DATOS-ORGANIZACIONES-JUVENILES-E-INSTITUCIONES-PRIVADAS.xlsx</t>
        </is>
      </c>
      <c r="L122" s="51" t="inlineStr">
        <is>
          <t>CONFIRMADO</t>
        </is>
      </c>
      <c r="M122" s="30" t="n"/>
    </row>
    <row r="123" ht="15.75" customHeight="1" s="182">
      <c r="A123" s="42" t="inlineStr">
        <is>
          <t>Perú</t>
        </is>
      </c>
      <c r="B123" s="15" t="inlineStr">
        <is>
          <t>Organizaciones juveniles</t>
        </is>
      </c>
      <c r="C123" s="73" t="inlineStr">
        <is>
          <t>Otros: Organización de trabajo sobre memoria y derechos humanos</t>
        </is>
      </c>
      <c r="D123" s="73" t="inlineStr">
        <is>
          <t>COLECTIVO YUYANANCHIS</t>
        </is>
      </c>
      <c r="E123" s="73" t="n"/>
      <c r="F123" s="73" t="inlineStr">
        <is>
          <t xml:space="preserve">Representante </t>
        </is>
      </c>
      <c r="G123" s="73" t="inlineStr">
        <is>
          <t>https://juventud.gob.pe/wp-content/uploads/2022/04/BASE-DE-DATOS-ORGANIZACIONES-JUVENILES-E-INSTITUCIONES-PRIVADAS.xlsx</t>
        </is>
      </c>
      <c r="H123" s="73" t="inlineStr">
        <is>
          <t>Gabriela Carrasco Aubert</t>
        </is>
      </c>
      <c r="I123" s="28" t="inlineStr">
        <is>
          <t>No disponible en fuente oficial</t>
        </is>
      </c>
      <c r="J123" s="73" t="inlineStr">
        <is>
          <t>yuyananchiscusco@gmail.com</t>
        </is>
      </c>
      <c r="K123" s="73" t="inlineStr">
        <is>
          <t>https://juventud.gob.pe/wp-content/uploads/2022/04/BASE-DE-DATOS-ORGANIZACIONES-JUVENILES-E-INSTITUCIONES-PRIVADAS.xlsx</t>
        </is>
      </c>
      <c r="L123" s="51" t="inlineStr">
        <is>
          <t>CONFIRMADO</t>
        </is>
      </c>
      <c r="M123" s="30" t="n"/>
    </row>
    <row r="124" ht="15.75" customHeight="1" s="182">
      <c r="A124" s="42" t="inlineStr">
        <is>
          <t>Perú</t>
        </is>
      </c>
      <c r="B124" s="15" t="inlineStr">
        <is>
          <t>Organizaciones juveniles</t>
        </is>
      </c>
      <c r="C124" s="73" t="inlineStr">
        <is>
          <t>Organizaciones de voluntariado</t>
        </is>
      </c>
      <c r="D124" s="73" t="inlineStr">
        <is>
          <t>GUTNIUS</t>
        </is>
      </c>
      <c r="E124" s="73" t="n"/>
      <c r="F124" s="73" t="inlineStr">
        <is>
          <t xml:space="preserve">Representante </t>
        </is>
      </c>
      <c r="G124" s="73" t="inlineStr">
        <is>
          <t>https://juventud.gob.pe/wp-content/uploads/2022/04/BASE-DE-DATOS-ORGANIZACIONES-JUVENILES-E-INSTITUCIONES-PRIVADAS.xlsx</t>
        </is>
      </c>
      <c r="H124" s="73" t="inlineStr">
        <is>
          <t>Claudia Iracema Loayza Lucero</t>
        </is>
      </c>
      <c r="I124" s="28" t="inlineStr">
        <is>
          <t>No disponible en fuente oficial</t>
        </is>
      </c>
      <c r="J124" s="73" t="inlineStr">
        <is>
          <t>direccion@gutnius.com</t>
        </is>
      </c>
      <c r="K124" s="73" t="inlineStr">
        <is>
          <t>https://juventud.gob.pe/wp-content/uploads/2022/04/BASE-DE-DATOS-ORGANIZACIONES-JUVENILES-E-INSTITUCIONES-PRIVADAS.xlsx</t>
        </is>
      </c>
      <c r="L124" s="51" t="inlineStr">
        <is>
          <t>CONFIRMADO</t>
        </is>
      </c>
      <c r="M124" s="30" t="n"/>
    </row>
    <row r="125" ht="15.75" customHeight="1" s="182">
      <c r="A125" s="42" t="inlineStr">
        <is>
          <t>Perú</t>
        </is>
      </c>
      <c r="B125" s="15" t="inlineStr">
        <is>
          <t>Organizaciones juveniles</t>
        </is>
      </c>
      <c r="C125" s="73" t="inlineStr">
        <is>
          <t>Organizaciones de estudiantes (escolar, universitario, tecnológico, artístico o pedagógico)</t>
        </is>
      </c>
      <c r="D125" s="73" t="inlineStr">
        <is>
          <t>CLUB ECOLOGISTA FUTURO VERDE</t>
        </is>
      </c>
      <c r="E125" s="73" t="n"/>
      <c r="F125" s="73" t="inlineStr">
        <is>
          <t xml:space="preserve">Representante </t>
        </is>
      </c>
      <c r="G125" s="73" t="inlineStr">
        <is>
          <t>https://juventud.gob.pe/wp-content/uploads/2022/04/BASE-DE-DATOS-ORGANIZACIONES-JUVENILES-E-INSTITUCIONES-PRIVADAS.xlsx</t>
        </is>
      </c>
      <c r="H125" s="73" t="inlineStr">
        <is>
          <t>Analy Gómez Huamán</t>
        </is>
      </c>
      <c r="I125" s="28" t="inlineStr">
        <is>
          <t>No disponible en fuente oficial</t>
        </is>
      </c>
      <c r="J125" s="73" t="inlineStr">
        <is>
          <t>niloachahui@gmail.com</t>
        </is>
      </c>
      <c r="K125" s="73" t="inlineStr">
        <is>
          <t>https://juventud.gob.pe/wp-content/uploads/2022/04/BASE-DE-DATOS-ORGANIZACIONES-JUVENILES-E-INSTITUCIONES-PRIVADAS.xlsx</t>
        </is>
      </c>
      <c r="L125" s="51" t="inlineStr">
        <is>
          <t>CONFIRMADO</t>
        </is>
      </c>
      <c r="M125" s="30" t="n"/>
    </row>
    <row r="126" ht="15.75" customHeight="1" s="182">
      <c r="A126" s="42" t="inlineStr">
        <is>
          <t>Perú</t>
        </is>
      </c>
      <c r="B126" s="15" t="inlineStr">
        <is>
          <t>Organizaciones juveniles</t>
        </is>
      </c>
      <c r="C126" s="73" t="inlineStr">
        <is>
          <t>Organizaciones de redes comunitarias o colectivos</t>
        </is>
      </c>
      <c r="D126" s="73" t="inlineStr">
        <is>
          <t>DEFENSORES DEL PATRIMONIO CULTURA UNSAAC / DEPC</t>
        </is>
      </c>
      <c r="E126" s="73" t="n"/>
      <c r="F126" s="73" t="inlineStr">
        <is>
          <t xml:space="preserve">Representante </t>
        </is>
      </c>
      <c r="G126" s="73" t="inlineStr">
        <is>
          <t>https://juventud.gob.pe/wp-content/uploads/2022/04/BASE-DE-DATOS-ORGANIZACIONES-JUVENILES-E-INSTITUCIONES-PRIVADAS.xlsx</t>
        </is>
      </c>
      <c r="H126" s="73" t="inlineStr">
        <is>
          <t>Martha Luz Ramos Pari</t>
        </is>
      </c>
      <c r="I126" s="28" t="inlineStr">
        <is>
          <t>No disponible en fuente oficial</t>
        </is>
      </c>
      <c r="J126" s="73" t="inlineStr">
        <is>
          <t>Defensoresunsaacpatrimonio@Gmail.Com</t>
        </is>
      </c>
      <c r="K126" s="73" t="inlineStr">
        <is>
          <t>https://juventud.gob.pe/wp-content/uploads/2022/04/BASE-DE-DATOS-ORGANIZACIONES-JUVENILES-E-INSTITUCIONES-PRIVADAS.xlsx</t>
        </is>
      </c>
      <c r="L126" s="51" t="inlineStr">
        <is>
          <t>CONFIRMADO</t>
        </is>
      </c>
      <c r="M126" s="30" t="n"/>
    </row>
    <row r="127" ht="15.75" customHeight="1" s="182">
      <c r="A127" s="42" t="inlineStr">
        <is>
          <t>Perú</t>
        </is>
      </c>
      <c r="B127" s="15" t="inlineStr">
        <is>
          <t>Organizaciones juveniles</t>
        </is>
      </c>
      <c r="C127" s="73" t="inlineStr">
        <is>
          <t>Organización artístIca y/o cultural</t>
        </is>
      </c>
      <c r="D127" s="73" t="inlineStr">
        <is>
          <t>REDUCTO MOVIMIENTO CULTURAL</t>
        </is>
      </c>
      <c r="E127" s="73" t="n"/>
      <c r="F127" s="73" t="inlineStr">
        <is>
          <t xml:space="preserve">Representante </t>
        </is>
      </c>
      <c r="G127" s="73" t="inlineStr">
        <is>
          <t>https://juventud.gob.pe/wp-content/uploads/2022/04/BASE-DE-DATOS-ORGANIZACIONES-JUVENILES-E-INSTITUCIONES-PRIVADAS.xlsx</t>
        </is>
      </c>
      <c r="H127" s="73" t="inlineStr">
        <is>
          <t>Vladimir Acuña Taco</t>
        </is>
      </c>
      <c r="I127" s="28" t="inlineStr">
        <is>
          <t>No disponible en fuente oficial</t>
        </is>
      </c>
      <c r="J127" s="73" t="inlineStr">
        <is>
          <t>reductomc@gmail.com</t>
        </is>
      </c>
      <c r="K127" s="73" t="inlineStr">
        <is>
          <t>https://juventud.gob.pe/wp-content/uploads/2022/04/BASE-DE-DATOS-ORGANIZACIONES-JUVENILES-E-INSTITUCIONES-PRIVADAS.xlsx</t>
        </is>
      </c>
      <c r="L127" s="51" t="inlineStr">
        <is>
          <t>CONFIRMADO</t>
        </is>
      </c>
      <c r="M127" s="30" t="n"/>
    </row>
    <row r="128" ht="15.75" customHeight="1" s="182">
      <c r="A128" s="42" t="inlineStr">
        <is>
          <t>Perú</t>
        </is>
      </c>
      <c r="B128" s="15" t="inlineStr">
        <is>
          <t>Organizaciones juveniles</t>
        </is>
      </c>
      <c r="C128" s="73" t="inlineStr">
        <is>
          <t>Organizaciones de voluntariado</t>
        </is>
      </c>
      <c r="D128" s="73" t="inlineStr">
        <is>
          <t>RED INTERQUORUM - CUSCO</t>
        </is>
      </c>
      <c r="E128" s="73" t="n"/>
      <c r="F128" s="73" t="inlineStr">
        <is>
          <t xml:space="preserve">Representante </t>
        </is>
      </c>
      <c r="G128" s="73" t="inlineStr">
        <is>
          <t>https://juventud.gob.pe/wp-content/uploads/2022/04/BASE-DE-DATOS-ORGANIZACIONES-JUVENILES-E-INSTITUCIONES-PRIVADAS.xlsx</t>
        </is>
      </c>
      <c r="H128" s="73" t="inlineStr">
        <is>
          <t>Lohuana Marycielo Antonio Jalixto</t>
        </is>
      </c>
      <c r="I128" s="28" t="inlineStr">
        <is>
          <t>No disponible en fuente oficial</t>
        </is>
      </c>
      <c r="J128" s="73" t="inlineStr">
        <is>
          <t>redinterquorumcusco@gmail.com</t>
        </is>
      </c>
      <c r="K128" s="73" t="inlineStr">
        <is>
          <t>https://juventud.gob.pe/wp-content/uploads/2022/04/BASE-DE-DATOS-ORGANIZACIONES-JUVENILES-E-INSTITUCIONES-PRIVADAS.xlsx</t>
        </is>
      </c>
      <c r="L128" s="51" t="inlineStr">
        <is>
          <t>CONFIRMADO</t>
        </is>
      </c>
      <c r="M128" s="30" t="n"/>
    </row>
    <row r="129" ht="15.75" customHeight="1" s="182">
      <c r="A129" s="42" t="inlineStr">
        <is>
          <t>Perú</t>
        </is>
      </c>
      <c r="B129" s="15" t="inlineStr">
        <is>
          <t>Organizaciones juveniles</t>
        </is>
      </c>
      <c r="C129" s="73" t="inlineStr">
        <is>
          <t>Organización artística y/o cultural</t>
        </is>
      </c>
      <c r="D129" s="73" t="inlineStr">
        <is>
          <t>RAJS</t>
        </is>
      </c>
      <c r="E129" s="73" t="n"/>
      <c r="F129" s="73" t="inlineStr">
        <is>
          <t xml:space="preserve">Representante </t>
        </is>
      </c>
      <c r="G129" s="73" t="inlineStr">
        <is>
          <t>https://juventud.gob.pe/wp-content/uploads/2022/04/BASE-DE-DATOS-ORGANIZACIONES-JUVENILES-E-INSTITUCIONES-PRIVADAS.xlsx</t>
        </is>
      </c>
      <c r="H129" s="73" t="inlineStr">
        <is>
          <t>Cathia Milagros Condori Huillca</t>
        </is>
      </c>
      <c r="I129" s="28" t="inlineStr">
        <is>
          <t>No disponible en fuente oficial</t>
        </is>
      </c>
      <c r="J129" s="73" t="inlineStr">
        <is>
          <t>cathiamilagros@hotmail.com</t>
        </is>
      </c>
      <c r="K129" s="73" t="inlineStr">
        <is>
          <t>https://juventud.gob.pe/wp-content/uploads/2022/04/BASE-DE-DATOS-ORGANIZACIONES-JUVENILES-E-INSTITUCIONES-PRIVADAS.xlsx</t>
        </is>
      </c>
      <c r="L129" s="51" t="inlineStr">
        <is>
          <t>CONFIRMADO</t>
        </is>
      </c>
      <c r="M129" s="30" t="n"/>
    </row>
    <row r="130" ht="15.75" customHeight="1" s="182">
      <c r="A130" s="42" t="inlineStr">
        <is>
          <t>Perú</t>
        </is>
      </c>
      <c r="B130" s="15" t="inlineStr">
        <is>
          <t>Organizaciones juveniles</t>
        </is>
      </c>
      <c r="C130" s="73" t="inlineStr">
        <is>
          <t>Organizaciones de estudiantes (escolar, universitario, tecnológico, artístico o pedagógico)</t>
        </is>
      </c>
      <c r="D130" s="73" t="inlineStr">
        <is>
          <t>LOS WAYNAS DE RAQCHI</t>
        </is>
      </c>
      <c r="E130" s="73" t="n"/>
      <c r="F130" s="73" t="inlineStr">
        <is>
          <t xml:space="preserve">Representante </t>
        </is>
      </c>
      <c r="G130" s="73" t="inlineStr">
        <is>
          <t>https://juventud.gob.pe/wp-content/uploads/2022/04/BASE-DE-DATOS-ORGANIZACIONES-JUVENILES-E-INSTITUCIONES-PRIVADAS.xlsx</t>
        </is>
      </c>
      <c r="H130" s="73" t="inlineStr">
        <is>
          <t>Guido Antonio Hayti Rodríguez</t>
        </is>
      </c>
      <c r="I130" s="28" t="inlineStr">
        <is>
          <t>No disponible en fuente oficial</t>
        </is>
      </c>
      <c r="J130" s="73" t="inlineStr">
        <is>
          <t>mashido.2305@gmail.com</t>
        </is>
      </c>
      <c r="K130" s="73" t="inlineStr">
        <is>
          <t>https://juventud.gob.pe/wp-content/uploads/2022/04/BASE-DE-DATOS-ORGANIZACIONES-JUVENILES-E-INSTITUCIONES-PRIVADAS.xlsx</t>
        </is>
      </c>
      <c r="L130" s="51" t="inlineStr">
        <is>
          <t>CONFIRMADO</t>
        </is>
      </c>
      <c r="M130" s="30" t="n"/>
    </row>
    <row r="131" ht="15.75" customHeight="1" s="182">
      <c r="A131" s="42" t="inlineStr">
        <is>
          <t>Perú</t>
        </is>
      </c>
      <c r="B131" s="15" t="inlineStr">
        <is>
          <t>Organizaciones juveniles</t>
        </is>
      </c>
      <c r="C131" s="73" t="inlineStr">
        <is>
          <t>Organizaciones de voluntariado</t>
        </is>
      </c>
      <c r="D131" s="73" t="inlineStr">
        <is>
          <t>ÑAÑAYKUNA</t>
        </is>
      </c>
      <c r="E131" s="73" t="n"/>
      <c r="F131" s="73" t="inlineStr">
        <is>
          <t xml:space="preserve">Representante </t>
        </is>
      </c>
      <c r="G131" s="73" t="inlineStr">
        <is>
          <t>https://juventud.gob.pe/wp-content/uploads/2022/04/BASE-DE-DATOS-ORGANIZACIONES-JUVENILES-E-INSTITUCIONES-PRIVADAS.xlsx</t>
        </is>
      </c>
      <c r="H131" s="73" t="inlineStr">
        <is>
          <t>Banesa Farfán Saravia</t>
        </is>
      </c>
      <c r="I131" s="28" t="inlineStr">
        <is>
          <t>No disponible en fuente oficial</t>
        </is>
      </c>
      <c r="J131" s="73" t="inlineStr">
        <is>
          <t>nanaykunacusco@gmail.com</t>
        </is>
      </c>
      <c r="K131" s="73" t="inlineStr">
        <is>
          <t>https://juventud.gob.pe/wp-content/uploads/2022/04/BASE-DE-DATOS-ORGANIZACIONES-JUVENILES-E-INSTITUCIONES-PRIVADAS.xlsx</t>
        </is>
      </c>
      <c r="L131" s="51" t="inlineStr">
        <is>
          <t>CONFIRMADO</t>
        </is>
      </c>
      <c r="M131" s="30" t="n"/>
    </row>
    <row r="132" ht="15.75" customHeight="1" s="182">
      <c r="A132" s="42" t="inlineStr">
        <is>
          <t>Perú</t>
        </is>
      </c>
      <c r="B132" s="15" t="inlineStr">
        <is>
          <t>Organizaciones juveniles</t>
        </is>
      </c>
      <c r="C132" s="73" t="inlineStr">
        <is>
          <t>Organizaciones de estudiantes (escolar, universitario, tecnológico, artístico o pedagógico)</t>
        </is>
      </c>
      <c r="D132" s="73" t="inlineStr">
        <is>
          <t>CÍRCULO DE ESTUDIOS E IMPULSO SOCIAL ECONÓMICO (CEISE)</t>
        </is>
      </c>
      <c r="E132" s="73" t="n"/>
      <c r="F132" s="73" t="inlineStr">
        <is>
          <t xml:space="preserve">Representante </t>
        </is>
      </c>
      <c r="G132" s="73" t="inlineStr">
        <is>
          <t>https://juventud.gob.pe/wp-content/uploads/2022/04/BASE-DE-DATOS-ORGANIZACIONES-JUVENILES-E-INSTITUCIONES-PRIVADAS.xlsx</t>
        </is>
      </c>
      <c r="H132" s="73" t="inlineStr">
        <is>
          <t>Hardy Frank Valencia Escobar</t>
        </is>
      </c>
      <c r="I132" s="28" t="inlineStr">
        <is>
          <t>No disponible en fuente oficial</t>
        </is>
      </c>
      <c r="J132" s="73" t="inlineStr">
        <is>
          <t>ceiseunh159@gmail.com</t>
        </is>
      </c>
      <c r="K132" s="73" t="inlineStr">
        <is>
          <t>https://juventud.gob.pe/wp-content/uploads/2022/04/BASE-DE-DATOS-ORGANIZACIONES-JUVENILES-E-INSTITUCIONES-PRIVADAS.xlsx</t>
        </is>
      </c>
      <c r="L132" s="51" t="inlineStr">
        <is>
          <t>CONFIRMADO</t>
        </is>
      </c>
      <c r="M132" s="30" t="n"/>
    </row>
    <row r="133" ht="15.75" customHeight="1" s="182">
      <c r="A133" s="42" t="inlineStr">
        <is>
          <t>Perú</t>
        </is>
      </c>
      <c r="B133" s="15" t="inlineStr">
        <is>
          <t>Organizaciones juveniles</t>
        </is>
      </c>
      <c r="C133" s="73" t="inlineStr">
        <is>
          <t>Organizaciones de voluntariado</t>
        </is>
      </c>
      <c r="D133" s="73" t="inlineStr">
        <is>
          <t>ESTUDIANTES DEJANDO HUELLA PARA UNA NUEVA GENERACIÓN</t>
        </is>
      </c>
      <c r="E133" s="73" t="n"/>
      <c r="F133" s="73" t="inlineStr">
        <is>
          <t xml:space="preserve">Representante </t>
        </is>
      </c>
      <c r="G133" s="73" t="inlineStr">
        <is>
          <t>https://juventud.gob.pe/wp-content/uploads/2022/04/BASE-DE-DATOS-ORGANIZACIONES-JUVENILES-E-INSTITUCIONES-PRIVADAS.xlsx</t>
        </is>
      </c>
      <c r="H133" s="73" t="inlineStr">
        <is>
          <t>Andrea del Rosario Carhuarica Cordova</t>
        </is>
      </c>
      <c r="I133" s="28" t="inlineStr">
        <is>
          <t>No disponible en fuente oficial</t>
        </is>
      </c>
      <c r="J133" s="73" t="inlineStr">
        <is>
          <t>Andrea29cc@gmail.com</t>
        </is>
      </c>
      <c r="K133" s="73" t="inlineStr">
        <is>
          <t>https://juventud.gob.pe/wp-content/uploads/2022/04/BASE-DE-DATOS-ORGANIZACIONES-JUVENILES-E-INSTITUCIONES-PRIVADAS.xlsx</t>
        </is>
      </c>
      <c r="L133" s="51" t="inlineStr">
        <is>
          <t>CONFIRMADO</t>
        </is>
      </c>
      <c r="M133" s="30" t="n"/>
    </row>
    <row r="134" ht="15.75" customHeight="1" s="182">
      <c r="A134" s="42" t="inlineStr">
        <is>
          <t>Perú</t>
        </is>
      </c>
      <c r="B134" s="15" t="inlineStr">
        <is>
          <t>Organizaciones juveniles</t>
        </is>
      </c>
      <c r="C134" s="73" t="inlineStr">
        <is>
          <t>Organizaciones de voluntariado</t>
        </is>
      </c>
      <c r="D134" s="73" t="inlineStr">
        <is>
          <t>ASOCIACIÓN CULTURA PUERTA DE LA AMAZONÍA (ACUPA)</t>
        </is>
      </c>
      <c r="E134" s="73" t="n"/>
      <c r="F134" s="73" t="inlineStr">
        <is>
          <t xml:space="preserve">Representante </t>
        </is>
      </c>
      <c r="G134" s="73" t="inlineStr">
        <is>
          <t>https://juventud.gob.pe/wp-content/uploads/2022/04/BASE-DE-DATOS-ORGANIZACIONES-JUVENILES-E-INSTITUCIONES-PRIVADAS.xlsx</t>
        </is>
      </c>
      <c r="H134" s="73" t="inlineStr">
        <is>
          <t>Vecker Lenin Eduardo Jaimes</t>
        </is>
      </c>
      <c r="I134" s="28" t="inlineStr">
        <is>
          <t>No disponible en fuente oficial</t>
        </is>
      </c>
      <c r="J134" s="73" t="inlineStr">
        <is>
          <t>acupaperu@gmail.com</t>
        </is>
      </c>
      <c r="K134" s="73" t="inlineStr">
        <is>
          <t>https://juventud.gob.pe/wp-content/uploads/2022/04/BASE-DE-DATOS-ORGANIZACIONES-JUVENILES-E-INSTITUCIONES-PRIVADAS.xlsx</t>
        </is>
      </c>
      <c r="L134" s="51" t="inlineStr">
        <is>
          <t>CONFIRMADO</t>
        </is>
      </c>
      <c r="M134" s="30" t="n"/>
    </row>
    <row r="135" ht="15.75" customHeight="1" s="182">
      <c r="A135" s="42" t="inlineStr">
        <is>
          <t>Perú</t>
        </is>
      </c>
      <c r="B135" s="15" t="inlineStr">
        <is>
          <t>Organizaciones juveniles</t>
        </is>
      </c>
      <c r="C135" s="73" t="inlineStr">
        <is>
          <t>Organizaciones de estudiantes (escolar, universitario, tecnológico, artístico o pedagógico)</t>
        </is>
      </c>
      <c r="D135" s="73" t="inlineStr">
        <is>
          <t>EQUIPO DE INVESTIGACIÓN DE ESTUDIANTES DE PSICOLOGÍA - EIEPSI</t>
        </is>
      </c>
      <c r="E135" s="73" t="n"/>
      <c r="F135" s="73" t="inlineStr">
        <is>
          <t xml:space="preserve">Representante </t>
        </is>
      </c>
      <c r="G135" s="73" t="inlineStr">
        <is>
          <t>https://juventud.gob.pe/wp-content/uploads/2022/04/BASE-DE-DATOS-ORGANIZACIONES-JUVENILES-E-INSTITUCIONES-PRIVADAS.xlsx</t>
        </is>
      </c>
      <c r="H135" s="73" t="inlineStr">
        <is>
          <t>Melgarejo Alarcón, Darlenne Michelle</t>
        </is>
      </c>
      <c r="I135" s="28" t="inlineStr">
        <is>
          <t>No disponible en fuente oficial</t>
        </is>
      </c>
      <c r="J135" s="73" t="inlineStr">
        <is>
          <t>eiepsi2018@gmail.com</t>
        </is>
      </c>
      <c r="K135" s="73" t="inlineStr">
        <is>
          <t>https://juventud.gob.pe/wp-content/uploads/2022/04/BASE-DE-DATOS-ORGANIZACIONES-JUVENILES-E-INSTITUCIONES-PRIVADAS.xlsx</t>
        </is>
      </c>
      <c r="L135" s="51" t="inlineStr">
        <is>
          <t>CONFIRMADO</t>
        </is>
      </c>
      <c r="M135" s="30" t="n"/>
    </row>
    <row r="136" ht="15.75" customHeight="1" s="182">
      <c r="A136" s="42" t="inlineStr">
        <is>
          <t>Perú</t>
        </is>
      </c>
      <c r="B136" s="15" t="inlineStr">
        <is>
          <t>Organizaciones juveniles</t>
        </is>
      </c>
      <c r="C136" s="73" t="inlineStr">
        <is>
          <t>Otros: Organizaciones de liderazgo</t>
        </is>
      </c>
      <c r="D136" s="73" t="inlineStr">
        <is>
          <t>UNIÓN PERUANA DE JÓVENES LÍDERES - HUÁNUCO</t>
        </is>
      </c>
      <c r="E136" s="73" t="n"/>
      <c r="F136" s="73" t="inlineStr">
        <is>
          <t xml:space="preserve">Representante </t>
        </is>
      </c>
      <c r="G136" s="73" t="inlineStr">
        <is>
          <t>https://juventud.gob.pe/wp-content/uploads/2022/04/BASE-DE-DATOS-ORGANIZACIONES-JUVENILES-E-INSTITUCIONES-PRIVADAS.xlsx</t>
        </is>
      </c>
      <c r="H136" s="73" t="inlineStr">
        <is>
          <t>Christian Eduardo Valencia Albitres</t>
        </is>
      </c>
      <c r="I136" s="28" t="inlineStr">
        <is>
          <t>No disponible en fuente oficial</t>
        </is>
      </c>
      <c r="J136" s="73" t="inlineStr">
        <is>
          <t>huanuco@upejol.org.pe</t>
        </is>
      </c>
      <c r="K136" s="73" t="inlineStr">
        <is>
          <t>https://juventud.gob.pe/wp-content/uploads/2022/04/BASE-DE-DATOS-ORGANIZACIONES-JUVENILES-E-INSTITUCIONES-PRIVADAS.xlsx</t>
        </is>
      </c>
      <c r="L136" s="51" t="inlineStr">
        <is>
          <t>CONFIRMADO</t>
        </is>
      </c>
      <c r="M136" s="30" t="n"/>
    </row>
    <row r="137" ht="15.75" customHeight="1" s="182">
      <c r="A137" s="42" t="inlineStr">
        <is>
          <t>Perú</t>
        </is>
      </c>
      <c r="B137" s="15" t="inlineStr">
        <is>
          <t>Organizaciones juveniles</t>
        </is>
      </c>
      <c r="C137" s="73" t="inlineStr">
        <is>
          <t>Organizaciones de estudiantes (escolar, universitario, tecnológico, artístico o pedagógico)</t>
        </is>
      </c>
      <c r="D137" s="73" t="inlineStr">
        <is>
          <t>FRENTE ESTUDIANTIL UNAS - FEU</t>
        </is>
      </c>
      <c r="E137" s="73" t="n"/>
      <c r="F137" s="73" t="inlineStr">
        <is>
          <t xml:space="preserve">Representante </t>
        </is>
      </c>
      <c r="G137" s="73" t="inlineStr">
        <is>
          <t>https://juventud.gob.pe/wp-content/uploads/2022/04/BASE-DE-DATOS-ORGANIZACIONES-JUVENILES-E-INSTITUCIONES-PRIVADAS.xlsx</t>
        </is>
      </c>
      <c r="H137" s="73" t="inlineStr">
        <is>
          <t>Astrid Masiel Robles Robles</t>
        </is>
      </c>
      <c r="I137" s="28" t="inlineStr">
        <is>
          <t>No disponible en fuente oficial</t>
        </is>
      </c>
      <c r="J137" s="73" t="inlineStr">
        <is>
          <t>robles.astridmasiel@gmail.com</t>
        </is>
      </c>
      <c r="K137" s="73" t="inlineStr">
        <is>
          <t>https://juventud.gob.pe/wp-content/uploads/2022/04/BASE-DE-DATOS-ORGANIZACIONES-JUVENILES-E-INSTITUCIONES-PRIVADAS.xlsx</t>
        </is>
      </c>
      <c r="L137" s="51" t="inlineStr">
        <is>
          <t>CONFIRMADO</t>
        </is>
      </c>
      <c r="M137" s="30" t="n"/>
    </row>
    <row r="138" ht="15.75" customHeight="1" s="182">
      <c r="A138" s="42" t="inlineStr">
        <is>
          <t>Perú</t>
        </is>
      </c>
      <c r="B138" s="15" t="inlineStr">
        <is>
          <t>Organizaciones juveniles</t>
        </is>
      </c>
      <c r="C138" s="73" t="inlineStr">
        <is>
          <t>Organizaciones de voluntariado</t>
        </is>
      </c>
      <c r="D138" s="73" t="inlineStr">
        <is>
          <t>RED MAYTA PAÍS</t>
        </is>
      </c>
      <c r="E138" s="73" t="n"/>
      <c r="F138" s="73" t="inlineStr">
        <is>
          <t xml:space="preserve">Representante </t>
        </is>
      </c>
      <c r="G138" s="73" t="inlineStr">
        <is>
          <t>https://juventud.gob.pe/wp-content/uploads/2022/04/BASE-DE-DATOS-ORGANIZACIONES-JUVENILES-E-INSTITUCIONES-PRIVADAS.xlsx</t>
        </is>
      </c>
      <c r="H138" s="73" t="inlineStr">
        <is>
          <t>Kevin Rosales Tucto</t>
        </is>
      </c>
      <c r="I138" s="28" t="inlineStr">
        <is>
          <t>No disponible en fuente oficial</t>
        </is>
      </c>
      <c r="J138" s="73" t="inlineStr">
        <is>
          <t>seed_juventud123@hotmail.com</t>
        </is>
      </c>
      <c r="K138" s="73" t="inlineStr">
        <is>
          <t>https://juventud.gob.pe/wp-content/uploads/2022/04/BASE-DE-DATOS-ORGANIZACIONES-JUVENILES-E-INSTITUCIONES-PRIVADAS.xlsx</t>
        </is>
      </c>
      <c r="L138" s="51" t="inlineStr">
        <is>
          <t>CONFIRMADO</t>
        </is>
      </c>
      <c r="M138" s="30" t="n"/>
    </row>
    <row r="139" ht="15.75" customHeight="1" s="182">
      <c r="A139" s="42" t="inlineStr">
        <is>
          <t>Perú</t>
        </is>
      </c>
      <c r="B139" s="15" t="inlineStr">
        <is>
          <t>Organizaciones juveniles</t>
        </is>
      </c>
      <c r="C139" s="73" t="inlineStr">
        <is>
          <t>Organizaciones de voluntariado</t>
        </is>
      </c>
      <c r="D139" s="73" t="inlineStr">
        <is>
          <t>RED INTERQUORUM HUÁNUCO - RED IQ</t>
        </is>
      </c>
      <c r="E139" s="73" t="n"/>
      <c r="F139" s="73" t="inlineStr">
        <is>
          <t xml:space="preserve">Representante </t>
        </is>
      </c>
      <c r="G139" s="73" t="inlineStr">
        <is>
          <t>https://juventud.gob.pe/wp-content/uploads/2022/04/BASE-DE-DATOS-ORGANIZACIONES-JUVENILES-E-INSTITUCIONES-PRIVADAS.xlsx</t>
        </is>
      </c>
      <c r="H139" s="73" t="inlineStr">
        <is>
          <t>Luz Clarita Isidro León</t>
        </is>
      </c>
      <c r="I139" s="28" t="inlineStr">
        <is>
          <t>No disponible en fuente oficial</t>
        </is>
      </c>
      <c r="J139" s="73" t="inlineStr">
        <is>
          <t>rediqhco@gmail.com</t>
        </is>
      </c>
      <c r="K139" s="73" t="inlineStr">
        <is>
          <t>https://juventud.gob.pe/wp-content/uploads/2022/04/BASE-DE-DATOS-ORGANIZACIONES-JUVENILES-E-INSTITUCIONES-PRIVADAS.xlsx</t>
        </is>
      </c>
      <c r="L139" s="51" t="inlineStr">
        <is>
          <t>CONFIRMADO</t>
        </is>
      </c>
      <c r="M139" s="30" t="n"/>
    </row>
    <row r="140" ht="15.75" customHeight="1" s="182">
      <c r="A140" s="42" t="inlineStr">
        <is>
          <t>Perú</t>
        </is>
      </c>
      <c r="B140" s="15" t="inlineStr">
        <is>
          <t>Organizaciones juveniles</t>
        </is>
      </c>
      <c r="C140" s="73" t="inlineStr">
        <is>
          <t>Organizaciones de estudiantes (escolar, universitario, tecnológico, artístico o pedagógico)</t>
        </is>
      </c>
      <c r="D140" s="73" t="inlineStr">
        <is>
          <t>UNISAME - UNIDOS POR LA SALUD MENTAL</t>
        </is>
      </c>
      <c r="E140" s="73" t="n"/>
      <c r="F140" s="73" t="inlineStr">
        <is>
          <t xml:space="preserve">Representante </t>
        </is>
      </c>
      <c r="G140" s="73" t="inlineStr">
        <is>
          <t>https://juventud.gob.pe/wp-content/uploads/2022/04/BASE-DE-DATOS-ORGANIZACIONES-JUVENILES-E-INSTITUCIONES-PRIVADAS.xlsx</t>
        </is>
      </c>
      <c r="H140" s="73" t="inlineStr">
        <is>
          <t>Rafael Jhunner Valerio Morales</t>
        </is>
      </c>
      <c r="I140" s="28" t="inlineStr">
        <is>
          <t>No disponible en fuente oficial</t>
        </is>
      </c>
      <c r="J140" s="73" t="inlineStr">
        <is>
          <t>unisame0804@gmail.com</t>
        </is>
      </c>
      <c r="K140" s="73" t="inlineStr">
        <is>
          <t>https://juventud.gob.pe/wp-content/uploads/2022/04/BASE-DE-DATOS-ORGANIZACIONES-JUVENILES-E-INSTITUCIONES-PRIVADAS.xlsx</t>
        </is>
      </c>
      <c r="L140" s="51" t="inlineStr">
        <is>
          <t>CONFIRMADO</t>
        </is>
      </c>
      <c r="M140" s="30" t="n"/>
    </row>
    <row r="141" ht="15.75" customHeight="1" s="182">
      <c r="A141" s="42" t="inlineStr">
        <is>
          <t>Perú</t>
        </is>
      </c>
      <c r="B141" s="15" t="inlineStr">
        <is>
          <t>Organizaciones juveniles</t>
        </is>
      </c>
      <c r="C141" s="73" t="inlineStr">
        <is>
          <t>Organizaciones de voluntariado</t>
        </is>
      </c>
      <c r="D141" s="73" t="inlineStr">
        <is>
          <t>RUWAY PACHA</t>
        </is>
      </c>
      <c r="E141" s="73" t="n"/>
      <c r="F141" s="73" t="inlineStr">
        <is>
          <t xml:space="preserve">Representante </t>
        </is>
      </c>
      <c r="G141" s="73" t="inlineStr">
        <is>
          <t>https://juventud.gob.pe/wp-content/uploads/2022/04/BASE-DE-DATOS-ORGANIZACIONES-JUVENILES-E-INSTITUCIONES-PRIVADAS.xlsx</t>
        </is>
      </c>
      <c r="H141" s="73" t="inlineStr">
        <is>
          <t>Reggina Hermaisable Eneque Arotinco</t>
        </is>
      </c>
      <c r="I141" s="28" t="inlineStr">
        <is>
          <t>No disponible en fuente oficial</t>
        </is>
      </c>
      <c r="J141" s="73" t="inlineStr">
        <is>
          <t>Ruwaypacha.peru@gmail.com</t>
        </is>
      </c>
      <c r="K141" s="73" t="inlineStr">
        <is>
          <t>https://juventud.gob.pe/wp-content/uploads/2022/04/BASE-DE-DATOS-ORGANIZACIONES-JUVENILES-E-INSTITUCIONES-PRIVADAS.xlsx</t>
        </is>
      </c>
      <c r="L141" s="51" t="inlineStr">
        <is>
          <t>CONFIRMADO</t>
        </is>
      </c>
      <c r="M141" s="30" t="n"/>
    </row>
    <row r="142" ht="15.75" customHeight="1" s="182">
      <c r="A142" s="42" t="inlineStr">
        <is>
          <t>Perú</t>
        </is>
      </c>
      <c r="B142" s="15" t="inlineStr">
        <is>
          <t>Organizaciones juveniles</t>
        </is>
      </c>
      <c r="C142" s="73" t="inlineStr">
        <is>
          <t>Organización artística y/o cultural</t>
        </is>
      </c>
      <c r="D142" s="73" t="inlineStr">
        <is>
          <t>EMERGENTES DEL MAR</t>
        </is>
      </c>
      <c r="E142" s="73" t="n"/>
      <c r="F142" s="73" t="inlineStr">
        <is>
          <t xml:space="preserve">Representante </t>
        </is>
      </c>
      <c r="G142" s="73" t="inlineStr">
        <is>
          <t>https://juventud.gob.pe/wp-content/uploads/2022/04/BASE-DE-DATOS-ORGANIZACIONES-JUVENILES-E-INSTITUCIONES-PRIVADAS.xlsx</t>
        </is>
      </c>
      <c r="H142" s="73" t="inlineStr">
        <is>
          <t>Lourdes Estela Apari Moscoso</t>
        </is>
      </c>
      <c r="I142" s="28" t="inlineStr">
        <is>
          <t>No disponible en fuente oficial</t>
        </is>
      </c>
      <c r="J142" s="73" t="inlineStr">
        <is>
          <t>emergentesdelmar@gmail.com</t>
        </is>
      </c>
      <c r="K142" s="73" t="inlineStr">
        <is>
          <t>https://juventud.gob.pe/wp-content/uploads/2022/04/BASE-DE-DATOS-ORGANIZACIONES-JUVENILES-E-INSTITUCIONES-PRIVADAS.xlsx</t>
        </is>
      </c>
      <c r="L142" s="51" t="inlineStr">
        <is>
          <t>CONFIRMADO</t>
        </is>
      </c>
      <c r="M142" s="30" t="n"/>
    </row>
    <row r="143" ht="15.75" customHeight="1" s="182">
      <c r="A143" s="42" t="inlineStr">
        <is>
          <t>Perú</t>
        </is>
      </c>
      <c r="B143" s="15" t="inlineStr">
        <is>
          <t>Organizaciones juveniles</t>
        </is>
      </c>
      <c r="C143" s="73" t="inlineStr">
        <is>
          <t>Organización de investigadores académicos</t>
        </is>
      </c>
      <c r="D143" s="73" t="inlineStr">
        <is>
          <t>CLUB DE INVESTIGACIÓN CIENTÍFICA "DR. MARIO ESPARZA MANTILLA"</t>
        </is>
      </c>
      <c r="E143" s="73" t="n"/>
      <c r="F143" s="73" t="inlineStr">
        <is>
          <t xml:space="preserve">Representante </t>
        </is>
      </c>
      <c r="G143" s="73" t="inlineStr">
        <is>
          <t>https://juventud.gob.pe/wp-content/uploads/2022/04/BASE-DE-DATOS-ORGANIZACIONES-JUVENILES-E-INSTITUCIONES-PRIVADAS.xlsx</t>
        </is>
      </c>
      <c r="H143" s="73" t="inlineStr">
        <is>
          <t>Jharefz Joshuani Fernández Joyo</t>
        </is>
      </c>
      <c r="I143" s="28" t="inlineStr">
        <is>
          <t>No disponible en fuente oficial</t>
        </is>
      </c>
      <c r="J143" s="73" t="inlineStr">
        <is>
          <t>Clubic.unica@hotmail.com</t>
        </is>
      </c>
      <c r="K143" s="73" t="inlineStr">
        <is>
          <t>https://juventud.gob.pe/wp-content/uploads/2022/04/BASE-DE-DATOS-ORGANIZACIONES-JUVENILES-E-INSTITUCIONES-PRIVADAS.xlsx</t>
        </is>
      </c>
      <c r="L143" s="51" t="inlineStr">
        <is>
          <t>CONFIRMADO</t>
        </is>
      </c>
      <c r="M143" s="30" t="n"/>
    </row>
    <row r="144" ht="15.75" customHeight="1" s="182">
      <c r="A144" s="42" t="inlineStr">
        <is>
          <t>Perú</t>
        </is>
      </c>
      <c r="B144" s="15" t="inlineStr">
        <is>
          <t>Organizaciones juveniles</t>
        </is>
      </c>
      <c r="C144" s="73" t="inlineStr">
        <is>
          <t>Organizaciones de estudiantes (escolar, universitario, tecnológico, artístico o pedagógico)</t>
        </is>
      </c>
      <c r="D144" s="73" t="inlineStr">
        <is>
          <t>COMITÉ DE APOYO A LA CULTURA DEL GAS NATURAL (CACGN)</t>
        </is>
      </c>
      <c r="E144" s="73" t="n"/>
      <c r="F144" s="73" t="inlineStr">
        <is>
          <t xml:space="preserve">Representante </t>
        </is>
      </c>
      <c r="G144" s="73" t="inlineStr">
        <is>
          <t>https://juventud.gob.pe/wp-content/uploads/2022/04/BASE-DE-DATOS-ORGANIZACIONES-JUVENILES-E-INSTITUCIONES-PRIVADAS.xlsx</t>
        </is>
      </c>
      <c r="H144" s="73" t="inlineStr">
        <is>
          <t>Yenifer Del Pilar Orna Chamochumbi</t>
        </is>
      </c>
      <c r="I144" s="28" t="inlineStr">
        <is>
          <t>No disponible en fuente oficial</t>
        </is>
      </c>
      <c r="J144" s="73" t="inlineStr">
        <is>
          <t>naturwayna@gmail.com</t>
        </is>
      </c>
      <c r="K144" s="73" t="inlineStr">
        <is>
          <t>https://juventud.gob.pe/wp-content/uploads/2022/04/BASE-DE-DATOS-ORGANIZACIONES-JUVENILES-E-INSTITUCIONES-PRIVADAS.xlsx</t>
        </is>
      </c>
      <c r="L144" s="51" t="inlineStr">
        <is>
          <t>CONFIRMADO</t>
        </is>
      </c>
      <c r="M144" s="30" t="n"/>
    </row>
    <row r="145" ht="15.75" customHeight="1" s="182">
      <c r="A145" s="42" t="inlineStr">
        <is>
          <t>Perú</t>
        </is>
      </c>
      <c r="B145" s="15" t="inlineStr">
        <is>
          <t>Organizaciones juveniles</t>
        </is>
      </c>
      <c r="C145" s="73" t="inlineStr">
        <is>
          <t>Organizaciones de estudiantes (escolar, universitario, tecnológico, artístico o pedagógico)</t>
        </is>
      </c>
      <c r="D145" s="73" t="inlineStr">
        <is>
          <t>RUA PERÚ nodo UNSLG</t>
        </is>
      </c>
      <c r="E145" s="73" t="n"/>
      <c r="F145" s="73" t="inlineStr">
        <is>
          <t xml:space="preserve">Representante </t>
        </is>
      </c>
      <c r="G145" s="73" t="inlineStr">
        <is>
          <t>https://juventud.gob.pe/wp-content/uploads/2022/04/BASE-DE-DATOS-ORGANIZACIONES-JUVENILES-E-INSTITUCIONES-PRIVADAS.xlsx</t>
        </is>
      </c>
      <c r="H145" s="73" t="inlineStr">
        <is>
          <t>Karen Nicole Saravia Palomino</t>
        </is>
      </c>
      <c r="I145" s="28" t="inlineStr">
        <is>
          <t>No disponible en fuente oficial</t>
        </is>
      </c>
      <c r="J145" s="73" t="inlineStr">
        <is>
          <t>rua.nodo.unslg@gmail.com</t>
        </is>
      </c>
      <c r="K145" s="73" t="inlineStr">
        <is>
          <t>https://juventud.gob.pe/wp-content/uploads/2022/04/BASE-DE-DATOS-ORGANIZACIONES-JUVENILES-E-INSTITUCIONES-PRIVADAS.xlsx</t>
        </is>
      </c>
      <c r="L145" s="51" t="inlineStr">
        <is>
          <t>CONFIRMADO</t>
        </is>
      </c>
      <c r="M145" s="30" t="n"/>
    </row>
    <row r="146" ht="15.75" customHeight="1" s="182">
      <c r="A146" s="42" t="inlineStr">
        <is>
          <t>Perú</t>
        </is>
      </c>
      <c r="B146" s="15" t="inlineStr">
        <is>
          <t>Organizaciones juveniles</t>
        </is>
      </c>
      <c r="C146" s="73" t="inlineStr">
        <is>
          <t>Organizaciones de estudiantes (escolar, universitario, tecnológico, artístico o pedagógico)</t>
        </is>
      </c>
      <c r="D146" s="73" t="inlineStr">
        <is>
          <t>CÍRCULO DE ESTUDIOS DE INGENIERÍA AMBIENTAL</t>
        </is>
      </c>
      <c r="E146" s="73" t="n"/>
      <c r="F146" s="73" t="inlineStr">
        <is>
          <t xml:space="preserve">Representante </t>
        </is>
      </c>
      <c r="G146" s="73" t="inlineStr">
        <is>
          <t>https://juventud.gob.pe/wp-content/uploads/2022/04/BASE-DE-DATOS-ORGANIZACIONES-JUVENILES-E-INSTITUCIONES-PRIVADAS.xlsx</t>
        </is>
      </c>
      <c r="H146" s="73" t="inlineStr">
        <is>
          <t>Brescia Geraldine Carbajal Del Castillo</t>
        </is>
      </c>
      <c r="I146" s="28" t="inlineStr">
        <is>
          <t>No disponible en fuente oficial</t>
        </is>
      </c>
      <c r="J146" s="73" t="inlineStr">
        <is>
          <t>circulodeestudiosceia@gmail.com</t>
        </is>
      </c>
      <c r="K146" s="73" t="inlineStr">
        <is>
          <t>https://juventud.gob.pe/wp-content/uploads/2022/04/BASE-DE-DATOS-ORGANIZACIONES-JUVENILES-E-INSTITUCIONES-PRIVADAS.xlsx</t>
        </is>
      </c>
      <c r="L146" s="51" t="inlineStr">
        <is>
          <t>CONFIRMADO</t>
        </is>
      </c>
      <c r="M146" s="30" t="n"/>
    </row>
    <row r="147" ht="15.75" customHeight="1" s="182">
      <c r="A147" s="42" t="inlineStr">
        <is>
          <t>Perú</t>
        </is>
      </c>
      <c r="B147" s="15" t="inlineStr">
        <is>
          <t>Organizaciones juveniles</t>
        </is>
      </c>
      <c r="C147" s="73" t="inlineStr">
        <is>
          <t>Organizaciones de estudiantes (escolar, universitario, tecnológico, artístico o pedagógico)</t>
        </is>
      </c>
      <c r="D147" s="73" t="inlineStr">
        <is>
          <t>FUNDACIÓN NATURWAYNA</t>
        </is>
      </c>
      <c r="E147" s="73" t="n"/>
      <c r="F147" s="73" t="inlineStr">
        <is>
          <t xml:space="preserve">Representante </t>
        </is>
      </c>
      <c r="G147" s="73" t="inlineStr">
        <is>
          <t>https://juventud.gob.pe/wp-content/uploads/2022/04/BASE-DE-DATOS-ORGANIZACIONES-JUVENILES-E-INSTITUCIONES-PRIVADAS.xlsx</t>
        </is>
      </c>
      <c r="H147" s="73" t="inlineStr">
        <is>
          <t>Daniel Anel Durán Taquiri</t>
        </is>
      </c>
      <c r="I147" s="28" t="inlineStr">
        <is>
          <t>No disponible en fuente oficial</t>
        </is>
      </c>
      <c r="J147" s="73" t="inlineStr">
        <is>
          <t>naturwayna@gmail.com</t>
        </is>
      </c>
      <c r="K147" s="73" t="inlineStr">
        <is>
          <t>https://juventud.gob.pe/wp-content/uploads/2022/04/BASE-DE-DATOS-ORGANIZACIONES-JUVENILES-E-INSTITUCIONES-PRIVADAS.xlsx</t>
        </is>
      </c>
      <c r="L147" s="51" t="inlineStr">
        <is>
          <t>CONFIRMADO</t>
        </is>
      </c>
      <c r="M147" s="30" t="n"/>
    </row>
    <row r="148" ht="15.75" customHeight="1" s="182">
      <c r="A148" s="42" t="inlineStr">
        <is>
          <t>Perú</t>
        </is>
      </c>
      <c r="B148" s="15" t="inlineStr">
        <is>
          <t>Organizaciones juveniles</t>
        </is>
      </c>
      <c r="C148" s="73" t="inlineStr">
        <is>
          <t>Organizaciones de voluntariado</t>
        </is>
      </c>
      <c r="D148" s="73" t="inlineStr">
        <is>
          <t>MOVINCOLNNATS</t>
        </is>
      </c>
      <c r="E148" s="73" t="n"/>
      <c r="F148" s="73" t="inlineStr">
        <is>
          <t xml:space="preserve">Representante </t>
        </is>
      </c>
      <c r="G148" s="73" t="inlineStr">
        <is>
          <t>https://juventud.gob.pe/wp-content/uploads/2022/04/BASE-DE-DATOS-ORGANIZACIONES-JUVENILES-E-INSTITUCIONES-PRIVADAS.xlsx</t>
        </is>
      </c>
      <c r="H148" s="73" t="inlineStr">
        <is>
          <t>Luis Alberto Garcia Sihuas</t>
        </is>
      </c>
      <c r="I148" s="28" t="inlineStr">
        <is>
          <t>No disponible en fuente oficial</t>
        </is>
      </c>
      <c r="J148" s="73" t="inlineStr">
        <is>
          <t>Movincolnats.ica@gmail.com</t>
        </is>
      </c>
      <c r="K148" s="73" t="inlineStr">
        <is>
          <t>https://juventud.gob.pe/wp-content/uploads/2022/04/BASE-DE-DATOS-ORGANIZACIONES-JUVENILES-E-INSTITUCIONES-PRIVADAS.xlsx</t>
        </is>
      </c>
      <c r="L148" s="51" t="inlineStr">
        <is>
          <t>CONFIRMADO</t>
        </is>
      </c>
      <c r="M148" s="30" t="n"/>
    </row>
    <row r="149" ht="15.75" customHeight="1" s="182">
      <c r="A149" s="42" t="inlineStr">
        <is>
          <t>Perú</t>
        </is>
      </c>
      <c r="B149" s="15" t="inlineStr">
        <is>
          <t>Organizaciones juveniles</t>
        </is>
      </c>
      <c r="C149" s="73" t="inlineStr">
        <is>
          <t>Organizaciones de voluntariado</t>
        </is>
      </c>
      <c r="D149" s="73" t="inlineStr">
        <is>
          <t>AGRUPACIÓN ECOLÓGICO PERÚ</t>
        </is>
      </c>
      <c r="E149" s="73" t="n"/>
      <c r="F149" s="73" t="inlineStr">
        <is>
          <t xml:space="preserve">Representante </t>
        </is>
      </c>
      <c r="G149" s="73" t="inlineStr">
        <is>
          <t>https://juventud.gob.pe/wp-content/uploads/2022/04/BASE-DE-DATOS-ORGANIZACIONES-JUVENILES-E-INSTITUCIONES-PRIVADAS.xlsx</t>
        </is>
      </c>
      <c r="H149" s="73" t="inlineStr">
        <is>
          <t>Olaff Ludwing Durand Nuñez</t>
        </is>
      </c>
      <c r="I149" s="28" t="inlineStr">
        <is>
          <t>No disponible en fuente oficial</t>
        </is>
      </c>
      <c r="J149" s="73" t="inlineStr">
        <is>
          <t>ecologicoperu@hotmail.com</t>
        </is>
      </c>
      <c r="K149" s="73" t="inlineStr">
        <is>
          <t>https://juventud.gob.pe/wp-content/uploads/2022/04/BASE-DE-DATOS-ORGANIZACIONES-JUVENILES-E-INSTITUCIONES-PRIVADAS.xlsx</t>
        </is>
      </c>
      <c r="L149" s="51" t="inlineStr">
        <is>
          <t>CONFIRMADO</t>
        </is>
      </c>
      <c r="M149" s="30" t="n"/>
    </row>
    <row r="150" ht="15.75" customHeight="1" s="182">
      <c r="A150" s="42" t="inlineStr">
        <is>
          <t>Perú</t>
        </is>
      </c>
      <c r="B150" s="15" t="inlineStr">
        <is>
          <t>Organizaciones juveniles</t>
        </is>
      </c>
      <c r="C150" s="73" t="inlineStr">
        <is>
          <t>Organización de investigares académicos</t>
        </is>
      </c>
      <c r="D150" s="73" t="inlineStr">
        <is>
          <t>CENTRO DE INVESTIGACIÓN LLIUYAWAR</t>
        </is>
      </c>
      <c r="E150" s="73" t="n"/>
      <c r="F150" s="73" t="inlineStr">
        <is>
          <t xml:space="preserve">Representante </t>
        </is>
      </c>
      <c r="G150" s="73" t="inlineStr">
        <is>
          <t>https://juventud.gob.pe/wp-content/uploads/2022/04/BASE-DE-DATOS-ORGANIZACIONES-JUVENILES-E-INSTITUCIONES-PRIVADAS.xlsx</t>
        </is>
      </c>
      <c r="H150" s="73" t="inlineStr">
        <is>
          <t>Yhon Deni León Chinchilla</t>
        </is>
      </c>
      <c r="I150" s="28" t="inlineStr">
        <is>
          <t>No disponible en fuente oficial</t>
        </is>
      </c>
      <c r="J150" s="73" t="inlineStr">
        <is>
          <t>lliuyawar@gmail.com</t>
        </is>
      </c>
      <c r="K150" s="73" t="inlineStr">
        <is>
          <t>https://juventud.gob.pe/wp-content/uploads/2022/04/BASE-DE-DATOS-ORGANIZACIONES-JUVENILES-E-INSTITUCIONES-PRIVADAS.xlsx</t>
        </is>
      </c>
      <c r="L150" s="51" t="inlineStr">
        <is>
          <t>CONFIRMADO</t>
        </is>
      </c>
      <c r="M150" s="30" t="n"/>
    </row>
    <row r="151" ht="15.75" customHeight="1" s="182">
      <c r="A151" s="42" t="inlineStr">
        <is>
          <t>Perú</t>
        </is>
      </c>
      <c r="B151" s="15" t="inlineStr">
        <is>
          <t>Organizaciones juveniles</t>
        </is>
      </c>
      <c r="C151" s="73" t="inlineStr">
        <is>
          <t>Organizaciones de emprendedores</t>
        </is>
      </c>
      <c r="D151" s="73" t="inlineStr">
        <is>
          <t>KIPU VISUAL</t>
        </is>
      </c>
      <c r="E151" s="73" t="n"/>
      <c r="F151" s="73" t="inlineStr">
        <is>
          <t xml:space="preserve">Representante </t>
        </is>
      </c>
      <c r="G151" s="73" t="inlineStr">
        <is>
          <t>https://juventud.gob.pe/wp-content/uploads/2022/04/BASE-DE-DATOS-ORGANIZACIONES-JUVENILES-E-INSTITUCIONES-PRIVADAS.xlsx</t>
        </is>
      </c>
      <c r="H151" s="73" t="inlineStr">
        <is>
          <t>Jean Pool Bejarano Herquínigo</t>
        </is>
      </c>
      <c r="I151" s="28" t="inlineStr">
        <is>
          <t>No disponible en fuente oficial</t>
        </is>
      </c>
      <c r="J151" s="73" t="inlineStr">
        <is>
          <t>kipu.visual@gmail.com</t>
        </is>
      </c>
      <c r="K151" s="73" t="inlineStr">
        <is>
          <t>https://juventud.gob.pe/wp-content/uploads/2022/04/BASE-DE-DATOS-ORGANIZACIONES-JUVENILES-E-INSTITUCIONES-PRIVADAS.xlsx</t>
        </is>
      </c>
      <c r="L151" s="51" t="inlineStr">
        <is>
          <t>CONFIRMADO</t>
        </is>
      </c>
      <c r="M151" s="30" t="n"/>
    </row>
    <row r="152" ht="15.75" customHeight="1" s="182">
      <c r="A152" s="42" t="inlineStr">
        <is>
          <t>Perú</t>
        </is>
      </c>
      <c r="B152" s="15" t="inlineStr">
        <is>
          <t>Organizaciones juveniles</t>
        </is>
      </c>
      <c r="C152" s="73" t="inlineStr">
        <is>
          <t>Organizaciones de voluntariado</t>
        </is>
      </c>
      <c r="D152" s="73" t="inlineStr">
        <is>
          <t>RENACER JUNIN</t>
        </is>
      </c>
      <c r="E152" s="73" t="n"/>
      <c r="F152" s="73" t="inlineStr">
        <is>
          <t xml:space="preserve">Representante </t>
        </is>
      </c>
      <c r="G152" s="73" t="inlineStr">
        <is>
          <t>https://juventud.gob.pe/wp-content/uploads/2022/04/BASE-DE-DATOS-ORGANIZACIONES-JUVENILES-E-INSTITUCIONES-PRIVADAS.xlsx</t>
        </is>
      </c>
      <c r="H152" s="73" t="inlineStr">
        <is>
          <t>Abraham Orlando Reynaga Trillo</t>
        </is>
      </c>
      <c r="I152" s="28" t="inlineStr">
        <is>
          <t>No disponible en fuente oficial</t>
        </is>
      </c>
      <c r="J152" s="73" t="inlineStr">
        <is>
          <t>Renacerjunin2018@gmail.com</t>
        </is>
      </c>
      <c r="K152" s="73" t="inlineStr">
        <is>
          <t>https://juventud.gob.pe/wp-content/uploads/2022/04/BASE-DE-DATOS-ORGANIZACIONES-JUVENILES-E-INSTITUCIONES-PRIVADAS.xlsx</t>
        </is>
      </c>
      <c r="L152" s="51" t="inlineStr">
        <is>
          <t>CONFIRMADO</t>
        </is>
      </c>
      <c r="M152" s="30" t="n"/>
    </row>
    <row r="153" ht="15.75" customHeight="1" s="182">
      <c r="A153" s="42" t="inlineStr">
        <is>
          <t>Perú</t>
        </is>
      </c>
      <c r="B153" s="15" t="inlineStr">
        <is>
          <t>Organizaciones juveniles</t>
        </is>
      </c>
      <c r="C153" s="73" t="inlineStr">
        <is>
          <t>Organizaciones de estudiantes (escolar, universitario, tecnológico, artístico o pedagógico)</t>
        </is>
      </c>
      <c r="D153" s="73" t="inlineStr">
        <is>
          <t>WAYRA COLLEGE</t>
        </is>
      </c>
      <c r="E153" s="73" t="n"/>
      <c r="F153" s="73" t="inlineStr">
        <is>
          <t xml:space="preserve">Representante </t>
        </is>
      </c>
      <c r="G153" s="73" t="inlineStr">
        <is>
          <t>https://juventud.gob.pe/wp-content/uploads/2022/04/BASE-DE-DATOS-ORGANIZACIONES-JUVENILES-E-INSTITUCIONES-PRIVADAS.xlsx</t>
        </is>
      </c>
      <c r="H153" s="73" t="inlineStr">
        <is>
          <t>Luis Alcides Vega Rudas</t>
        </is>
      </c>
      <c r="I153" s="28" t="inlineStr">
        <is>
          <t>No disponible en fuente oficial</t>
        </is>
      </c>
      <c r="J153" s="73" t="inlineStr">
        <is>
          <t>wayracollege@gmail.com</t>
        </is>
      </c>
      <c r="K153" s="73" t="inlineStr">
        <is>
          <t>https://juventud.gob.pe/wp-content/uploads/2022/04/BASE-DE-DATOS-ORGANIZACIONES-JUVENILES-E-INSTITUCIONES-PRIVADAS.xlsx</t>
        </is>
      </c>
      <c r="L153" s="51" t="inlineStr">
        <is>
          <t>CONFIRMADO</t>
        </is>
      </c>
      <c r="M153" s="30" t="n"/>
    </row>
    <row r="154" ht="15.75" customHeight="1" s="182">
      <c r="A154" s="42" t="inlineStr">
        <is>
          <t>Perú</t>
        </is>
      </c>
      <c r="B154" s="15" t="inlineStr">
        <is>
          <t>Organizaciones juveniles</t>
        </is>
      </c>
      <c r="C154" s="73" t="inlineStr">
        <is>
          <t>Organizaciones de voluntariado</t>
        </is>
      </c>
      <c r="D154" s="73" t="inlineStr">
        <is>
          <t>ORGANIZACIÓN INTERDISCIPLINARIA ILUMINANDO DESTINOS (OIID)</t>
        </is>
      </c>
      <c r="E154" s="73" t="n"/>
      <c r="F154" s="73" t="inlineStr">
        <is>
          <t xml:space="preserve">Representante </t>
        </is>
      </c>
      <c r="G154" s="73" t="inlineStr">
        <is>
          <t>https://juventud.gob.pe/wp-content/uploads/2022/04/BASE-DE-DATOS-ORGANIZACIONES-JUVENILES-E-INSTITUCIONES-PRIVADAS.xlsx</t>
        </is>
      </c>
      <c r="H154" s="73" t="inlineStr">
        <is>
          <t>Brayhann Junior Meza Romero</t>
        </is>
      </c>
      <c r="I154" s="28" t="inlineStr">
        <is>
          <t>No disponible en fuente oficial</t>
        </is>
      </c>
      <c r="J154" s="73" t="inlineStr">
        <is>
          <t>iluminando.destinos.org@gmail.com</t>
        </is>
      </c>
      <c r="K154" s="73" t="inlineStr">
        <is>
          <t>https://juventud.gob.pe/wp-content/uploads/2022/04/BASE-DE-DATOS-ORGANIZACIONES-JUVENILES-E-INSTITUCIONES-PRIVADAS.xlsx</t>
        </is>
      </c>
      <c r="L154" s="51" t="inlineStr">
        <is>
          <t>CONFIRMADO</t>
        </is>
      </c>
      <c r="M154" s="30" t="n"/>
    </row>
    <row r="155" ht="15.75" customHeight="1" s="182">
      <c r="A155" s="42" t="inlineStr">
        <is>
          <t>Perú</t>
        </is>
      </c>
      <c r="B155" s="15" t="inlineStr">
        <is>
          <t>Organizaciones juveniles</t>
        </is>
      </c>
      <c r="C155" s="73" t="inlineStr">
        <is>
          <t>Organizaciones de voluntariado</t>
        </is>
      </c>
      <c r="D155" s="73" t="inlineStr">
        <is>
          <t>VOLUNTARIOS DEL CENTRO "ALLIN YACHACHI"</t>
        </is>
      </c>
      <c r="E155" s="73" t="n"/>
      <c r="F155" s="73" t="inlineStr">
        <is>
          <t xml:space="preserve">Representante </t>
        </is>
      </c>
      <c r="G155" s="73" t="inlineStr">
        <is>
          <t>https://juventud.gob.pe/wp-content/uploads/2022/04/BASE-DE-DATOS-ORGANIZACIONES-JUVENILES-E-INSTITUCIONES-PRIVADAS.xlsx</t>
        </is>
      </c>
      <c r="H155" s="73" t="inlineStr">
        <is>
          <t>Kely Chambergo Zuñiga</t>
        </is>
      </c>
      <c r="I155" s="28" t="inlineStr">
        <is>
          <t>No disponible en fuente oficial</t>
        </is>
      </c>
      <c r="J155" s="73" t="inlineStr">
        <is>
          <t>voluntariosdelcentroay@gmail.com</t>
        </is>
      </c>
      <c r="K155" s="73" t="inlineStr">
        <is>
          <t>https://juventud.gob.pe/wp-content/uploads/2022/04/BASE-DE-DATOS-ORGANIZACIONES-JUVENILES-E-INSTITUCIONES-PRIVADAS.xlsx</t>
        </is>
      </c>
      <c r="L155" s="51" t="inlineStr">
        <is>
          <t>CONFIRMADO</t>
        </is>
      </c>
      <c r="M155" s="30" t="n"/>
    </row>
    <row r="156" ht="15.75" customHeight="1" s="182">
      <c r="A156" s="42" t="inlineStr">
        <is>
          <t>Perú</t>
        </is>
      </c>
      <c r="B156" s="15" t="inlineStr">
        <is>
          <t>Organizaciones juveniles</t>
        </is>
      </c>
      <c r="C156" s="73" t="inlineStr">
        <is>
          <t>Organizaciones de estudiantes (escolar, universitario, tecnológico, artístico o pedagógico)</t>
        </is>
      </c>
      <c r="D156" s="73" t="inlineStr">
        <is>
          <t>JÓVENES EMPRENDEDORES LÍDERES - JOEL</t>
        </is>
      </c>
      <c r="E156" s="73" t="n"/>
      <c r="F156" s="73" t="inlineStr">
        <is>
          <t xml:space="preserve">Representante </t>
        </is>
      </c>
      <c r="G156" s="73" t="inlineStr">
        <is>
          <t>https://juventud.gob.pe/wp-content/uploads/2022/04/BASE-DE-DATOS-ORGANIZACIONES-JUVENILES-E-INSTITUCIONES-PRIVADAS.xlsx</t>
        </is>
      </c>
      <c r="H156" s="73" t="inlineStr">
        <is>
          <t>Braylin Sherstin Criss Rosas Orihuela</t>
        </is>
      </c>
      <c r="I156" s="28" t="inlineStr">
        <is>
          <t>No disponible en fuente oficial</t>
        </is>
      </c>
      <c r="J156" s="73" t="inlineStr">
        <is>
          <t>jucanchumanya@gmail.com</t>
        </is>
      </c>
      <c r="K156" s="73" t="inlineStr">
        <is>
          <t>https://juventud.gob.pe/wp-content/uploads/2022/04/BASE-DE-DATOS-ORGANIZACIONES-JUVENILES-E-INSTITUCIONES-PRIVADAS.xlsx</t>
        </is>
      </c>
      <c r="L156" s="51" t="inlineStr">
        <is>
          <t>CONFIRMADO</t>
        </is>
      </c>
      <c r="M156" s="30" t="n"/>
    </row>
    <row r="157" ht="15.75" customHeight="1" s="182">
      <c r="A157" s="42" t="inlineStr">
        <is>
          <t>Perú</t>
        </is>
      </c>
      <c r="B157" s="15" t="inlineStr">
        <is>
          <t>Organizaciones juveniles</t>
        </is>
      </c>
      <c r="C157" s="73" t="inlineStr">
        <is>
          <t>Organizaciones de estudiantes (escolar, universitario, tecnológico, artístico o pedagógico)</t>
        </is>
      </c>
      <c r="D157" s="73" t="inlineStr">
        <is>
          <t>UCV ZURE STC COMUNIDAD MICROSOFT - TRUJILLO</t>
        </is>
      </c>
      <c r="E157" s="73" t="n"/>
      <c r="F157" s="73" t="inlineStr">
        <is>
          <t xml:space="preserve">Representante </t>
        </is>
      </c>
      <c r="G157" s="73" t="inlineStr">
        <is>
          <t>https://juventud.gob.pe/wp-content/uploads/2022/04/BASE-DE-DATOS-ORGANIZACIONES-JUVENILES-E-INSTITUCIONES-PRIVADAS.xlsx</t>
        </is>
      </c>
      <c r="H157" s="73" t="inlineStr">
        <is>
          <t>Rubén Carlos Andrés Vásquez Gutiérrez</t>
        </is>
      </c>
      <c r="I157" s="28" t="inlineStr">
        <is>
          <t>No disponible en fuente oficial</t>
        </is>
      </c>
      <c r="J157" s="73" t="inlineStr">
        <is>
          <t>ucvzure@gmail.com</t>
        </is>
      </c>
      <c r="K157" s="73" t="inlineStr">
        <is>
          <t>https://juventud.gob.pe/wp-content/uploads/2022/04/BASE-DE-DATOS-ORGANIZACIONES-JUVENILES-E-INSTITUCIONES-PRIVADAS.xlsx</t>
        </is>
      </c>
      <c r="L157" s="51" t="inlineStr">
        <is>
          <t>CONFIRMADO</t>
        </is>
      </c>
      <c r="M157" s="30" t="n"/>
    </row>
    <row r="158" ht="15.75" customHeight="1" s="182">
      <c r="A158" s="42" t="inlineStr">
        <is>
          <t>Perú</t>
        </is>
      </c>
      <c r="B158" s="15" t="inlineStr">
        <is>
          <t>Organizaciones juveniles</t>
        </is>
      </c>
      <c r="C158" s="73" t="inlineStr">
        <is>
          <t>Organizaciones de voluntariado</t>
        </is>
      </c>
      <c r="D158" s="73" t="inlineStr">
        <is>
          <t>ASOCIACIÓN CIVIL - TE DEDICO UNA SONRISA</t>
        </is>
      </c>
      <c r="E158" s="73" t="n"/>
      <c r="F158" s="73" t="inlineStr">
        <is>
          <t xml:space="preserve">Representante </t>
        </is>
      </c>
      <c r="G158" s="73" t="inlineStr">
        <is>
          <t>https://juventud.gob.pe/wp-content/uploads/2022/04/BASE-DE-DATOS-ORGANIZACIONES-JUVENILES-E-INSTITUCIONES-PRIVADAS.xlsx</t>
        </is>
      </c>
      <c r="H158" s="73" t="inlineStr">
        <is>
          <t>Cindy Gianella Acuña Pastor</t>
        </is>
      </c>
      <c r="I158" s="28" t="inlineStr">
        <is>
          <t>No disponible en fuente oficial</t>
        </is>
      </c>
      <c r="J158" s="73" t="inlineStr">
        <is>
          <t>Tededicounasonrisaoficial@gmail.com</t>
        </is>
      </c>
      <c r="K158" s="73" t="inlineStr">
        <is>
          <t>https://juventud.gob.pe/wp-content/uploads/2022/04/BASE-DE-DATOS-ORGANIZACIONES-JUVENILES-E-INSTITUCIONES-PRIVADAS.xlsx</t>
        </is>
      </c>
      <c r="L158" s="51" t="inlineStr">
        <is>
          <t>CONFIRMADO</t>
        </is>
      </c>
      <c r="M158" s="30" t="n"/>
    </row>
    <row r="159" ht="15.75" customHeight="1" s="182">
      <c r="A159" s="42" t="inlineStr">
        <is>
          <t>Perú</t>
        </is>
      </c>
      <c r="B159" s="15" t="inlineStr">
        <is>
          <t>Organizaciones juveniles</t>
        </is>
      </c>
      <c r="C159" s="73" t="inlineStr">
        <is>
          <t>Impacto en el bienestar juvenil / 
Relevante / 
Eficaz / 
Replicabilidad</t>
        </is>
      </c>
      <c r="D159" s="73" t="inlineStr">
        <is>
          <t>JÓVENES LÍDERES POR EL PERÚ</t>
        </is>
      </c>
      <c r="E159" s="73" t="n"/>
      <c r="F159" s="73" t="inlineStr">
        <is>
          <t xml:space="preserve">Representante </t>
        </is>
      </c>
      <c r="G159" s="73" t="inlineStr">
        <is>
          <t>https://juventud.gob.pe/wp-content/uploads/2022/04/BASE-DE-DATOS-ORGANIZACIONES-JUVENILES-E-INSTITUCIONES-PRIVADAS.xlsx</t>
        </is>
      </c>
      <c r="H159" s="73" t="inlineStr">
        <is>
          <t>Jennifer Nelly Gonzáles Ríos</t>
        </is>
      </c>
      <c r="I159" s="28" t="inlineStr">
        <is>
          <t>No disponible en fuente oficial</t>
        </is>
      </c>
      <c r="J159" s="73" t="inlineStr">
        <is>
          <t>JLIDERESPORELPERU@GMAIL.COM</t>
        </is>
      </c>
      <c r="K159" s="73" t="inlineStr">
        <is>
          <t>https://juventud.gob.pe/wp-content/uploads/2022/04/BASE-DE-DATOS-ORGANIZACIONES-JUVENILES-E-INSTITUCIONES-PRIVADAS.xlsx</t>
        </is>
      </c>
      <c r="L159" s="51" t="inlineStr">
        <is>
          <t>CONFIRMADO</t>
        </is>
      </c>
      <c r="M159" s="30" t="n"/>
    </row>
    <row r="160" ht="15.75" customHeight="1" s="182">
      <c r="A160" s="42" t="inlineStr">
        <is>
          <t>Perú</t>
        </is>
      </c>
      <c r="B160" s="15" t="inlineStr">
        <is>
          <t>Organizaciones juveniles</t>
        </is>
      </c>
      <c r="C160" s="73" t="inlineStr">
        <is>
          <t>Organización artístIca y/o cultural</t>
        </is>
      </c>
      <c r="D160" s="73" t="inlineStr">
        <is>
          <t>REVELACIÓN BREAKING - RB</t>
        </is>
      </c>
      <c r="E160" s="73" t="n"/>
      <c r="F160" s="73" t="inlineStr">
        <is>
          <t xml:space="preserve">Representante </t>
        </is>
      </c>
      <c r="G160" s="73" t="inlineStr">
        <is>
          <t>https://juventud.gob.pe/wp-content/uploads/2022/04/BASE-DE-DATOS-ORGANIZACIONES-JUVENILES-E-INSTITUCIONES-PRIVADAS.xlsx</t>
        </is>
      </c>
      <c r="H160" s="73" t="inlineStr">
        <is>
          <t>Mary Carmen Alva Cruzado</t>
        </is>
      </c>
      <c r="I160" s="28" t="inlineStr">
        <is>
          <t>No disponible en fuente oficial</t>
        </is>
      </c>
      <c r="J160" s="73" t="inlineStr">
        <is>
          <t>revelacionbreaking@hotmail.com</t>
        </is>
      </c>
      <c r="K160" s="73" t="inlineStr">
        <is>
          <t>https://juventud.gob.pe/wp-content/uploads/2022/04/BASE-DE-DATOS-ORGANIZACIONES-JUVENILES-E-INSTITUCIONES-PRIVADAS.xlsx</t>
        </is>
      </c>
      <c r="L160" s="51" t="inlineStr">
        <is>
          <t>CONFIRMADO</t>
        </is>
      </c>
      <c r="M160" s="30" t="n"/>
    </row>
    <row r="161" ht="15.75" customHeight="1" s="182">
      <c r="A161" s="42" t="inlineStr">
        <is>
          <t>Perú</t>
        </is>
      </c>
      <c r="B161" s="15" t="inlineStr">
        <is>
          <t>Organizaciones juveniles</t>
        </is>
      </c>
      <c r="C161" s="73" t="inlineStr">
        <is>
          <t>Organizaciones de redes comunitarias o colectivos</t>
        </is>
      </c>
      <c r="D161" s="73" t="inlineStr">
        <is>
          <t>POROTO EN ACCIÓN</t>
        </is>
      </c>
      <c r="E161" s="73" t="n"/>
      <c r="F161" s="73" t="inlineStr">
        <is>
          <t xml:space="preserve">Representante </t>
        </is>
      </c>
      <c r="G161" s="73" t="inlineStr">
        <is>
          <t>https://juventud.gob.pe/wp-content/uploads/2022/04/BASE-DE-DATOS-ORGANIZACIONES-JUVENILES-E-INSTITUCIONES-PRIVADAS.xlsx</t>
        </is>
      </c>
      <c r="H161" s="73" t="inlineStr">
        <is>
          <t>Cristian Alonso Navarro Palacios</t>
        </is>
      </c>
      <c r="I161" s="28" t="inlineStr">
        <is>
          <t>No disponible en fuente oficial</t>
        </is>
      </c>
      <c r="J161" s="73" t="inlineStr">
        <is>
          <t>cristianavarro.97@outlook.com.pe</t>
        </is>
      </c>
      <c r="K161" s="73" t="inlineStr">
        <is>
          <t>https://juventud.gob.pe/wp-content/uploads/2022/04/BASE-DE-DATOS-ORGANIZACIONES-JUVENILES-E-INSTITUCIONES-PRIVADAS.xlsx</t>
        </is>
      </c>
      <c r="L161" s="51" t="inlineStr">
        <is>
          <t>CONFIRMADO</t>
        </is>
      </c>
      <c r="M161" s="30" t="n"/>
    </row>
    <row r="162" ht="15.75" customHeight="1" s="182">
      <c r="A162" s="42" t="inlineStr">
        <is>
          <t>Perú</t>
        </is>
      </c>
      <c r="B162" s="15" t="inlineStr">
        <is>
          <t>Organizaciones juveniles</t>
        </is>
      </c>
      <c r="C162" s="73" t="inlineStr">
        <is>
          <t>Organizaciones de voluntariado</t>
        </is>
      </c>
      <c r="D162" s="73" t="inlineStr">
        <is>
          <t>VOLUNTARIOS DEL COLEGIO DE ECONOMISTAS DE LA LIBERTAD - VCELL</t>
        </is>
      </c>
      <c r="E162" s="73" t="n"/>
      <c r="F162" s="73" t="inlineStr">
        <is>
          <t xml:space="preserve">Representante </t>
        </is>
      </c>
      <c r="G162" s="73" t="inlineStr">
        <is>
          <t>https://juventud.gob.pe/wp-content/uploads/2022/04/BASE-DE-DATOS-ORGANIZACIONES-JUVENILES-E-INSTITUCIONES-PRIVADAS.xlsx</t>
        </is>
      </c>
      <c r="H162" s="73" t="inlineStr">
        <is>
          <t>Bilha Lizbeth Cruz Romero</t>
        </is>
      </c>
      <c r="I162" s="28" t="inlineStr">
        <is>
          <t>No disponible en fuente oficial</t>
        </is>
      </c>
      <c r="J162" s="73" t="inlineStr">
        <is>
          <t>vcelltrujillo@gmail.com</t>
        </is>
      </c>
      <c r="K162" s="73" t="inlineStr">
        <is>
          <t>https://juventud.gob.pe/wp-content/uploads/2022/04/BASE-DE-DATOS-ORGANIZACIONES-JUVENILES-E-INSTITUCIONES-PRIVADAS.xlsx</t>
        </is>
      </c>
      <c r="L162" s="51" t="inlineStr">
        <is>
          <t>CONFIRMADO</t>
        </is>
      </c>
      <c r="M162" s="30" t="n"/>
    </row>
    <row r="163" ht="15.75" customHeight="1" s="182">
      <c r="A163" s="42" t="inlineStr">
        <is>
          <t>Perú</t>
        </is>
      </c>
      <c r="B163" s="15" t="inlineStr">
        <is>
          <t>Organizaciones juveniles</t>
        </is>
      </c>
      <c r="C163" s="73" t="inlineStr">
        <is>
          <t>Organizaciones de voluntariado</t>
        </is>
      </c>
      <c r="D163" s="73" t="inlineStr">
        <is>
          <t>VOLUNTARIADO DE INGENIERÍA AMBIENTAL - UNT (VIA-UNT)</t>
        </is>
      </c>
      <c r="E163" s="73" t="n"/>
      <c r="F163" s="73" t="inlineStr">
        <is>
          <t xml:space="preserve">Representante </t>
        </is>
      </c>
      <c r="G163" s="73" t="inlineStr">
        <is>
          <t>https://juventud.gob.pe/wp-content/uploads/2022/04/BASE-DE-DATOS-ORGANIZACIONES-JUVENILES-E-INSTITUCIONES-PRIVADAS.xlsx</t>
        </is>
      </c>
      <c r="H163" s="73" t="inlineStr">
        <is>
          <t>Edinson Isaac Malqui Avalos</t>
        </is>
      </c>
      <c r="I163" s="28" t="inlineStr">
        <is>
          <t>No disponible en fuente oficial</t>
        </is>
      </c>
      <c r="J163" s="73" t="inlineStr">
        <is>
          <t>voluntariadoingambientalunt@hotmail.com</t>
        </is>
      </c>
      <c r="K163" s="73" t="inlineStr">
        <is>
          <t>https://juventud.gob.pe/wp-content/uploads/2022/04/BASE-DE-DATOS-ORGANIZACIONES-JUVENILES-E-INSTITUCIONES-PRIVADAS.xlsx</t>
        </is>
      </c>
      <c r="L163" s="51" t="inlineStr">
        <is>
          <t>CONFIRMADO</t>
        </is>
      </c>
      <c r="M163" s="30" t="n"/>
    </row>
    <row r="164" ht="15.75" customHeight="1" s="182">
      <c r="A164" s="42" t="inlineStr">
        <is>
          <t>Perú</t>
        </is>
      </c>
      <c r="B164" s="15" t="inlineStr">
        <is>
          <t>Organizaciones juveniles</t>
        </is>
      </c>
      <c r="C164" s="73" t="inlineStr">
        <is>
          <t>Organizaciones de voluntariado</t>
        </is>
      </c>
      <c r="D164" s="73" t="inlineStr">
        <is>
          <t>FUNDACION YEYKA</t>
        </is>
      </c>
      <c r="E164" s="73" t="n"/>
      <c r="F164" s="73" t="inlineStr">
        <is>
          <t xml:space="preserve">Representante </t>
        </is>
      </c>
      <c r="G164" s="73" t="inlineStr">
        <is>
          <t>https://juventud.gob.pe/wp-content/uploads/2022/04/BASE-DE-DATOS-ORGANIZACIONES-JUVENILES-E-INSTITUCIONES-PRIVADAS.xlsx</t>
        </is>
      </c>
      <c r="H164" s="73" t="inlineStr">
        <is>
          <t>Yeyson Paredes Mauricio</t>
        </is>
      </c>
      <c r="I164" s="28" t="inlineStr">
        <is>
          <t>No disponible en fuente oficial</t>
        </is>
      </c>
      <c r="J164" s="73" t="inlineStr">
        <is>
          <t>fundaciónyeyka@gmail.com</t>
        </is>
      </c>
      <c r="K164" s="73" t="inlineStr">
        <is>
          <t>https://juventud.gob.pe/wp-content/uploads/2022/04/BASE-DE-DATOS-ORGANIZACIONES-JUVENILES-E-INSTITUCIONES-PRIVADAS.xlsx</t>
        </is>
      </c>
      <c r="L164" s="51" t="inlineStr">
        <is>
          <t>CONFIRMADO</t>
        </is>
      </c>
      <c r="M164" s="30" t="n"/>
    </row>
    <row r="165" ht="15.75" customHeight="1" s="182">
      <c r="A165" s="42" t="inlineStr">
        <is>
          <t>Perú</t>
        </is>
      </c>
      <c r="B165" s="15" t="inlineStr">
        <is>
          <t>Organizaciones juveniles</t>
        </is>
      </c>
      <c r="C165" s="73" t="inlineStr">
        <is>
          <t>Otros: Abarca el ámbito de problemática política y social</t>
        </is>
      </c>
      <c r="D165" s="73" t="inlineStr">
        <is>
          <t>RED NACIONAL DE ACTORES POLÍTICOS JÓVENES</t>
        </is>
      </c>
      <c r="E165" s="73" t="n"/>
      <c r="F165" s="73" t="inlineStr">
        <is>
          <t xml:space="preserve">Representante </t>
        </is>
      </c>
      <c r="G165" s="73" t="inlineStr">
        <is>
          <t>https://juventud.gob.pe/wp-content/uploads/2022/04/BASE-DE-DATOS-ORGANIZACIONES-JUVENILES-E-INSTITUCIONES-PRIVADAS.xlsx</t>
        </is>
      </c>
      <c r="H165" s="73" t="inlineStr">
        <is>
          <t>Kathia Elizabeth Coronel Mauricio</t>
        </is>
      </c>
      <c r="I165" s="28" t="inlineStr">
        <is>
          <t>No disponible en fuente oficial</t>
        </is>
      </c>
      <c r="J165" s="73" t="inlineStr">
        <is>
          <t>Renapjlalibertad.oficial@gmail.com</t>
        </is>
      </c>
      <c r="K165" s="73" t="inlineStr">
        <is>
          <t>https://juventud.gob.pe/wp-content/uploads/2022/04/BASE-DE-DATOS-ORGANIZACIONES-JUVENILES-E-INSTITUCIONES-PRIVADAS.xlsx</t>
        </is>
      </c>
      <c r="L165" s="51" t="inlineStr">
        <is>
          <t>CONFIRMADO</t>
        </is>
      </c>
      <c r="M165" s="30" t="n"/>
    </row>
    <row r="166" ht="15.75" customHeight="1" s="182">
      <c r="A166" s="42" t="inlineStr">
        <is>
          <t>Perú</t>
        </is>
      </c>
      <c r="B166" s="15" t="inlineStr">
        <is>
          <t>Organizaciones juveniles</t>
        </is>
      </c>
      <c r="C166" s="73" t="inlineStr">
        <is>
          <t>Organización artística y/o cultural</t>
        </is>
      </c>
      <c r="D166" s="73" t="inlineStr">
        <is>
          <t>ACCIÓN POR LA CULTURA CURGOS</t>
        </is>
      </c>
      <c r="E166" s="73" t="n"/>
      <c r="F166" s="73" t="inlineStr">
        <is>
          <t xml:space="preserve">Representante </t>
        </is>
      </c>
      <c r="G166" s="73" t="inlineStr">
        <is>
          <t>https://juventud.gob.pe/wp-content/uploads/2022/04/BASE-DE-DATOS-ORGANIZACIONES-JUVENILES-E-INSTITUCIONES-PRIVADAS.xlsx</t>
        </is>
      </c>
      <c r="H166" s="73" t="inlineStr">
        <is>
          <t>Milagros Gonzales Sánchez</t>
        </is>
      </c>
      <c r="I166" s="28" t="inlineStr">
        <is>
          <t>No disponible en fuente oficial</t>
        </is>
      </c>
      <c r="J166" s="73" t="inlineStr">
        <is>
          <t>accionporlaculturacurgos@gmail.com</t>
        </is>
      </c>
      <c r="K166" s="73" t="inlineStr">
        <is>
          <t>https://juventud.gob.pe/wp-content/uploads/2022/04/BASE-DE-DATOS-ORGANIZACIONES-JUVENILES-E-INSTITUCIONES-PRIVADAS.xlsx</t>
        </is>
      </c>
      <c r="L166" s="51" t="inlineStr">
        <is>
          <t>CONFIRMADO</t>
        </is>
      </c>
      <c r="M166" s="30" t="n"/>
    </row>
    <row r="167" ht="15.75" customHeight="1" s="182">
      <c r="A167" s="42" t="inlineStr">
        <is>
          <t>Perú</t>
        </is>
      </c>
      <c r="B167" s="15" t="inlineStr">
        <is>
          <t>Organizaciones juveniles</t>
        </is>
      </c>
      <c r="C167" s="73" t="inlineStr">
        <is>
          <t>Organizaciones de estudiantes (escolar, universitario, tecnológico, artístico o pedagógico)</t>
        </is>
      </c>
      <c r="D167" s="73" t="inlineStr">
        <is>
          <t>CENTINELAS DE LA NATURALEZA</t>
        </is>
      </c>
      <c r="E167" s="73" t="n"/>
      <c r="F167" s="73" t="inlineStr">
        <is>
          <t xml:space="preserve">Representante </t>
        </is>
      </c>
      <c r="G167" s="73" t="inlineStr">
        <is>
          <t>https://juventud.gob.pe/wp-content/uploads/2022/04/BASE-DE-DATOS-ORGANIZACIONES-JUVENILES-E-INSTITUCIONES-PRIVADAS.xlsx</t>
        </is>
      </c>
      <c r="H167" s="73" t="inlineStr">
        <is>
          <t>VANESSA DE JESUS GUEVARA VELASQUEZ</t>
        </is>
      </c>
      <c r="I167" s="28" t="inlineStr">
        <is>
          <t>No disponible en fuente oficial</t>
        </is>
      </c>
      <c r="J167" s="73" t="inlineStr">
        <is>
          <t>elidatl2003@gmail.com</t>
        </is>
      </c>
      <c r="K167" s="73" t="inlineStr">
        <is>
          <t>https://juventud.gob.pe/wp-content/uploads/2022/04/BASE-DE-DATOS-ORGANIZACIONES-JUVENILES-E-INSTITUCIONES-PRIVADAS.xlsx</t>
        </is>
      </c>
      <c r="L167" s="51" t="inlineStr">
        <is>
          <t>CONFIRMADO</t>
        </is>
      </c>
      <c r="M167" s="30" t="n"/>
    </row>
    <row r="168" ht="15.75" customHeight="1" s="182">
      <c r="A168" s="42" t="inlineStr">
        <is>
          <t>Perú</t>
        </is>
      </c>
      <c r="B168" s="15" t="inlineStr">
        <is>
          <t>Organizaciones juveniles</t>
        </is>
      </c>
      <c r="C168" s="73" t="inlineStr">
        <is>
          <t>Organizaciones de voluntariado</t>
        </is>
      </c>
      <c r="D168" s="73" t="inlineStr">
        <is>
          <t>DONANDO SONRISAS</t>
        </is>
      </c>
      <c r="E168" s="73" t="n"/>
      <c r="F168" s="73" t="inlineStr">
        <is>
          <t xml:space="preserve">Representante </t>
        </is>
      </c>
      <c r="G168" s="73" t="inlineStr">
        <is>
          <t>https://juventud.gob.pe/wp-content/uploads/2022/04/BASE-DE-DATOS-ORGANIZACIONES-JUVENILES-E-INSTITUCIONES-PRIVADAS.xlsx</t>
        </is>
      </c>
      <c r="H168" s="73" t="inlineStr">
        <is>
          <t>Carol Ximena Trelles Zegarra</t>
        </is>
      </c>
      <c r="I168" s="28" t="inlineStr">
        <is>
          <t>No disponible en fuente oficial</t>
        </is>
      </c>
      <c r="J168" s="73" t="inlineStr">
        <is>
          <t>info@donandosonrisas.org</t>
        </is>
      </c>
      <c r="K168" s="73" t="inlineStr">
        <is>
          <t>https://juventud.gob.pe/wp-content/uploads/2022/04/BASE-DE-DATOS-ORGANIZACIONES-JUVENILES-E-INSTITUCIONES-PRIVADAS.xlsx</t>
        </is>
      </c>
      <c r="L168" s="51" t="inlineStr">
        <is>
          <t>CONFIRMADO</t>
        </is>
      </c>
      <c r="M168" s="30" t="n"/>
    </row>
    <row r="169" ht="15.75" customHeight="1" s="182">
      <c r="A169" s="42" t="inlineStr">
        <is>
          <t>Perú</t>
        </is>
      </c>
      <c r="B169" s="15" t="inlineStr">
        <is>
          <t>Organizaciones juveniles</t>
        </is>
      </c>
      <c r="C169" s="73" t="inlineStr">
        <is>
          <t>Organizaciones de voluntariado</t>
        </is>
      </c>
      <c r="D169" s="73" t="inlineStr">
        <is>
          <t>ORGANIZACIÓN SIN FINES DE LUCRO BOLICHELI</t>
        </is>
      </c>
      <c r="E169" s="73" t="n"/>
      <c r="F169" s="73" t="inlineStr">
        <is>
          <t xml:space="preserve">Representante </t>
        </is>
      </c>
      <c r="G169" s="73" t="inlineStr">
        <is>
          <t>https://juventud.gob.pe/wp-content/uploads/2022/04/BASE-DE-DATOS-ORGANIZACIONES-JUVENILES-E-INSTITUCIONES-PRIVADAS.xlsx</t>
        </is>
      </c>
      <c r="H169" s="73" t="inlineStr">
        <is>
          <t>Joely Georgeana Marcelo Silva</t>
        </is>
      </c>
      <c r="I169" s="28" t="inlineStr">
        <is>
          <t>No disponible en fuente oficial</t>
        </is>
      </c>
      <c r="J169" s="73" t="inlineStr">
        <is>
          <t>Bolicheli.peru@outlook.es</t>
        </is>
      </c>
      <c r="K169" s="73" t="inlineStr">
        <is>
          <t>https://juventud.gob.pe/wp-content/uploads/2022/04/BASE-DE-DATOS-ORGANIZACIONES-JUVENILES-E-INSTITUCIONES-PRIVADAS.xlsx</t>
        </is>
      </c>
      <c r="L169" s="51" t="inlineStr">
        <is>
          <t>CONFIRMADO</t>
        </is>
      </c>
      <c r="M169" s="30" t="n"/>
    </row>
    <row r="170" ht="15.75" customHeight="1" s="182">
      <c r="A170" s="42" t="inlineStr">
        <is>
          <t>Perú</t>
        </is>
      </c>
      <c r="B170" s="15" t="inlineStr">
        <is>
          <t>Organizaciones juveniles</t>
        </is>
      </c>
      <c r="C170" s="73" t="inlineStr">
        <is>
          <t>Organizaciones de voluntariado</t>
        </is>
      </c>
      <c r="D170" s="73" t="inlineStr">
        <is>
          <t>JUVENTUD PACANGUINA</t>
        </is>
      </c>
      <c r="E170" s="73" t="n"/>
      <c r="F170" s="73" t="inlineStr">
        <is>
          <t xml:space="preserve">Representante </t>
        </is>
      </c>
      <c r="G170" s="73" t="inlineStr">
        <is>
          <t>https://juventud.gob.pe/wp-content/uploads/2022/04/BASE-DE-DATOS-ORGANIZACIONES-JUVENILES-E-INSTITUCIONES-PRIVADAS.xlsx</t>
        </is>
      </c>
      <c r="H170" s="73" t="inlineStr">
        <is>
          <t>Roberth Alexis Osorio Saucedo</t>
        </is>
      </c>
      <c r="I170" s="28" t="inlineStr">
        <is>
          <t>No disponible en fuente oficial</t>
        </is>
      </c>
      <c r="J170" s="73" t="inlineStr">
        <is>
          <t>Juventudpacanguina@gmail.com</t>
        </is>
      </c>
      <c r="K170" s="73" t="inlineStr">
        <is>
          <t>https://juventud.gob.pe/wp-content/uploads/2022/04/BASE-DE-DATOS-ORGANIZACIONES-JUVENILES-E-INSTITUCIONES-PRIVADAS.xlsx</t>
        </is>
      </c>
      <c r="L170" s="51" t="inlineStr">
        <is>
          <t>CONFIRMADO</t>
        </is>
      </c>
      <c r="M170" s="30" t="n"/>
    </row>
    <row r="171" ht="15.75" customHeight="1" s="182">
      <c r="A171" s="42" t="inlineStr">
        <is>
          <t>Perú</t>
        </is>
      </c>
      <c r="B171" s="15" t="inlineStr">
        <is>
          <t>Organizaciones juveniles</t>
        </is>
      </c>
      <c r="C171" s="73" t="inlineStr">
        <is>
          <t>Organizaciones de voluntariado</t>
        </is>
      </c>
      <c r="D171" s="73" t="inlineStr">
        <is>
          <t>ASOCIACIÓN JUVENIL AUNA</t>
        </is>
      </c>
      <c r="E171" s="73" t="n"/>
      <c r="F171" s="73" t="inlineStr">
        <is>
          <t xml:space="preserve">Representante </t>
        </is>
      </c>
      <c r="G171" s="73" t="inlineStr">
        <is>
          <t>https://juventud.gob.pe/wp-content/uploads/2022/04/BASE-DE-DATOS-ORGANIZACIONES-JUVENILES-E-INSTITUCIONES-PRIVADAS.xlsx</t>
        </is>
      </c>
      <c r="H171" s="73" t="inlineStr">
        <is>
          <t>Diana Fiorela Verde Castro</t>
        </is>
      </c>
      <c r="I171" s="28" t="inlineStr">
        <is>
          <t>No disponible en fuente oficial</t>
        </is>
      </c>
      <c r="J171" s="73" t="inlineStr">
        <is>
          <t>verdediana@hotmail.com</t>
        </is>
      </c>
      <c r="K171" s="73" t="inlineStr">
        <is>
          <t>https://juventud.gob.pe/wp-content/uploads/2022/04/BASE-DE-DATOS-ORGANIZACIONES-JUVENILES-E-INSTITUCIONES-PRIVADAS.xlsx</t>
        </is>
      </c>
      <c r="L171" s="51" t="inlineStr">
        <is>
          <t>CONFIRMADO</t>
        </is>
      </c>
      <c r="M171" s="30" t="n"/>
    </row>
    <row r="172" ht="15.75" customHeight="1" s="182">
      <c r="A172" s="42" t="inlineStr">
        <is>
          <t>Perú</t>
        </is>
      </c>
      <c r="B172" s="15" t="inlineStr">
        <is>
          <t>Organizaciones juveniles</t>
        </is>
      </c>
      <c r="C172" s="73" t="inlineStr">
        <is>
          <t>Organizaciones de voluntariado</t>
        </is>
      </c>
      <c r="D172" s="73" t="inlineStr">
        <is>
          <t>SOMOS MAVERICK</t>
        </is>
      </c>
      <c r="E172" s="73" t="n"/>
      <c r="F172" s="73" t="inlineStr">
        <is>
          <t xml:space="preserve">Representante </t>
        </is>
      </c>
      <c r="G172" s="73" t="inlineStr">
        <is>
          <t>https://juventud.gob.pe/wp-content/uploads/2022/04/BASE-DE-DATOS-ORGANIZACIONES-JUVENILES-E-INSTITUCIONES-PRIVADAS.xlsx</t>
        </is>
      </c>
      <c r="H172" s="73" t="inlineStr">
        <is>
          <t>Maribel del Pilar Torres Sánchez</t>
        </is>
      </c>
      <c r="I172" s="28" t="inlineStr">
        <is>
          <t>No disponible en fuente oficial</t>
        </is>
      </c>
      <c r="J172" s="73" t="inlineStr">
        <is>
          <t>somosmaverick.22@gmail.com</t>
        </is>
      </c>
      <c r="K172" s="73" t="inlineStr">
        <is>
          <t>https://juventud.gob.pe/wp-content/uploads/2022/04/BASE-DE-DATOS-ORGANIZACIONES-JUVENILES-E-INSTITUCIONES-PRIVADAS.xlsx</t>
        </is>
      </c>
      <c r="L172" s="51" t="inlineStr">
        <is>
          <t>CONFIRMADO</t>
        </is>
      </c>
      <c r="M172" s="30" t="n"/>
    </row>
    <row r="173" ht="15.75" customHeight="1" s="182">
      <c r="A173" s="42" t="inlineStr">
        <is>
          <t>Perú</t>
        </is>
      </c>
      <c r="B173" s="15" t="inlineStr">
        <is>
          <t>Organizaciones juveniles</t>
        </is>
      </c>
      <c r="C173" s="73" t="inlineStr">
        <is>
          <t>Organizaciones de voluntariado</t>
        </is>
      </c>
      <c r="D173" s="73" t="inlineStr">
        <is>
          <t>ORGANIZACIÓN JUVENIL VOLUNTARIOS CARTAVINOS SEMBRANDO ESPERANZA - VOCASE</t>
        </is>
      </c>
      <c r="E173" s="73" t="n"/>
      <c r="F173" s="73" t="inlineStr">
        <is>
          <t xml:space="preserve">Representante </t>
        </is>
      </c>
      <c r="G173" s="73" t="inlineStr">
        <is>
          <t>https://juventud.gob.pe/wp-content/uploads/2022/04/BASE-DE-DATOS-ORGANIZACIONES-JUVENILES-E-INSTITUCIONES-PRIVADAS.xlsx</t>
        </is>
      </c>
      <c r="H173" s="73" t="inlineStr">
        <is>
          <t>Paulo César Solano Gavelán</t>
        </is>
      </c>
      <c r="I173" s="28" t="inlineStr">
        <is>
          <t>No disponible en fuente oficial</t>
        </is>
      </c>
      <c r="J173" s="73" t="inlineStr">
        <is>
          <t>voluntarioscartavinos@outlook.com</t>
        </is>
      </c>
      <c r="K173" s="73" t="inlineStr">
        <is>
          <t>https://juventud.gob.pe/wp-content/uploads/2022/04/BASE-DE-DATOS-ORGANIZACIONES-JUVENILES-E-INSTITUCIONES-PRIVADAS.xlsx</t>
        </is>
      </c>
      <c r="L173" s="51" t="inlineStr">
        <is>
          <t>CONFIRMADO</t>
        </is>
      </c>
      <c r="M173" s="30" t="n"/>
    </row>
    <row r="174" ht="15.75" customHeight="1" s="182">
      <c r="A174" s="42" t="inlineStr">
        <is>
          <t>Perú</t>
        </is>
      </c>
      <c r="B174" s="15" t="inlineStr">
        <is>
          <t>Organizaciones juveniles</t>
        </is>
      </c>
      <c r="C174" s="73" t="inlineStr">
        <is>
          <t>Organizaciones de voluntariado</t>
        </is>
      </c>
      <c r="D174" s="73" t="inlineStr">
        <is>
          <t>MÁS (+) INTEGRACIÓN</t>
        </is>
      </c>
      <c r="E174" s="73" t="n"/>
      <c r="F174" s="73" t="inlineStr">
        <is>
          <t xml:space="preserve">Representante </t>
        </is>
      </c>
      <c r="G174" s="73" t="inlineStr">
        <is>
          <t>https://juventud.gob.pe/wp-content/uploads/2022/04/BASE-DE-DATOS-ORGANIZACIONES-JUVENILES-E-INSTITUCIONES-PRIVADAS.xlsx</t>
        </is>
      </c>
      <c r="H174" s="73" t="inlineStr">
        <is>
          <t>Leslie Katherine Castro Ramos</t>
        </is>
      </c>
      <c r="I174" s="28" t="inlineStr">
        <is>
          <t>No disponible en fuente oficial</t>
        </is>
      </c>
      <c r="J174" s="73" t="inlineStr">
        <is>
          <t>asociación.masintegracion@gmail.com</t>
        </is>
      </c>
      <c r="K174" s="73" t="inlineStr">
        <is>
          <t>https://juventud.gob.pe/wp-content/uploads/2022/04/BASE-DE-DATOS-ORGANIZACIONES-JUVENILES-E-INSTITUCIONES-PRIVADAS.xlsx</t>
        </is>
      </c>
      <c r="L174" s="51" t="inlineStr">
        <is>
          <t>CONFIRMADO</t>
        </is>
      </c>
      <c r="M174" s="30" t="n"/>
    </row>
    <row r="175" ht="15.75" customHeight="1" s="182">
      <c r="A175" s="42" t="inlineStr">
        <is>
          <t>Perú</t>
        </is>
      </c>
      <c r="B175" s="15" t="inlineStr">
        <is>
          <t>Organizaciones juveniles</t>
        </is>
      </c>
      <c r="C175" s="73" t="inlineStr">
        <is>
          <t>Organizaciones de voluntariado</t>
        </is>
      </c>
      <c r="D175" s="73" t="inlineStr">
        <is>
          <t>ASOCIACIÓN DE LÍDERES UNIDOS POR MONSEFÚ - ALUM</t>
        </is>
      </c>
      <c r="E175" s="73" t="n"/>
      <c r="F175" s="73" t="inlineStr">
        <is>
          <t xml:space="preserve">Representante </t>
        </is>
      </c>
      <c r="G175" s="73" t="inlineStr">
        <is>
          <t>https://juventud.gob.pe/wp-content/uploads/2022/04/BASE-DE-DATOS-ORGANIZACIONES-JUVENILES-E-INSTITUCIONES-PRIVADAS.xlsx</t>
        </is>
      </c>
      <c r="H175" s="73" t="inlineStr">
        <is>
          <t>Deysi Yessenia Torres Lluen</t>
        </is>
      </c>
      <c r="I175" s="28" t="inlineStr">
        <is>
          <t>No disponible en fuente oficial</t>
        </is>
      </c>
      <c r="J175" s="73" t="inlineStr">
        <is>
          <t>Deysiyessenittorreslluen@gmail.com</t>
        </is>
      </c>
      <c r="K175" s="73" t="inlineStr">
        <is>
          <t>https://juventud.gob.pe/wp-content/uploads/2022/04/BASE-DE-DATOS-ORGANIZACIONES-JUVENILES-E-INSTITUCIONES-PRIVADAS.xlsx</t>
        </is>
      </c>
      <c r="L175" s="51" t="inlineStr">
        <is>
          <t>CONFIRMADO</t>
        </is>
      </c>
      <c r="M175" s="30" t="n"/>
    </row>
    <row r="176" ht="15.75" customHeight="1" s="182">
      <c r="A176" s="42" t="inlineStr">
        <is>
          <t>Perú</t>
        </is>
      </c>
      <c r="B176" s="15" t="inlineStr">
        <is>
          <t>Organizaciones juveniles</t>
        </is>
      </c>
      <c r="C176" s="73" t="inlineStr">
        <is>
          <t>Organizaciones de estudiantes (escolar, universitario, tecnológico, artístico o pedagógico)</t>
        </is>
      </c>
      <c r="D176" s="73" t="inlineStr">
        <is>
          <t>ACCIÓN UNIVERSITARIA</t>
        </is>
      </c>
      <c r="E176" s="73" t="n"/>
      <c r="F176" s="73" t="inlineStr">
        <is>
          <t xml:space="preserve">Representante </t>
        </is>
      </c>
      <c r="G176" s="73" t="inlineStr">
        <is>
          <t>https://juventud.gob.pe/wp-content/uploads/2022/04/BASE-DE-DATOS-ORGANIZACIONES-JUVENILES-E-INSTITUCIONES-PRIVADAS.xlsx</t>
        </is>
      </c>
      <c r="H176" s="73" t="inlineStr">
        <is>
          <t>Jerson Paul Chincha Rojas</t>
        </is>
      </c>
      <c r="I176" s="28" t="inlineStr">
        <is>
          <t>No disponible en fuente oficial</t>
        </is>
      </c>
      <c r="J176" s="73" t="inlineStr">
        <is>
          <t>acciónuniversitaria@gmail.com</t>
        </is>
      </c>
      <c r="K176" s="73" t="inlineStr">
        <is>
          <t>https://juventud.gob.pe/wp-content/uploads/2022/04/BASE-DE-DATOS-ORGANIZACIONES-JUVENILES-E-INSTITUCIONES-PRIVADAS.xlsx</t>
        </is>
      </c>
      <c r="L176" s="51" t="inlineStr">
        <is>
          <t>CONFIRMADO</t>
        </is>
      </c>
      <c r="M176" s="30" t="n"/>
    </row>
    <row r="177" ht="15.75" customHeight="1" s="182">
      <c r="A177" s="42" t="inlineStr">
        <is>
          <t>Perú</t>
        </is>
      </c>
      <c r="B177" s="15" t="inlineStr">
        <is>
          <t>Organizaciones juveniles</t>
        </is>
      </c>
      <c r="C177" s="73" t="inlineStr">
        <is>
          <t>Organizaciones de voluntariado</t>
        </is>
      </c>
      <c r="D177" s="73" t="inlineStr">
        <is>
          <t>RUNA HAYÑI</t>
        </is>
      </c>
      <c r="E177" s="73" t="n"/>
      <c r="F177" s="73" t="inlineStr">
        <is>
          <t xml:space="preserve">Representante </t>
        </is>
      </c>
      <c r="G177" s="73" t="inlineStr">
        <is>
          <t>https://juventud.gob.pe/wp-content/uploads/2022/04/BASE-DE-DATOS-ORGANIZACIONES-JUVENILES-E-INSTITUCIONES-PRIVADAS.xlsx</t>
        </is>
      </c>
      <c r="H177" s="73" t="inlineStr">
        <is>
          <t>Franklin Raúl Gómez Núñez</t>
        </is>
      </c>
      <c r="I177" s="28" t="inlineStr">
        <is>
          <t>No disponible en fuente oficial</t>
        </is>
      </c>
      <c r="J177" s="73" t="inlineStr">
        <is>
          <t>runahayni@gmail.com</t>
        </is>
      </c>
      <c r="K177" s="73" t="inlineStr">
        <is>
          <t>https://juventud.gob.pe/wp-content/uploads/2022/04/BASE-DE-DATOS-ORGANIZACIONES-JUVENILES-E-INSTITUCIONES-PRIVADAS.xlsx</t>
        </is>
      </c>
      <c r="L177" s="51" t="inlineStr">
        <is>
          <t>CONFIRMADO</t>
        </is>
      </c>
      <c r="M177" s="30" t="n"/>
    </row>
    <row r="178" ht="15.75" customHeight="1" s="182">
      <c r="A178" s="42" t="inlineStr">
        <is>
          <t>Perú</t>
        </is>
      </c>
      <c r="B178" s="15" t="inlineStr">
        <is>
          <t>Organizaciones juveniles</t>
        </is>
      </c>
      <c r="C178" s="73" t="inlineStr">
        <is>
          <t>Organizaciones de voluntariado</t>
        </is>
      </c>
      <c r="D178" s="73" t="inlineStr">
        <is>
          <t>KILLA PERÚ</t>
        </is>
      </c>
      <c r="E178" s="73" t="n"/>
      <c r="F178" s="73" t="inlineStr">
        <is>
          <t xml:space="preserve">Representante </t>
        </is>
      </c>
      <c r="G178" s="73" t="inlineStr">
        <is>
          <t>https://juventud.gob.pe/wp-content/uploads/2022/04/BASE-DE-DATOS-ORGANIZACIONES-JUVENILES-E-INSTITUCIONES-PRIVADAS.xlsx</t>
        </is>
      </c>
      <c r="H178" s="73" t="inlineStr">
        <is>
          <t>Natalia Ivett Arbildo Pérez</t>
        </is>
      </c>
      <c r="I178" s="28" t="inlineStr">
        <is>
          <t>No disponible en fuente oficial</t>
        </is>
      </c>
      <c r="J178" s="73" t="inlineStr">
        <is>
          <t>natalia.arbildo@gmail.com</t>
        </is>
      </c>
      <c r="K178" s="73" t="inlineStr">
        <is>
          <t>https://juventud.gob.pe/wp-content/uploads/2022/04/BASE-DE-DATOS-ORGANIZACIONES-JUVENILES-E-INSTITUCIONES-PRIVADAS.xlsx</t>
        </is>
      </c>
      <c r="L178" s="51" t="inlineStr">
        <is>
          <t>CONFIRMADO</t>
        </is>
      </c>
      <c r="M178" s="30" t="n"/>
    </row>
    <row r="179" ht="15.75" customHeight="1" s="182">
      <c r="A179" s="42" t="inlineStr">
        <is>
          <t>Perú</t>
        </is>
      </c>
      <c r="B179" s="15" t="inlineStr">
        <is>
          <t>Organizaciones juveniles</t>
        </is>
      </c>
      <c r="C179" s="73" t="inlineStr">
        <is>
          <t>Organizaciones de estudiantes (escolar, universitario, tecnológico, artístico o pedagógico)</t>
        </is>
      </c>
      <c r="D179" s="73" t="inlineStr">
        <is>
          <t>GRUPO TESLA - PUCALÁ</t>
        </is>
      </c>
      <c r="E179" s="73" t="n"/>
      <c r="F179" s="73" t="inlineStr">
        <is>
          <t xml:space="preserve">Representante </t>
        </is>
      </c>
      <c r="G179" s="73" t="inlineStr">
        <is>
          <t>https://juventud.gob.pe/wp-content/uploads/2022/04/BASE-DE-DATOS-ORGANIZACIONES-JUVENILES-E-INSTITUCIONES-PRIVADAS.xlsx</t>
        </is>
      </c>
      <c r="H179" s="73" t="inlineStr">
        <is>
          <t>José Eduardo Sánchez Medina</t>
        </is>
      </c>
      <c r="I179" s="28" t="inlineStr">
        <is>
          <t>No disponible en fuente oficial</t>
        </is>
      </c>
      <c r="J179" s="73" t="inlineStr">
        <is>
          <t>grupotesla07@gmail.com</t>
        </is>
      </c>
      <c r="K179" s="73" t="inlineStr">
        <is>
          <t>https://juventud.gob.pe/wp-content/uploads/2022/04/BASE-DE-DATOS-ORGANIZACIONES-JUVENILES-E-INSTITUCIONES-PRIVADAS.xlsx</t>
        </is>
      </c>
      <c r="L179" s="51" t="inlineStr">
        <is>
          <t>CONFIRMADO</t>
        </is>
      </c>
      <c r="M179" s="30" t="n"/>
    </row>
    <row r="180" ht="15.75" customHeight="1" s="182">
      <c r="A180" s="42" t="inlineStr">
        <is>
          <t>Perú</t>
        </is>
      </c>
      <c r="B180" s="15" t="inlineStr">
        <is>
          <t>Organizaciones juveniles</t>
        </is>
      </c>
      <c r="C180" s="73" t="inlineStr">
        <is>
          <t>Organizaciones de voluntariado</t>
        </is>
      </c>
      <c r="D180" s="73" t="inlineStr">
        <is>
          <t>INCLUSIÓN SIN BARRERAS</t>
        </is>
      </c>
      <c r="E180" s="73" t="n"/>
      <c r="F180" s="73" t="inlineStr">
        <is>
          <t xml:space="preserve">Representante </t>
        </is>
      </c>
      <c r="G180" s="73" t="inlineStr">
        <is>
          <t>https://juventud.gob.pe/wp-content/uploads/2022/04/BASE-DE-DATOS-ORGANIZACIONES-JUVENILES-E-INSTITUCIONES-PRIVADAS.xlsx</t>
        </is>
      </c>
      <c r="H180" s="73" t="inlineStr">
        <is>
          <t>Ubil Rodriguez Arrascue</t>
        </is>
      </c>
      <c r="I180" s="28" t="inlineStr">
        <is>
          <t>No disponible en fuente oficial</t>
        </is>
      </c>
      <c r="J180" s="73" t="inlineStr">
        <is>
          <t>inclusionsinbarerras@gmail.com</t>
        </is>
      </c>
      <c r="K180" s="73" t="inlineStr">
        <is>
          <t>https://juventud.gob.pe/wp-content/uploads/2022/04/BASE-DE-DATOS-ORGANIZACIONES-JUVENILES-E-INSTITUCIONES-PRIVADAS.xlsx</t>
        </is>
      </c>
      <c r="L180" s="51" t="inlineStr">
        <is>
          <t>CONFIRMADO</t>
        </is>
      </c>
      <c r="M180" s="30" t="n"/>
    </row>
    <row r="181" ht="15.75" customHeight="1" s="182">
      <c r="A181" s="42" t="inlineStr">
        <is>
          <t>Perú</t>
        </is>
      </c>
      <c r="B181" s="15" t="inlineStr">
        <is>
          <t>Organizaciones juveniles</t>
        </is>
      </c>
      <c r="C181" s="73" t="inlineStr">
        <is>
          <t>Organizaciones territoriales</t>
        </is>
      </c>
      <c r="D181" s="73" t="inlineStr">
        <is>
          <t>100 MILLONES - PERÚ</t>
        </is>
      </c>
      <c r="E181" s="73" t="n"/>
      <c r="F181" s="73" t="inlineStr">
        <is>
          <t xml:space="preserve">Representante </t>
        </is>
      </c>
      <c r="G181" s="73" t="inlineStr">
        <is>
          <t>https://juventud.gob.pe/wp-content/uploads/2022/04/BASE-DE-DATOS-ORGANIZACIONES-JUVENILES-E-INSTITUCIONES-PRIVADAS.xlsx</t>
        </is>
      </c>
      <c r="H181" s="73" t="inlineStr">
        <is>
          <t>Frida Alejandra Romero Mezarina</t>
        </is>
      </c>
      <c r="I181" s="28" t="inlineStr">
        <is>
          <t>No disponible en fuente oficial</t>
        </is>
      </c>
      <c r="J181" s="73" t="inlineStr">
        <is>
          <t>100millones.peru@gmail.com</t>
        </is>
      </c>
      <c r="K181" s="73" t="inlineStr">
        <is>
          <t>https://juventud.gob.pe/wp-content/uploads/2022/04/BASE-DE-DATOS-ORGANIZACIONES-JUVENILES-E-INSTITUCIONES-PRIVADAS.xlsx</t>
        </is>
      </c>
      <c r="L181" s="51" t="inlineStr">
        <is>
          <t>CONFIRMADO</t>
        </is>
      </c>
      <c r="M181" s="30" t="n"/>
    </row>
    <row r="182" ht="15.75" customHeight="1" s="182">
      <c r="A182" s="42" t="inlineStr">
        <is>
          <t>Perú</t>
        </is>
      </c>
      <c r="B182" s="15" t="inlineStr">
        <is>
          <t>Organizaciones juveniles</t>
        </is>
      </c>
      <c r="C182" s="73" t="inlineStr">
        <is>
          <t>Organizaciones de estudiantes (escolar, universitario, tecnológico, artístico o pedagógico)</t>
        </is>
      </c>
      <c r="D182" s="73" t="inlineStr">
        <is>
          <t>CENTRO DE ESTUDIOS Y DEBATE DE RELACIONES INTERNACIONALES (CEDRI)</t>
        </is>
      </c>
      <c r="E182" s="73" t="n"/>
      <c r="F182" s="73" t="inlineStr">
        <is>
          <t xml:space="preserve">Representante </t>
        </is>
      </c>
      <c r="G182" s="73" t="inlineStr">
        <is>
          <t>https://juventud.gob.pe/wp-content/uploads/2022/04/BASE-DE-DATOS-ORGANIZACIONES-JUVENILES-E-INSTITUCIONES-PRIVADAS.xlsx</t>
        </is>
      </c>
      <c r="H182" s="73" t="inlineStr">
        <is>
          <t>Sebastían Sanguinetti Martínez</t>
        </is>
      </c>
      <c r="I182" s="28" t="inlineStr">
        <is>
          <t>No disponible en fuente oficial</t>
        </is>
      </c>
      <c r="J182" s="73" t="inlineStr">
        <is>
          <t>cedrimun@gmail.com</t>
        </is>
      </c>
      <c r="K182" s="73" t="inlineStr">
        <is>
          <t>https://juventud.gob.pe/wp-content/uploads/2022/04/BASE-DE-DATOS-ORGANIZACIONES-JUVENILES-E-INSTITUCIONES-PRIVADAS.xlsx</t>
        </is>
      </c>
      <c r="L182" s="51" t="inlineStr">
        <is>
          <t>CONFIRMADO</t>
        </is>
      </c>
      <c r="M182" s="30" t="n"/>
    </row>
    <row r="183" ht="15.75" customHeight="1" s="182">
      <c r="A183" s="42" t="inlineStr">
        <is>
          <t>Perú</t>
        </is>
      </c>
      <c r="B183" s="15" t="inlineStr">
        <is>
          <t>Organizaciones juveniles</t>
        </is>
      </c>
      <c r="C183" s="73" t="inlineStr">
        <is>
          <t>Organizaciones de estudiantes (escolar, universitario, tecnológico, artístico o pedagógico)</t>
        </is>
      </c>
      <c r="D183" s="73" t="inlineStr">
        <is>
          <t>CENTRO FEDERADO DE PSICOLOGÍA DE LA UNMSM (CFP)</t>
        </is>
      </c>
      <c r="E183" s="73" t="n"/>
      <c r="F183" s="73" t="inlineStr">
        <is>
          <t xml:space="preserve">Representante </t>
        </is>
      </c>
      <c r="G183" s="73" t="inlineStr">
        <is>
          <t>https://juventud.gob.pe/wp-content/uploads/2022/04/BASE-DE-DATOS-ORGANIZACIONES-JUVENILES-E-INSTITUCIONES-PRIVADAS.xlsx</t>
        </is>
      </c>
      <c r="H183" s="73" t="inlineStr">
        <is>
          <t>Benjamin Ronaldo Bazán Joaquin</t>
        </is>
      </c>
      <c r="I183" s="28" t="inlineStr">
        <is>
          <t>No disponible en fuente oficial</t>
        </is>
      </c>
      <c r="J183" s="73" t="inlineStr">
        <is>
          <t>rrpp.psicología.unmsm@gmail.com</t>
        </is>
      </c>
      <c r="K183" s="73" t="inlineStr">
        <is>
          <t>https://juventud.gob.pe/wp-content/uploads/2022/04/BASE-DE-DATOS-ORGANIZACIONES-JUVENILES-E-INSTITUCIONES-PRIVADAS.xlsx</t>
        </is>
      </c>
      <c r="L183" s="51" t="inlineStr">
        <is>
          <t>CONFIRMADO</t>
        </is>
      </c>
      <c r="M183" s="30" t="n"/>
    </row>
    <row r="184" ht="15.75" customHeight="1" s="182">
      <c r="A184" s="42" t="inlineStr">
        <is>
          <t>Perú</t>
        </is>
      </c>
      <c r="B184" s="15" t="inlineStr">
        <is>
          <t>Organizaciones juveniles</t>
        </is>
      </c>
      <c r="C184" s="73" t="inlineStr">
        <is>
          <t>Organizaciones de voluntariado</t>
        </is>
      </c>
      <c r="D184" s="73" t="inlineStr">
        <is>
          <t>DESPIERTA JUVENTUD</t>
        </is>
      </c>
      <c r="E184" s="73" t="n"/>
      <c r="F184" s="73" t="inlineStr">
        <is>
          <t xml:space="preserve">Representante </t>
        </is>
      </c>
      <c r="G184" s="73" t="inlineStr">
        <is>
          <t>https://juventud.gob.pe/wp-content/uploads/2022/04/BASE-DE-DATOS-ORGANIZACIONES-JUVENILES-E-INSTITUCIONES-PRIVADAS.xlsx</t>
        </is>
      </c>
      <c r="H184" s="73" t="inlineStr">
        <is>
          <t>Stephany Haydee Flores Meza</t>
        </is>
      </c>
      <c r="I184" s="28" t="inlineStr">
        <is>
          <t>No disponible en fuente oficial</t>
        </is>
      </c>
      <c r="J184" s="73" t="inlineStr">
        <is>
          <t>desjuv.pucusana@gmail.com</t>
        </is>
      </c>
      <c r="K184" s="73" t="inlineStr">
        <is>
          <t>https://juventud.gob.pe/wp-content/uploads/2022/04/BASE-DE-DATOS-ORGANIZACIONES-JUVENILES-E-INSTITUCIONES-PRIVADAS.xlsx</t>
        </is>
      </c>
      <c r="L184" s="51" t="inlineStr">
        <is>
          <t>CONFIRMADO</t>
        </is>
      </c>
      <c r="M184" s="30" t="n"/>
    </row>
    <row r="185" ht="15.75" customHeight="1" s="182">
      <c r="A185" s="42" t="inlineStr">
        <is>
          <t>Perú</t>
        </is>
      </c>
      <c r="B185" s="15" t="inlineStr">
        <is>
          <t>Organizaciones juveniles</t>
        </is>
      </c>
      <c r="C185" s="73" t="inlineStr">
        <is>
          <t>Organizaciones de voluntariado</t>
        </is>
      </c>
      <c r="D185" s="73" t="inlineStr">
        <is>
          <t>THE MILLENNIALS MOVEMENT</t>
        </is>
      </c>
      <c r="E185" s="73" t="n"/>
      <c r="F185" s="73" t="inlineStr">
        <is>
          <t xml:space="preserve">Representante </t>
        </is>
      </c>
      <c r="G185" s="73" t="inlineStr">
        <is>
          <t>https://juventud.gob.pe/wp-content/uploads/2022/04/BASE-DE-DATOS-ORGANIZACIONES-JUVENILES-E-INSTITUCIONES-PRIVADAS.xlsx</t>
        </is>
      </c>
      <c r="H185" s="73" t="inlineStr">
        <is>
          <t>Walter Fernando Ibarra Dávila</t>
        </is>
      </c>
      <c r="I185" s="28" t="inlineStr">
        <is>
          <t>No disponible en fuente oficial</t>
        </is>
      </c>
      <c r="J185" s="73" t="inlineStr">
        <is>
          <t>contacto@themillennialsmovement.org</t>
        </is>
      </c>
      <c r="K185" s="73" t="inlineStr">
        <is>
          <t>https://juventud.gob.pe/wp-content/uploads/2022/04/BASE-DE-DATOS-ORGANIZACIONES-JUVENILES-E-INSTITUCIONES-PRIVADAS.xlsx</t>
        </is>
      </c>
      <c r="L185" s="51" t="inlineStr">
        <is>
          <t>CONFIRMADO</t>
        </is>
      </c>
      <c r="M185" s="30" t="n"/>
    </row>
    <row r="186" ht="15.75" customHeight="1" s="182">
      <c r="A186" s="42" t="inlineStr">
        <is>
          <t>Perú</t>
        </is>
      </c>
      <c r="B186" s="15" t="inlineStr">
        <is>
          <t>Organizaciones juveniles</t>
        </is>
      </c>
      <c r="C186" s="73" t="inlineStr">
        <is>
          <t>Organizaciones de estudiantes (escolar, universitario, tecnológico, artístico o pedagógico)</t>
        </is>
      </c>
      <c r="D186" s="73" t="inlineStr">
        <is>
          <t>AGRUPACIÓN DESARROLLO ESTUDIANTIL</t>
        </is>
      </c>
      <c r="E186" s="73" t="n"/>
      <c r="F186" s="73" t="inlineStr">
        <is>
          <t xml:space="preserve">Representante </t>
        </is>
      </c>
      <c r="G186" s="73" t="inlineStr">
        <is>
          <t>https://juventud.gob.pe/wp-content/uploads/2022/04/BASE-DE-DATOS-ORGANIZACIONES-JUVENILES-E-INSTITUCIONES-PRIVADAS.xlsx</t>
        </is>
      </c>
      <c r="H186" s="73" t="inlineStr">
        <is>
          <t>Erick David Solis Salas</t>
        </is>
      </c>
      <c r="I186" s="28" t="inlineStr">
        <is>
          <t>No disponible en fuente oficial</t>
        </is>
      </c>
      <c r="J186" s="73" t="inlineStr">
        <is>
          <t>ade.fce.unfv@gmail.com</t>
        </is>
      </c>
      <c r="K186" s="73" t="inlineStr">
        <is>
          <t>https://juventud.gob.pe/wp-content/uploads/2022/04/BASE-DE-DATOS-ORGANIZACIONES-JUVENILES-E-INSTITUCIONES-PRIVADAS.xlsx</t>
        </is>
      </c>
      <c r="L186" s="51" t="inlineStr">
        <is>
          <t>CONFIRMADO</t>
        </is>
      </c>
      <c r="M186" s="30" t="n"/>
    </row>
    <row r="187" ht="15.75" customHeight="1" s="182">
      <c r="A187" s="42" t="inlineStr">
        <is>
          <t>Perú</t>
        </is>
      </c>
      <c r="B187" s="15" t="inlineStr">
        <is>
          <t>Organizaciones juveniles</t>
        </is>
      </c>
      <c r="C187" s="73" t="inlineStr">
        <is>
          <t>Organizaciones de voluntariado</t>
        </is>
      </c>
      <c r="D187" s="73" t="inlineStr">
        <is>
          <t>ADN CREATIVO</t>
        </is>
      </c>
      <c r="E187" s="73" t="n"/>
      <c r="F187" s="73" t="inlineStr">
        <is>
          <t xml:space="preserve">Representante </t>
        </is>
      </c>
      <c r="G187" s="73" t="inlineStr">
        <is>
          <t>https://juventud.gob.pe/wp-content/uploads/2022/04/BASE-DE-DATOS-ORGANIZACIONES-JUVENILES-E-INSTITUCIONES-PRIVADAS.xlsx</t>
        </is>
      </c>
      <c r="H187" s="73" t="inlineStr">
        <is>
          <t>Angelo Jorge Vera Cerro</t>
        </is>
      </c>
      <c r="I187" s="28" t="inlineStr">
        <is>
          <t>No disponible en fuente oficial</t>
        </is>
      </c>
      <c r="J187" s="73" t="inlineStr">
        <is>
          <t>adncreativope@gmail.com</t>
        </is>
      </c>
      <c r="K187" s="73" t="inlineStr">
        <is>
          <t>https://juventud.gob.pe/wp-content/uploads/2022/04/BASE-DE-DATOS-ORGANIZACIONES-JUVENILES-E-INSTITUCIONES-PRIVADAS.xlsx</t>
        </is>
      </c>
      <c r="L187" s="51" t="inlineStr">
        <is>
          <t>CONFIRMADO</t>
        </is>
      </c>
      <c r="M187" s="30" t="n"/>
    </row>
    <row r="188" ht="15.75" customHeight="1" s="182">
      <c r="A188" s="42" t="inlineStr">
        <is>
          <t>Perú</t>
        </is>
      </c>
      <c r="B188" s="15" t="inlineStr">
        <is>
          <t>Organizaciones juveniles</t>
        </is>
      </c>
      <c r="C188" s="73" t="inlineStr">
        <is>
          <t>Organización artística y/o cultural</t>
        </is>
      </c>
      <c r="D188" s="73" t="inlineStr">
        <is>
          <t xml:space="preserve">DEPARTE - Art &amp; Sport
</t>
        </is>
      </c>
      <c r="E188" s="73" t="n"/>
      <c r="F188" s="73" t="inlineStr">
        <is>
          <t xml:space="preserve">Representante </t>
        </is>
      </c>
      <c r="G188" s="73" t="inlineStr">
        <is>
          <t>https://juventud.gob.pe/wp-content/uploads/2022/04/BASE-DE-DATOS-ORGANIZACIONES-JUVENILES-E-INSTITUCIONES-PRIVADAS.xlsx</t>
        </is>
      </c>
      <c r="H188" s="73" t="inlineStr">
        <is>
          <t>Annie Maylin Sáez Mauricio</t>
        </is>
      </c>
      <c r="I188" s="28" t="inlineStr">
        <is>
          <t>No disponible en fuente oficial</t>
        </is>
      </c>
      <c r="J188" s="73" t="inlineStr">
        <is>
          <t>departe.peru@gmail.com</t>
        </is>
      </c>
      <c r="K188" s="73" t="inlineStr">
        <is>
          <t>https://juventud.gob.pe/wp-content/uploads/2022/04/BASE-DE-DATOS-ORGANIZACIONES-JUVENILES-E-INSTITUCIONES-PRIVADAS.xlsx</t>
        </is>
      </c>
      <c r="L188" s="51" t="inlineStr">
        <is>
          <t>CONFIRMADO</t>
        </is>
      </c>
      <c r="M188" s="30" t="n"/>
    </row>
    <row r="189" ht="15.75" customHeight="1" s="182">
      <c r="A189" s="42" t="inlineStr">
        <is>
          <t>Perú</t>
        </is>
      </c>
      <c r="B189" s="15" t="inlineStr">
        <is>
          <t>Organizaciones juveniles</t>
        </is>
      </c>
      <c r="C189" s="73" t="inlineStr">
        <is>
          <t>Otros: Organización para proyectos políticos y sociales de jóvenes</t>
        </is>
      </c>
      <c r="D189" s="73" t="inlineStr">
        <is>
          <t>JÓVENES DEL MILENIO</t>
        </is>
      </c>
      <c r="E189" s="73" t="n"/>
      <c r="F189" s="73" t="inlineStr">
        <is>
          <t xml:space="preserve">Representante </t>
        </is>
      </c>
      <c r="G189" s="73" t="inlineStr">
        <is>
          <t>https://juventud.gob.pe/wp-content/uploads/2022/04/BASE-DE-DATOS-ORGANIZACIONES-JUVENILES-E-INSTITUCIONES-PRIVADAS.xlsx</t>
        </is>
      </c>
      <c r="H189" s="73" t="inlineStr">
        <is>
          <t>Milagros Alejandra Salinas Atencio</t>
        </is>
      </c>
      <c r="I189" s="28" t="inlineStr">
        <is>
          <t>No disponible en fuente oficial</t>
        </is>
      </c>
      <c r="J189" s="73" t="inlineStr">
        <is>
          <t>jmredperu@gmail.com</t>
        </is>
      </c>
      <c r="K189" s="73" t="inlineStr">
        <is>
          <t>https://juventud.gob.pe/wp-content/uploads/2022/04/BASE-DE-DATOS-ORGANIZACIONES-JUVENILES-E-INSTITUCIONES-PRIVADAS.xlsx</t>
        </is>
      </c>
      <c r="L189" s="51" t="inlineStr">
        <is>
          <t>CONFIRMADO</t>
        </is>
      </c>
      <c r="M189" s="30" t="n"/>
    </row>
    <row r="190" ht="15.75" customHeight="1" s="182">
      <c r="A190" s="42" t="inlineStr">
        <is>
          <t>Perú</t>
        </is>
      </c>
      <c r="B190" s="15" t="inlineStr">
        <is>
          <t>Organizaciones juveniles</t>
        </is>
      </c>
      <c r="C190" s="73" t="inlineStr">
        <is>
          <t>Organizaciones de voluntariado</t>
        </is>
      </c>
      <c r="D190" s="73" t="inlineStr">
        <is>
          <t>REBROTA</t>
        </is>
      </c>
      <c r="E190" s="73" t="n"/>
      <c r="F190" s="73" t="inlineStr">
        <is>
          <t xml:space="preserve">Representante </t>
        </is>
      </c>
      <c r="G190" s="73" t="inlineStr">
        <is>
          <t>https://juventud.gob.pe/wp-content/uploads/2022/04/BASE-DE-DATOS-ORGANIZACIONES-JUVENILES-E-INSTITUCIONES-PRIVADAS.xlsx</t>
        </is>
      </c>
      <c r="H190" s="73" t="inlineStr">
        <is>
          <t>Jesús Arturo Lizarraga Palacios</t>
        </is>
      </c>
      <c r="I190" s="28" t="inlineStr">
        <is>
          <t>No disponible en fuente oficial</t>
        </is>
      </c>
      <c r="J190" s="73" t="inlineStr">
        <is>
          <t>rebrotaorg@hotmail.com</t>
        </is>
      </c>
      <c r="K190" s="73" t="inlineStr">
        <is>
          <t>https://juventud.gob.pe/wp-content/uploads/2022/04/BASE-DE-DATOS-ORGANIZACIONES-JUVENILES-E-INSTITUCIONES-PRIVADAS.xlsx</t>
        </is>
      </c>
      <c r="L190" s="51" t="inlineStr">
        <is>
          <t>CONFIRMADO</t>
        </is>
      </c>
      <c r="M190" s="30" t="n"/>
    </row>
    <row r="191" ht="15.75" customHeight="1" s="182">
      <c r="A191" s="42" t="inlineStr">
        <is>
          <t>Perú</t>
        </is>
      </c>
      <c r="B191" s="15" t="inlineStr">
        <is>
          <t>Organizaciones juveniles</t>
        </is>
      </c>
      <c r="C191" s="73" t="inlineStr">
        <is>
          <t>Otros: Organización de investigación. Desarrollo e innovación tecnológica y ambiental</t>
        </is>
      </c>
      <c r="D191" s="73" t="inlineStr">
        <is>
          <t>ISV LAB INNOVACIÓN TECNOLOGICA Y AMBIENTAL</t>
        </is>
      </c>
      <c r="E191" s="73" t="n"/>
      <c r="F191" s="73" t="inlineStr">
        <is>
          <t xml:space="preserve">Representante </t>
        </is>
      </c>
      <c r="G191" s="73" t="inlineStr">
        <is>
          <t>https://juventud.gob.pe/wp-content/uploads/2022/04/BASE-DE-DATOS-ORGANIZACIONES-JUVENILES-E-INSTITUCIONES-PRIVADAS.xlsx</t>
        </is>
      </c>
      <c r="H191" s="73" t="inlineStr">
        <is>
          <t>Paul Takeshi Díaz Márquez</t>
        </is>
      </c>
      <c r="I191" s="28" t="inlineStr">
        <is>
          <t>No disponible en fuente oficial</t>
        </is>
      </c>
      <c r="J191" s="73" t="inlineStr">
        <is>
          <t>isvlab.inatec@gmail.com</t>
        </is>
      </c>
      <c r="K191" s="73" t="inlineStr">
        <is>
          <t>https://juventud.gob.pe/wp-content/uploads/2022/04/BASE-DE-DATOS-ORGANIZACIONES-JUVENILES-E-INSTITUCIONES-PRIVADAS.xlsx</t>
        </is>
      </c>
      <c r="L191" s="51" t="inlineStr">
        <is>
          <t>CONFIRMADO</t>
        </is>
      </c>
      <c r="M191" s="30" t="n"/>
    </row>
    <row r="192" ht="15.75" customHeight="1" s="182">
      <c r="A192" s="42" t="inlineStr">
        <is>
          <t>Perú</t>
        </is>
      </c>
      <c r="B192" s="15" t="inlineStr">
        <is>
          <t>Organizaciones juveniles</t>
        </is>
      </c>
      <c r="C192" s="73" t="inlineStr">
        <is>
          <t>Organizaciones de estudiantes (escolar, universitario, tecnológico, artístico o pedagógico)</t>
        </is>
      </c>
      <c r="D192" s="73" t="inlineStr">
        <is>
          <t>AUPFAS (AGRUPACIONES UNIVERSITARIAS PERUANAS SOBRE FAUNA SILVESTRE)</t>
        </is>
      </c>
      <c r="E192" s="73" t="n"/>
      <c r="F192" s="73" t="inlineStr">
        <is>
          <t xml:space="preserve">Representante </t>
        </is>
      </c>
      <c r="G192" s="73" t="inlineStr">
        <is>
          <t>https://juventud.gob.pe/wp-content/uploads/2022/04/BASE-DE-DATOS-ORGANIZACIONES-JUVENILES-E-INSTITUCIONES-PRIVADAS.xlsx</t>
        </is>
      </c>
      <c r="H192" s="73" t="inlineStr">
        <is>
          <t>Jesús Antonio Mauricio Pisco</t>
        </is>
      </c>
      <c r="I192" s="28" t="inlineStr">
        <is>
          <t>No disponible en fuente oficial</t>
        </is>
      </c>
      <c r="J192" s="73" t="inlineStr">
        <is>
          <t>universitariosdefauna@gmail.com</t>
        </is>
      </c>
      <c r="K192" s="73" t="inlineStr">
        <is>
          <t>https://juventud.gob.pe/wp-content/uploads/2022/04/BASE-DE-DATOS-ORGANIZACIONES-JUVENILES-E-INSTITUCIONES-PRIVADAS.xlsx</t>
        </is>
      </c>
      <c r="L192" s="51" t="inlineStr">
        <is>
          <t>CONFIRMADO</t>
        </is>
      </c>
      <c r="M192" s="30" t="n"/>
    </row>
    <row r="193" ht="15.75" customHeight="1" s="182">
      <c r="A193" s="42" t="inlineStr">
        <is>
          <t>Perú</t>
        </is>
      </c>
      <c r="B193" s="15" t="inlineStr">
        <is>
          <t>Organizaciones juveniles</t>
        </is>
      </c>
      <c r="C193" s="73" t="inlineStr">
        <is>
          <t>Organizaciones de voluntariado</t>
        </is>
      </c>
      <c r="D193" s="73" t="inlineStr">
        <is>
          <t>MAKIPURA TIERRA SUSTENTABLE</t>
        </is>
      </c>
      <c r="E193" s="73" t="n"/>
      <c r="F193" s="73" t="inlineStr">
        <is>
          <t xml:space="preserve">Representante </t>
        </is>
      </c>
      <c r="G193" s="73" t="inlineStr">
        <is>
          <t>https://juventud.gob.pe/wp-content/uploads/2022/04/BASE-DE-DATOS-ORGANIZACIONES-JUVENILES-E-INSTITUCIONES-PRIVADAS.xlsx</t>
        </is>
      </c>
      <c r="H193" s="73" t="inlineStr">
        <is>
          <t>Yeffel Nataly Pedreros Sandoval</t>
        </is>
      </c>
      <c r="I193" s="28" t="inlineStr">
        <is>
          <t>No disponible en fuente oficial</t>
        </is>
      </c>
      <c r="J193" s="73" t="inlineStr">
        <is>
          <t>colectivo.makipura@gmail.com</t>
        </is>
      </c>
      <c r="K193" s="73" t="inlineStr">
        <is>
          <t>https://juventud.gob.pe/wp-content/uploads/2022/04/BASE-DE-DATOS-ORGANIZACIONES-JUVENILES-E-INSTITUCIONES-PRIVADAS.xlsx</t>
        </is>
      </c>
      <c r="L193" s="51" t="inlineStr">
        <is>
          <t>CONFIRMADO</t>
        </is>
      </c>
      <c r="M193" s="30" t="n"/>
    </row>
    <row r="194" ht="15.75" customHeight="1" s="182">
      <c r="A194" s="42" t="inlineStr">
        <is>
          <t>Perú</t>
        </is>
      </c>
      <c r="B194" s="15" t="inlineStr">
        <is>
          <t>Organizaciones juveniles</t>
        </is>
      </c>
      <c r="C194" s="73" t="inlineStr">
        <is>
          <t>Organizaciones de estudiantes (escolar, universitario, tecnológico, artístico o pedagógico)</t>
        </is>
      </c>
      <c r="D194" s="73" t="inlineStr">
        <is>
          <t>COMISIÓN JUVENIL RED MUJERES SIN FRONTERAS</t>
        </is>
      </c>
      <c r="E194" s="73" t="n"/>
      <c r="F194" s="73" t="inlineStr">
        <is>
          <t xml:space="preserve">Representante </t>
        </is>
      </c>
      <c r="G194" s="73" t="inlineStr">
        <is>
          <t>https://juventud.gob.pe/wp-content/uploads/2022/04/BASE-DE-DATOS-ORGANIZACIONES-JUVENILES-E-INSTITUCIONES-PRIVADAS.xlsx</t>
        </is>
      </c>
      <c r="H194" s="73" t="inlineStr">
        <is>
          <t>Katherine Elvira Llanca Rodríguez</t>
        </is>
      </c>
      <c r="I194" s="28" t="inlineStr">
        <is>
          <t>No disponible en fuente oficial</t>
        </is>
      </c>
      <c r="J194" s="73" t="inlineStr">
        <is>
          <t>mujeressinfronterasred@gmail.com</t>
        </is>
      </c>
      <c r="K194" s="73" t="inlineStr">
        <is>
          <t>https://juventud.gob.pe/wp-content/uploads/2022/04/BASE-DE-DATOS-ORGANIZACIONES-JUVENILES-E-INSTITUCIONES-PRIVADAS.xlsx</t>
        </is>
      </c>
      <c r="L194" s="51" t="inlineStr">
        <is>
          <t>CONFIRMADO</t>
        </is>
      </c>
      <c r="M194" s="30" t="n"/>
    </row>
    <row r="195" ht="15.75" customHeight="1" s="182">
      <c r="A195" s="42" t="inlineStr">
        <is>
          <t>Perú</t>
        </is>
      </c>
      <c r="B195" s="15" t="inlineStr">
        <is>
          <t>Organizaciones juveniles</t>
        </is>
      </c>
      <c r="C195" s="73" t="inlineStr">
        <is>
          <t>Organizaciones de emprendedores</t>
        </is>
      </c>
      <c r="D195" s="73" t="inlineStr">
        <is>
          <t>CON - MOVERTE</t>
        </is>
      </c>
      <c r="E195" s="73" t="n"/>
      <c r="F195" s="73" t="inlineStr">
        <is>
          <t xml:space="preserve">Representante </t>
        </is>
      </c>
      <c r="G195" s="73" t="inlineStr">
        <is>
          <t>https://juventud.gob.pe/wp-content/uploads/2022/04/BASE-DE-DATOS-ORGANIZACIONES-JUVENILES-E-INSTITUCIONES-PRIVADAS.xlsx</t>
        </is>
      </c>
      <c r="H195" s="73" t="inlineStr">
        <is>
          <t>Liliana Loayza Pacheco</t>
        </is>
      </c>
      <c r="I195" s="28" t="inlineStr">
        <is>
          <t>No disponible en fuente oficial</t>
        </is>
      </c>
      <c r="J195" s="73" t="inlineStr">
        <is>
          <t>Con.moverte.info@gmail.com</t>
        </is>
      </c>
      <c r="K195" s="73" t="inlineStr">
        <is>
          <t>https://juventud.gob.pe/wp-content/uploads/2022/04/BASE-DE-DATOS-ORGANIZACIONES-JUVENILES-E-INSTITUCIONES-PRIVADAS.xlsx</t>
        </is>
      </c>
      <c r="L195" s="51" t="inlineStr">
        <is>
          <t>CONFIRMADO</t>
        </is>
      </c>
      <c r="M195" s="30" t="n"/>
    </row>
    <row r="196" ht="15.75" customHeight="1" s="182">
      <c r="A196" s="42" t="inlineStr">
        <is>
          <t>Perú</t>
        </is>
      </c>
      <c r="B196" s="15" t="inlineStr">
        <is>
          <t>Organizaciones juveniles</t>
        </is>
      </c>
      <c r="C196" s="73" t="inlineStr">
        <is>
          <t>Organizaciones de voluntariado</t>
        </is>
      </c>
      <c r="D196" s="73" t="inlineStr">
        <is>
          <t>Asociación Internacional Sonrisas Eternas (AISE)</t>
        </is>
      </c>
      <c r="E196" s="73" t="n"/>
      <c r="F196" s="73" t="inlineStr">
        <is>
          <t xml:space="preserve">Representante </t>
        </is>
      </c>
      <c r="G196" s="73" t="inlineStr">
        <is>
          <t>https://juventud.gob.pe/wp-content/uploads/2022/04/BASE-DE-DATOS-ORGANIZACIONES-JUVENILES-E-INSTITUCIONES-PRIVADAS.xlsx</t>
        </is>
      </c>
      <c r="H196" s="73" t="inlineStr">
        <is>
          <t>Xiomara Naomi Ibarra Montes</t>
        </is>
      </c>
      <c r="I196" s="28" t="inlineStr">
        <is>
          <t>No disponible en fuente oficial</t>
        </is>
      </c>
      <c r="J196" s="73" t="inlineStr">
        <is>
          <t>sonrisaseternas.peru@gmail.com</t>
        </is>
      </c>
      <c r="K196" s="73" t="inlineStr">
        <is>
          <t>https://juventud.gob.pe/wp-content/uploads/2022/04/BASE-DE-DATOS-ORGANIZACIONES-JUVENILES-E-INSTITUCIONES-PRIVADAS.xlsx</t>
        </is>
      </c>
      <c r="L196" s="51" t="inlineStr">
        <is>
          <t>CONFIRMADO</t>
        </is>
      </c>
      <c r="M196" s="30" t="n"/>
    </row>
    <row r="197" ht="15.75" customHeight="1" s="182">
      <c r="A197" s="42" t="inlineStr">
        <is>
          <t>Perú</t>
        </is>
      </c>
      <c r="B197" s="15" t="inlineStr">
        <is>
          <t>Organizaciones juveniles</t>
        </is>
      </c>
      <c r="C197" s="73" t="inlineStr">
        <is>
          <t>Otros: Organización de ámbito social</t>
        </is>
      </c>
      <c r="D197" s="73" t="inlineStr">
        <is>
          <t>JUVENTUD PACHACAMINA</t>
        </is>
      </c>
      <c r="E197" s="73" t="n"/>
      <c r="F197" s="73" t="inlineStr">
        <is>
          <t xml:space="preserve">Representante </t>
        </is>
      </c>
      <c r="G197" s="73" t="inlineStr">
        <is>
          <t>https://juventud.gob.pe/wp-content/uploads/2022/04/BASE-DE-DATOS-ORGANIZACIONES-JUVENILES-E-INSTITUCIONES-PRIVADAS.xlsx</t>
        </is>
      </c>
      <c r="H197" s="73" t="inlineStr">
        <is>
          <t>Soledad Quilca Castillon</t>
        </is>
      </c>
      <c r="I197" s="28" t="inlineStr">
        <is>
          <t>No disponible en fuente oficial</t>
        </is>
      </c>
      <c r="J197" s="183" t="inlineStr">
        <is>
          <t>juventudpachacamina@gmail.com</t>
        </is>
      </c>
      <c r="K197" s="73" t="inlineStr">
        <is>
          <t>https://juventud.gob.pe/wp-content/uploads/2022/04/BASE-DE-DATOS-ORGANIZACIONES-JUVENILES-E-INSTITUCIONES-PRIVADAS.xlsx</t>
        </is>
      </c>
      <c r="L197" s="51" t="inlineStr">
        <is>
          <t>CONFIRMADO</t>
        </is>
      </c>
      <c r="M197" s="30" t="n"/>
    </row>
    <row r="198" ht="15.75" customHeight="1" s="182">
      <c r="A198" s="42" t="inlineStr">
        <is>
          <t>Perú</t>
        </is>
      </c>
      <c r="B198" s="15" t="inlineStr">
        <is>
          <t>Organizaciones juveniles</t>
        </is>
      </c>
      <c r="C198" s="73" t="inlineStr">
        <is>
          <t>Organizaciones de voluntariado</t>
        </is>
      </c>
      <c r="D198" s="73" t="inlineStr">
        <is>
          <t>PERÚ POR LOS ODS</t>
        </is>
      </c>
      <c r="E198" s="73" t="n"/>
      <c r="F198" s="73" t="inlineStr">
        <is>
          <t xml:space="preserve">Representante </t>
        </is>
      </c>
      <c r="G198" s="73" t="inlineStr">
        <is>
          <t>https://juventud.gob.pe/wp-content/uploads/2022/04/BASE-DE-DATOS-ORGANIZACIONES-JUVENILES-E-INSTITUCIONES-PRIVADAS.xlsx</t>
        </is>
      </c>
      <c r="H198" s="73" t="inlineStr">
        <is>
          <t>José Giácomo André Núñez Torrealva</t>
        </is>
      </c>
      <c r="I198" s="28" t="inlineStr">
        <is>
          <t>No disponible en fuente oficial</t>
        </is>
      </c>
      <c r="J198" s="73" t="inlineStr">
        <is>
          <t>peruxods@gmail.com</t>
        </is>
      </c>
      <c r="K198" s="73" t="inlineStr">
        <is>
          <t>https://juventud.gob.pe/wp-content/uploads/2022/04/BASE-DE-DATOS-ORGANIZACIONES-JUVENILES-E-INSTITUCIONES-PRIVADAS.xlsx</t>
        </is>
      </c>
      <c r="L198" s="51" t="inlineStr">
        <is>
          <t>CONFIRMADO</t>
        </is>
      </c>
      <c r="M198" s="30" t="n"/>
    </row>
    <row r="199" ht="15.75" customHeight="1" s="182">
      <c r="A199" s="42" t="inlineStr">
        <is>
          <t>Perú</t>
        </is>
      </c>
      <c r="B199" s="15" t="inlineStr">
        <is>
          <t>Organizaciones juveniles</t>
        </is>
      </c>
      <c r="C199" s="73" t="inlineStr">
        <is>
          <t>Organización artístIca y/o cultural</t>
        </is>
      </c>
      <c r="D199" s="73" t="inlineStr">
        <is>
          <t>COLECTIVO DE ARTE SOCIAL PALENQUE</t>
        </is>
      </c>
      <c r="E199" s="73" t="n"/>
      <c r="F199" s="73" t="inlineStr">
        <is>
          <t xml:space="preserve">Representante </t>
        </is>
      </c>
      <c r="G199" s="73" t="inlineStr">
        <is>
          <t>https://juventud.gob.pe/wp-content/uploads/2022/04/BASE-DE-DATOS-ORGANIZACIONES-JUVENILES-E-INSTITUCIONES-PRIVADAS.xlsx</t>
        </is>
      </c>
      <c r="H199" s="73" t="inlineStr">
        <is>
          <t>Karla Paula Reyes Allpoc</t>
        </is>
      </c>
      <c r="I199" s="28" t="inlineStr">
        <is>
          <t>No disponible en fuente oficial</t>
        </is>
      </c>
      <c r="J199" s="73" t="inlineStr">
        <is>
          <t>perupalenque@gmail.com</t>
        </is>
      </c>
      <c r="K199" s="73" t="inlineStr">
        <is>
          <t>https://juventud.gob.pe/wp-content/uploads/2022/04/BASE-DE-DATOS-ORGANIZACIONES-JUVENILES-E-INSTITUCIONES-PRIVADAS.xlsx</t>
        </is>
      </c>
      <c r="L199" s="51" t="inlineStr">
        <is>
          <t>CONFIRMADO</t>
        </is>
      </c>
      <c r="M199" s="30" t="n"/>
    </row>
    <row r="200" ht="15.75" customHeight="1" s="182">
      <c r="A200" s="42" t="inlineStr">
        <is>
          <t>Perú</t>
        </is>
      </c>
      <c r="B200" s="15" t="inlineStr">
        <is>
          <t>Organizaciones juveniles</t>
        </is>
      </c>
      <c r="C200" s="73" t="inlineStr">
        <is>
          <t>Organizaciones territoriales</t>
        </is>
      </c>
      <c r="D200" s="73" t="inlineStr">
        <is>
          <t>FRENTE MANCHAY</t>
        </is>
      </c>
      <c r="E200" s="73" t="n"/>
      <c r="F200" s="73" t="inlineStr">
        <is>
          <t xml:space="preserve">Representante </t>
        </is>
      </c>
      <c r="G200" s="73" t="inlineStr">
        <is>
          <t>https://juventud.gob.pe/wp-content/uploads/2022/04/BASE-DE-DATOS-ORGANIZACIONES-JUVENILES-E-INSTITUCIONES-PRIVADAS.xlsx</t>
        </is>
      </c>
      <c r="H200" s="73" t="inlineStr">
        <is>
          <t>Rubén César Cahuana Calderón</t>
        </is>
      </c>
      <c r="I200" s="28" t="inlineStr">
        <is>
          <t>No disponible en fuente oficial</t>
        </is>
      </c>
      <c r="J200" s="73" t="inlineStr">
        <is>
          <t>frente.manchay@gmail.com</t>
        </is>
      </c>
      <c r="K200" s="73" t="inlineStr">
        <is>
          <t>https://juventud.gob.pe/wp-content/uploads/2022/04/BASE-DE-DATOS-ORGANIZACIONES-JUVENILES-E-INSTITUCIONES-PRIVADAS.xlsx</t>
        </is>
      </c>
      <c r="L200" s="51" t="inlineStr">
        <is>
          <t>CONFIRMADO</t>
        </is>
      </c>
      <c r="M200" s="30" t="n"/>
    </row>
    <row r="201" ht="15.75" customHeight="1" s="182">
      <c r="A201" s="42" t="inlineStr">
        <is>
          <t>Perú</t>
        </is>
      </c>
      <c r="B201" s="15" t="inlineStr">
        <is>
          <t>Organizaciones juveniles</t>
        </is>
      </c>
      <c r="C201" s="73" t="inlineStr">
        <is>
          <t>Organizaciones de voluntariado</t>
        </is>
      </c>
      <c r="D201" s="73" t="inlineStr">
        <is>
          <t>PLATAFORMA DE VOLUNTARIADO MARCA LIMA</t>
        </is>
      </c>
      <c r="E201" s="73" t="n"/>
      <c r="F201" s="73" t="inlineStr">
        <is>
          <t xml:space="preserve">Representante </t>
        </is>
      </c>
      <c r="G201" s="73" t="inlineStr">
        <is>
          <t>https://juventud.gob.pe/wp-content/uploads/2022/04/BASE-DE-DATOS-ORGANIZACIONES-JUVENILES-E-INSTITUCIONES-PRIVADAS.xlsx</t>
        </is>
      </c>
      <c r="H201" s="73" t="inlineStr">
        <is>
          <t>Anthony José Mucha Díaz</t>
        </is>
      </c>
      <c r="I201" s="28" t="inlineStr">
        <is>
          <t>No disponible en fuente oficial</t>
        </is>
      </c>
      <c r="J201" s="73" t="inlineStr">
        <is>
          <t>anthonymucha6@gmail.com</t>
        </is>
      </c>
      <c r="K201" s="73" t="inlineStr">
        <is>
          <t>https://juventud.gob.pe/wp-content/uploads/2022/04/BASE-DE-DATOS-ORGANIZACIONES-JUVENILES-E-INSTITUCIONES-PRIVADAS.xlsx</t>
        </is>
      </c>
      <c r="L201" s="51" t="inlineStr">
        <is>
          <t>CONFIRMADO</t>
        </is>
      </c>
      <c r="M201" s="30" t="n"/>
    </row>
    <row r="202" ht="15.75" customHeight="1" s="182">
      <c r="A202" s="42" t="inlineStr">
        <is>
          <t>Perú</t>
        </is>
      </c>
      <c r="B202" s="15" t="inlineStr">
        <is>
          <t>Organizaciones juveniles</t>
        </is>
      </c>
      <c r="C202" s="73" t="inlineStr">
        <is>
          <t>Organizaciones de estudiantes (escolar, universitario, tecnológico, artístico o pedagógico)</t>
        </is>
      </c>
      <c r="D202" s="73" t="inlineStr">
        <is>
          <t>HABLEMOS DE CAMBIO</t>
        </is>
      </c>
      <c r="E202" s="73" t="n"/>
      <c r="F202" s="73" t="inlineStr">
        <is>
          <t xml:space="preserve">Representante </t>
        </is>
      </c>
      <c r="G202" s="73" t="inlineStr">
        <is>
          <t>https://juventud.gob.pe/wp-content/uploads/2022/04/BASE-DE-DATOS-ORGANIZACIONES-JUVENILES-E-INSTITUCIONES-PRIVADAS.xlsx</t>
        </is>
      </c>
      <c r="H202" s="73" t="inlineStr">
        <is>
          <t>Diego Alonso Potenciano Rodriguez</t>
        </is>
      </c>
      <c r="I202" s="28" t="inlineStr">
        <is>
          <t>No disponible en fuente oficial</t>
        </is>
      </c>
      <c r="J202" s="73" t="inlineStr">
        <is>
          <t>hablemosdecambio@gmail.com</t>
        </is>
      </c>
      <c r="K202" s="73" t="inlineStr">
        <is>
          <t>https://juventud.gob.pe/wp-content/uploads/2022/04/BASE-DE-DATOS-ORGANIZACIONES-JUVENILES-E-INSTITUCIONES-PRIVADAS.xlsx</t>
        </is>
      </c>
      <c r="L202" s="51" t="inlineStr">
        <is>
          <t>CONFIRMADO</t>
        </is>
      </c>
      <c r="M202" s="30" t="n"/>
    </row>
    <row r="203" ht="15.75" customHeight="1" s="182">
      <c r="A203" s="42" t="inlineStr">
        <is>
          <t>Perú</t>
        </is>
      </c>
      <c r="B203" s="15" t="inlineStr">
        <is>
          <t>Organizaciones juveniles</t>
        </is>
      </c>
      <c r="C203" s="73" t="inlineStr">
        <is>
          <t>Organizaciones de voluntariado</t>
        </is>
      </c>
      <c r="D203" s="73" t="inlineStr">
        <is>
          <t>NUEVO CHORRILLOS</t>
        </is>
      </c>
      <c r="E203" s="73" t="n"/>
      <c r="F203" s="73" t="inlineStr">
        <is>
          <t xml:space="preserve">Representante </t>
        </is>
      </c>
      <c r="G203" s="73" t="inlineStr">
        <is>
          <t>https://juventud.gob.pe/wp-content/uploads/2022/04/BASE-DE-DATOS-ORGANIZACIONES-JUVENILES-E-INSTITUCIONES-PRIVADAS.xlsx</t>
        </is>
      </c>
      <c r="H203" s="73" t="inlineStr">
        <is>
          <t>Gerson Moises Chipana Gutierrez</t>
        </is>
      </c>
      <c r="I203" s="28" t="inlineStr">
        <is>
          <t>No disponible en fuente oficial</t>
        </is>
      </c>
      <c r="J203" s="73" t="inlineStr">
        <is>
          <t>nuevochorrillos@gmail.com</t>
        </is>
      </c>
      <c r="K203" s="73" t="inlineStr">
        <is>
          <t>https://juventud.gob.pe/wp-content/uploads/2022/04/BASE-DE-DATOS-ORGANIZACIONES-JUVENILES-E-INSTITUCIONES-PRIVADAS.xlsx</t>
        </is>
      </c>
      <c r="L203" s="51" t="inlineStr">
        <is>
          <t>CONFIRMADO</t>
        </is>
      </c>
      <c r="M203" s="30" t="n"/>
    </row>
    <row r="204" ht="15.75" customHeight="1" s="182">
      <c r="A204" s="42" t="inlineStr">
        <is>
          <t>Perú</t>
        </is>
      </c>
      <c r="B204" s="15" t="inlineStr">
        <is>
          <t>Organizaciones juveniles</t>
        </is>
      </c>
      <c r="C204" s="73" t="inlineStr">
        <is>
          <t>Organizaciones de estudiantes (escolar, universitario, tecnológico, artístico o pedagógico)</t>
        </is>
      </c>
      <c r="D204" s="73" t="inlineStr">
        <is>
          <t>IRRIDIANDO SAN MARCOS</t>
        </is>
      </c>
      <c r="E204" s="73" t="n"/>
      <c r="F204" s="73" t="inlineStr">
        <is>
          <t xml:space="preserve">Representante </t>
        </is>
      </c>
      <c r="G204" s="73" t="inlineStr">
        <is>
          <t>https://juventud.gob.pe/wp-content/uploads/2022/04/BASE-DE-DATOS-ORGANIZACIONES-JUVENILES-E-INSTITUCIONES-PRIVADAS.xlsx</t>
        </is>
      </c>
      <c r="H204" s="73" t="inlineStr">
        <is>
          <t>Cristian Pool Huatuco Miranda</t>
        </is>
      </c>
      <c r="I204" s="28" t="inlineStr">
        <is>
          <t>No disponible en fuente oficial</t>
        </is>
      </c>
      <c r="J204" s="73" t="inlineStr">
        <is>
          <t>irradiando.sm@gmail.com</t>
        </is>
      </c>
      <c r="K204" s="73" t="inlineStr">
        <is>
          <t>https://juventud.gob.pe/wp-content/uploads/2022/04/BASE-DE-DATOS-ORGANIZACIONES-JUVENILES-E-INSTITUCIONES-PRIVADAS.xlsx</t>
        </is>
      </c>
      <c r="L204" s="51" t="inlineStr">
        <is>
          <t>CONFIRMADO</t>
        </is>
      </c>
      <c r="M204" s="30" t="n"/>
    </row>
    <row r="205" ht="15.75" customHeight="1" s="182">
      <c r="A205" s="42" t="inlineStr">
        <is>
          <t>Perú</t>
        </is>
      </c>
      <c r="B205" s="15" t="inlineStr">
        <is>
          <t>Organizaciones juveniles</t>
        </is>
      </c>
      <c r="C205" s="73" t="inlineStr">
        <is>
          <t>Organizaciones de voluntariado</t>
        </is>
      </c>
      <c r="D205" s="73" t="inlineStr">
        <is>
          <t>ACCÍONATE SAN MARTÍN</t>
        </is>
      </c>
      <c r="E205" s="73" t="n"/>
      <c r="F205" s="73" t="inlineStr">
        <is>
          <t xml:space="preserve">Representante </t>
        </is>
      </c>
      <c r="G205" s="73" t="inlineStr">
        <is>
          <t>https://juventud.gob.pe/wp-content/uploads/2022/04/BASE-DE-DATOS-ORGANIZACIONES-JUVENILES-E-INSTITUCIONES-PRIVADAS.xlsx</t>
        </is>
      </c>
      <c r="H205" s="73" t="inlineStr">
        <is>
          <t>Gamaliel Orlando Montoya Enciso</t>
        </is>
      </c>
      <c r="I205" s="28" t="inlineStr">
        <is>
          <t>No disponible en fuente oficial</t>
        </is>
      </c>
      <c r="J205" s="73" t="inlineStr">
        <is>
          <t>gamamontoya93@gmail.com</t>
        </is>
      </c>
      <c r="K205" s="73" t="inlineStr">
        <is>
          <t>https://juventud.gob.pe/wp-content/uploads/2022/04/BASE-DE-DATOS-ORGANIZACIONES-JUVENILES-E-INSTITUCIONES-PRIVADAS.xlsx</t>
        </is>
      </c>
      <c r="L205" s="51" t="inlineStr">
        <is>
          <t>CONFIRMADO</t>
        </is>
      </c>
      <c r="M205" s="30" t="n"/>
    </row>
    <row r="206" ht="15.75" customHeight="1" s="182">
      <c r="A206" s="42" t="inlineStr">
        <is>
          <t>Perú</t>
        </is>
      </c>
      <c r="B206" s="15" t="inlineStr">
        <is>
          <t>Organizaciones juveniles</t>
        </is>
      </c>
      <c r="C206" s="73" t="inlineStr">
        <is>
          <t>Otros: Organizaciones juveniles ambientales</t>
        </is>
      </c>
      <c r="D206" s="73" t="inlineStr">
        <is>
          <t>COLECTIVO JÓVENES PERUANOS FRENTE AL CAMBIO CLIMÁTICO</t>
        </is>
      </c>
      <c r="E206" s="73" t="n"/>
      <c r="F206" s="73" t="inlineStr">
        <is>
          <t xml:space="preserve">Representante </t>
        </is>
      </c>
      <c r="G206" s="73" t="inlineStr">
        <is>
          <t>https://juventud.gob.pe/wp-content/uploads/2022/04/BASE-DE-DATOS-ORGANIZACIONES-JUVENILES-E-INSTITUCIONES-PRIVADAS.xlsx</t>
        </is>
      </c>
      <c r="H206" s="73" t="inlineStr">
        <is>
          <t>Kelly Lizeth Guevara Estelo</t>
        </is>
      </c>
      <c r="I206" s="28" t="inlineStr">
        <is>
          <t>No disponible en fuente oficial</t>
        </is>
      </c>
      <c r="J206" s="73" t="inlineStr">
        <is>
          <t>jpcc2021@gmail.com</t>
        </is>
      </c>
      <c r="K206" s="73" t="inlineStr">
        <is>
          <t>https://juventud.gob.pe/wp-content/uploads/2022/04/BASE-DE-DATOS-ORGANIZACIONES-JUVENILES-E-INSTITUCIONES-PRIVADAS.xlsx</t>
        </is>
      </c>
      <c r="L206" s="51" t="inlineStr">
        <is>
          <t>CONFIRMADO</t>
        </is>
      </c>
      <c r="M206" s="30" t="n"/>
    </row>
    <row r="207" ht="15.75" customHeight="1" s="182">
      <c r="A207" s="42" t="inlineStr">
        <is>
          <t>Perú</t>
        </is>
      </c>
      <c r="B207" s="15" t="inlineStr">
        <is>
          <t>Organizaciones juveniles</t>
        </is>
      </c>
      <c r="C207" s="73" t="inlineStr">
        <is>
          <t>Organizaciones de voluntariado</t>
        </is>
      </c>
      <c r="D207" s="73" t="inlineStr">
        <is>
          <t>AINBO "LAZOS DE LIBERTAD"</t>
        </is>
      </c>
      <c r="E207" s="73" t="n"/>
      <c r="F207" s="73" t="inlineStr">
        <is>
          <t xml:space="preserve">Representante </t>
        </is>
      </c>
      <c r="G207" s="73" t="inlineStr">
        <is>
          <t>https://juventud.gob.pe/wp-content/uploads/2022/04/BASE-DE-DATOS-ORGANIZACIONES-JUVENILES-E-INSTITUCIONES-PRIVADAS.xlsx</t>
        </is>
      </c>
      <c r="H207" s="73" t="inlineStr">
        <is>
          <t>Allison Rita Reynel Joyja</t>
        </is>
      </c>
      <c r="I207" s="28" t="inlineStr">
        <is>
          <t>No disponible en fuente oficial</t>
        </is>
      </c>
      <c r="J207" s="73" t="inlineStr">
        <is>
          <t>ainbo.org.juv@gmail.com</t>
        </is>
      </c>
      <c r="K207" s="73" t="inlineStr">
        <is>
          <t>https://juventud.gob.pe/wp-content/uploads/2022/04/BASE-DE-DATOS-ORGANIZACIONES-JUVENILES-E-INSTITUCIONES-PRIVADAS.xlsx</t>
        </is>
      </c>
      <c r="L207" s="51" t="inlineStr">
        <is>
          <t>CONFIRMADO</t>
        </is>
      </c>
      <c r="M207" s="30" t="n"/>
    </row>
    <row r="208" ht="15.75" customHeight="1" s="182">
      <c r="A208" s="42" t="inlineStr">
        <is>
          <t>Perú</t>
        </is>
      </c>
      <c r="B208" s="15" t="inlineStr">
        <is>
          <t>Organizaciones juveniles</t>
        </is>
      </c>
      <c r="C208" s="73" t="inlineStr">
        <is>
          <t>Organizaciones de voluntariado</t>
        </is>
      </c>
      <c r="D208" s="73" t="inlineStr">
        <is>
          <t>LIGA AMBIENTAL</t>
        </is>
      </c>
      <c r="E208" s="73" t="n"/>
      <c r="F208" s="73" t="inlineStr">
        <is>
          <t xml:space="preserve">Representante </t>
        </is>
      </c>
      <c r="G208" s="73" t="inlineStr">
        <is>
          <t>https://juventud.gob.pe/wp-content/uploads/2022/04/BASE-DE-DATOS-ORGANIZACIONES-JUVENILES-E-INSTITUCIONES-PRIVADAS.xlsx</t>
        </is>
      </c>
      <c r="H208" s="73" t="inlineStr">
        <is>
          <t>Carla Sthefany Oré Almenara</t>
        </is>
      </c>
      <c r="I208" s="28" t="inlineStr">
        <is>
          <t>No disponible en fuente oficial</t>
        </is>
      </c>
      <c r="J208" s="73" t="inlineStr">
        <is>
          <t>ligaambientalperu@gmail.com</t>
        </is>
      </c>
      <c r="K208" s="73" t="inlineStr">
        <is>
          <t>https://juventud.gob.pe/wp-content/uploads/2022/04/BASE-DE-DATOS-ORGANIZACIONES-JUVENILES-E-INSTITUCIONES-PRIVADAS.xlsx</t>
        </is>
      </c>
      <c r="L208" s="51" t="inlineStr">
        <is>
          <t>CONFIRMADO</t>
        </is>
      </c>
      <c r="M208" s="30" t="n"/>
    </row>
    <row r="209" ht="15.75" customHeight="1" s="182">
      <c r="A209" s="42" t="inlineStr">
        <is>
          <t>Perú</t>
        </is>
      </c>
      <c r="B209" s="15" t="inlineStr">
        <is>
          <t>Organizaciones juveniles</t>
        </is>
      </c>
      <c r="C209" s="73" t="inlineStr">
        <is>
          <t>Organizaciones de voluntariado</t>
        </is>
      </c>
      <c r="D209" s="73" t="inlineStr">
        <is>
          <t>ASOCIACIÓN KAPRICHOS PERRUNOS SOS</t>
        </is>
      </c>
      <c r="E209" s="73" t="n"/>
      <c r="F209" s="73" t="inlineStr">
        <is>
          <t xml:space="preserve">Representante </t>
        </is>
      </c>
      <c r="G209" s="73" t="inlineStr">
        <is>
          <t>https://juventud.gob.pe/wp-content/uploads/2022/04/BASE-DE-DATOS-ORGANIZACIONES-JUVENILES-E-INSTITUCIONES-PRIVADAS.xlsx</t>
        </is>
      </c>
      <c r="H209" s="73" t="inlineStr">
        <is>
          <t>Itzé Nery Narmiento Solís</t>
        </is>
      </c>
      <c r="I209" s="28" t="inlineStr">
        <is>
          <t>No disponible en fuente oficial</t>
        </is>
      </c>
      <c r="J209" s="73" t="inlineStr">
        <is>
          <t>administracion@asociacionkp.org</t>
        </is>
      </c>
      <c r="K209" s="73" t="inlineStr">
        <is>
          <t>https://juventud.gob.pe/wp-content/uploads/2022/04/BASE-DE-DATOS-ORGANIZACIONES-JUVENILES-E-INSTITUCIONES-PRIVADAS.xlsx</t>
        </is>
      </c>
      <c r="L209" s="51" t="inlineStr">
        <is>
          <t>CONFIRMADO</t>
        </is>
      </c>
      <c r="M209" s="30" t="n"/>
    </row>
    <row r="210" ht="15.75" customHeight="1" s="182">
      <c r="A210" s="42" t="inlineStr">
        <is>
          <t>Perú</t>
        </is>
      </c>
      <c r="B210" s="15" t="inlineStr">
        <is>
          <t>Organizaciones juveniles</t>
        </is>
      </c>
      <c r="C210" s="73" t="inlineStr">
        <is>
          <t>Otros: Organización socio - ambiental</t>
        </is>
      </c>
      <c r="D210" s="73" t="inlineStr">
        <is>
          <t>HAZ TU MUNDO VERDE</t>
        </is>
      </c>
      <c r="E210" s="73" t="n"/>
      <c r="F210" s="73" t="inlineStr">
        <is>
          <t xml:space="preserve">Representante </t>
        </is>
      </c>
      <c r="G210" s="73" t="inlineStr">
        <is>
          <t>https://juventud.gob.pe/wp-content/uploads/2022/04/BASE-DE-DATOS-ORGANIZACIONES-JUVENILES-E-INSTITUCIONES-PRIVADAS.xlsx</t>
        </is>
      </c>
      <c r="H210" s="73" t="inlineStr">
        <is>
          <t>Ysabel Alelí Urquizo Rodríguez</t>
        </is>
      </c>
      <c r="I210" s="28" t="inlineStr">
        <is>
          <t>No disponible en fuente oficial</t>
        </is>
      </c>
      <c r="J210" s="73" t="inlineStr">
        <is>
          <t>haztumundoverde.peru@gmail.com</t>
        </is>
      </c>
      <c r="K210" s="73" t="inlineStr">
        <is>
          <t>https://juventud.gob.pe/wp-content/uploads/2022/04/BASE-DE-DATOS-ORGANIZACIONES-JUVENILES-E-INSTITUCIONES-PRIVADAS.xlsx</t>
        </is>
      </c>
      <c r="L210" s="51" t="inlineStr">
        <is>
          <t>CONFIRMADO</t>
        </is>
      </c>
      <c r="M210" s="30" t="n"/>
    </row>
    <row r="211" ht="15.75" customHeight="1" s="182">
      <c r="A211" s="42" t="inlineStr">
        <is>
          <t>Perú</t>
        </is>
      </c>
      <c r="B211" s="15" t="inlineStr">
        <is>
          <t>Organizaciones juveniles</t>
        </is>
      </c>
      <c r="C211" s="73" t="inlineStr">
        <is>
          <t>Organizaciones de estudiantes (escolar, universitario, tecnológico, artístico o pedagógico)</t>
        </is>
      </c>
      <c r="D211" s="73" t="inlineStr">
        <is>
          <t>MUNAY – EQUIPO INTERDISCIPLINARIO PARA EL DESARROLLO SOSTENIBLE</t>
        </is>
      </c>
      <c r="E211" s="73" t="n"/>
      <c r="F211" s="73" t="inlineStr">
        <is>
          <t xml:space="preserve">Representante </t>
        </is>
      </c>
      <c r="G211" s="73" t="inlineStr">
        <is>
          <t>https://juventud.gob.pe/wp-content/uploads/2022/04/BASE-DE-DATOS-ORGANIZACIONES-JUVENILES-E-INSTITUCIONES-PRIVADAS.xlsx</t>
        </is>
      </c>
      <c r="H211" s="73" t="inlineStr">
        <is>
          <t>María Pía Colina Flores</t>
        </is>
      </c>
      <c r="I211" s="28" t="inlineStr">
        <is>
          <t>No disponible en fuente oficial</t>
        </is>
      </c>
      <c r="J211" s="73" t="inlineStr">
        <is>
          <t>biomunay@gmail.com</t>
        </is>
      </c>
      <c r="K211" s="73" t="inlineStr">
        <is>
          <t>https://juventud.gob.pe/wp-content/uploads/2022/04/BASE-DE-DATOS-ORGANIZACIONES-JUVENILES-E-INSTITUCIONES-PRIVADAS.xlsx</t>
        </is>
      </c>
      <c r="L211" s="51" t="inlineStr">
        <is>
          <t>CONFIRMADO</t>
        </is>
      </c>
      <c r="M211" s="30" t="n"/>
    </row>
    <row r="212" ht="15.75" customHeight="1" s="182">
      <c r="A212" s="42" t="inlineStr">
        <is>
          <t>Perú</t>
        </is>
      </c>
      <c r="B212" s="15" t="inlineStr">
        <is>
          <t>Organizaciones juveniles</t>
        </is>
      </c>
      <c r="C212" s="73" t="inlineStr">
        <is>
          <t>Otros: Organización de ex participantes nacionales y regionales del programa Parlamento Joven del Congreso de la República.</t>
        </is>
      </c>
      <c r="D212" s="73" t="inlineStr">
        <is>
          <t>RED NACIONAL DE JÓVENES PARLAMENTARIOS</t>
        </is>
      </c>
      <c r="E212" s="73" t="n"/>
      <c r="F212" s="73" t="inlineStr">
        <is>
          <t xml:space="preserve">Representante </t>
        </is>
      </c>
      <c r="G212" s="73" t="inlineStr">
        <is>
          <t>https://juventud.gob.pe/wp-content/uploads/2022/04/BASE-DE-DATOS-ORGANIZACIONES-JUVENILES-E-INSTITUCIONES-PRIVADAS.xlsx</t>
        </is>
      </c>
      <c r="H212" s="73" t="inlineStr">
        <is>
          <t>Adhely Bellido Castro</t>
        </is>
      </c>
      <c r="I212" s="28" t="inlineStr">
        <is>
          <t>No disponible en fuente oficial</t>
        </is>
      </c>
      <c r="J212" s="73" t="inlineStr">
        <is>
          <t>rednacionalpj@gmail.com</t>
        </is>
      </c>
      <c r="K212" s="73" t="inlineStr">
        <is>
          <t>https://juventud.gob.pe/wp-content/uploads/2022/04/BASE-DE-DATOS-ORGANIZACIONES-JUVENILES-E-INSTITUCIONES-PRIVADAS.xlsx</t>
        </is>
      </c>
      <c r="L212" s="51" t="inlineStr">
        <is>
          <t>CONFIRMADO</t>
        </is>
      </c>
      <c r="M212" s="30" t="n"/>
    </row>
    <row r="213" ht="15.75" customHeight="1" s="182">
      <c r="A213" s="42" t="inlineStr">
        <is>
          <t>Perú</t>
        </is>
      </c>
      <c r="B213" s="15" t="inlineStr">
        <is>
          <t>Organizaciones juveniles</t>
        </is>
      </c>
      <c r="C213" s="73" t="inlineStr">
        <is>
          <t>Organizaciones de estudiantes (escolar, universitario, tecnológico, artístico o pedagógico)</t>
        </is>
      </c>
      <c r="D213" s="73" t="inlineStr">
        <is>
          <t>GRUPO DE INVESTIGACIÓN EN HONGOS BENÉFICOS (GINHBE)</t>
        </is>
      </c>
      <c r="E213" s="73" t="n"/>
      <c r="F213" s="73" t="inlineStr">
        <is>
          <t xml:space="preserve">Representante </t>
        </is>
      </c>
      <c r="G213" s="73" t="inlineStr">
        <is>
          <t>https://juventud.gob.pe/wp-content/uploads/2022/04/BASE-DE-DATOS-ORGANIZACIONES-JUVENILES-E-INSTITUCIONES-PRIVADAS.xlsx</t>
        </is>
      </c>
      <c r="H213" s="73" t="inlineStr">
        <is>
          <t>Ronald Axel Heredia Vásquez</t>
        </is>
      </c>
      <c r="I213" s="28" t="inlineStr">
        <is>
          <t>No disponible en fuente oficial</t>
        </is>
      </c>
      <c r="J213" s="73" t="inlineStr">
        <is>
          <t>20110936@lamolina.edu.pe</t>
        </is>
      </c>
      <c r="K213" s="73" t="inlineStr">
        <is>
          <t>https://juventud.gob.pe/wp-content/uploads/2022/04/BASE-DE-DATOS-ORGANIZACIONES-JUVENILES-E-INSTITUCIONES-PRIVADAS.xlsx</t>
        </is>
      </c>
      <c r="L213" s="51" t="inlineStr">
        <is>
          <t>CONFIRMADO</t>
        </is>
      </c>
      <c r="M213" s="30" t="n"/>
    </row>
    <row r="214" ht="15.75" customHeight="1" s="182">
      <c r="A214" s="42" t="inlineStr">
        <is>
          <t>Perú</t>
        </is>
      </c>
      <c r="B214" s="15" t="inlineStr">
        <is>
          <t>Organizaciones juveniles</t>
        </is>
      </c>
      <c r="C214" s="73" t="inlineStr">
        <is>
          <t>Otros: Asociación constituida para la defensa de los jóvenes de Punta
Negra</t>
        </is>
      </c>
      <c r="D214" s="73" t="inlineStr">
        <is>
          <t>ASOCIACIÓN DE LÍDERES JUVENILES - PUNTA NEGRA
(INACTIVA)
27/05/2020</t>
        </is>
      </c>
      <c r="E214" s="73" t="n"/>
      <c r="F214" s="73" t="inlineStr">
        <is>
          <t xml:space="preserve">Representante </t>
        </is>
      </c>
      <c r="G214" s="73" t="inlineStr">
        <is>
          <t>https://juventud.gob.pe/wp-content/uploads/2022/04/BASE-DE-DATOS-ORGANIZACIONES-JUVENILES-E-INSTITUCIONES-PRIVADAS.xlsx</t>
        </is>
      </c>
      <c r="H214" s="73" t="inlineStr">
        <is>
          <t>José Manuel Luna Gonzales</t>
        </is>
      </c>
      <c r="I214" s="28" t="inlineStr">
        <is>
          <t>No disponible en fuente oficial</t>
        </is>
      </c>
      <c r="J214" s="183" t="inlineStr">
        <is>
          <t>a.liderespuntanegra@gmail.com</t>
        </is>
      </c>
      <c r="K214" s="73" t="inlineStr">
        <is>
          <t>https://juventud.gob.pe/wp-content/uploads/2022/04/BASE-DE-DATOS-ORGANIZACIONES-JUVENILES-E-INSTITUCIONES-PRIVADAS.xlsx</t>
        </is>
      </c>
      <c r="L214" s="188" t="inlineStr">
        <is>
          <t>VERIFICAR</t>
        </is>
      </c>
      <c r="M214" s="184" t="inlineStr">
        <is>
          <t>Auditoría 08-oct-2026: Email corregido (coma→punto). ORGANIZACIÓN INACTIVA desde 27/05/2020: no invitar salvo confirmación.</t>
        </is>
      </c>
    </row>
    <row r="215" ht="15.75" customHeight="1" s="182">
      <c r="A215" s="42" t="inlineStr">
        <is>
          <t>Perú</t>
        </is>
      </c>
      <c r="B215" s="15" t="inlineStr">
        <is>
          <t>Organizaciones juveniles</t>
        </is>
      </c>
      <c r="C215" s="73" t="inlineStr">
        <is>
          <t>Organizaciones de estudiantes (escolar, universitario, tecnológico, artístico o pedagógico)</t>
        </is>
      </c>
      <c r="D215" s="73" t="inlineStr">
        <is>
          <t>PROGRAMA INICIAL DE RESPONSABILIDAD FORESTAL MOLINERA</t>
        </is>
      </c>
      <c r="E215" s="73" t="n"/>
      <c r="F215" s="73" t="inlineStr">
        <is>
          <t xml:space="preserve">Representante </t>
        </is>
      </c>
      <c r="G215" s="73" t="inlineStr">
        <is>
          <t>https://juventud.gob.pe/wp-content/uploads/2022/04/BASE-DE-DATOS-ORGANIZACIONES-JUVENILES-E-INSTITUCIONES-PRIVADAS.xlsx</t>
        </is>
      </c>
      <c r="H215" s="73" t="inlineStr">
        <is>
          <t>Fabiola Yuliana Laura Añasco</t>
        </is>
      </c>
      <c r="I215" s="28" t="inlineStr">
        <is>
          <t>No disponible en fuente oficial</t>
        </is>
      </c>
      <c r="J215" s="73" t="inlineStr">
        <is>
          <t>aura.fyla@gmail.com</t>
        </is>
      </c>
      <c r="K215" s="73" t="inlineStr">
        <is>
          <t>https://juventud.gob.pe/wp-content/uploads/2022/04/BASE-DE-DATOS-ORGANIZACIONES-JUVENILES-E-INSTITUCIONES-PRIVADAS.xlsx</t>
        </is>
      </c>
      <c r="L215" s="51" t="inlineStr">
        <is>
          <t>CONFIRMADO</t>
        </is>
      </c>
      <c r="M215" s="30" t="n"/>
    </row>
    <row r="216" ht="15.75" customHeight="1" s="182">
      <c r="A216" s="42" t="inlineStr">
        <is>
          <t>Perú</t>
        </is>
      </c>
      <c r="B216" s="15" t="inlineStr">
        <is>
          <t>Organizaciones juveniles</t>
        </is>
      </c>
      <c r="C216" s="73" t="inlineStr">
        <is>
          <t>Organizaciones de emprendedores</t>
        </is>
      </c>
      <c r="D216" s="73" t="inlineStr">
        <is>
          <t>BIG WORKERS</t>
        </is>
      </c>
      <c r="E216" s="73" t="n"/>
      <c r="F216" s="73" t="inlineStr">
        <is>
          <t xml:space="preserve">Representante </t>
        </is>
      </c>
      <c r="G216" s="73" t="inlineStr">
        <is>
          <t>https://juventud.gob.pe/wp-content/uploads/2022/04/BASE-DE-DATOS-ORGANIZACIONES-JUVENILES-E-INSTITUCIONES-PRIVADAS.xlsx</t>
        </is>
      </c>
      <c r="H216" s="73" t="inlineStr">
        <is>
          <t>Bryant Tapia Muro</t>
        </is>
      </c>
      <c r="I216" s="28" t="inlineStr">
        <is>
          <t>No disponible en fuente oficial</t>
        </is>
      </c>
      <c r="J216" s="73" t="inlineStr">
        <is>
          <t>Big.workers.org@gmail.com</t>
        </is>
      </c>
      <c r="K216" s="73" t="inlineStr">
        <is>
          <t>https://juventud.gob.pe/wp-content/uploads/2022/04/BASE-DE-DATOS-ORGANIZACIONES-JUVENILES-E-INSTITUCIONES-PRIVADAS.xlsx</t>
        </is>
      </c>
      <c r="L216" s="51" t="inlineStr">
        <is>
          <t>CONFIRMADO</t>
        </is>
      </c>
      <c r="M216" s="30" t="n"/>
    </row>
    <row r="217" ht="15.75" customHeight="1" s="182">
      <c r="A217" s="42" t="inlineStr">
        <is>
          <t>Perú</t>
        </is>
      </c>
      <c r="B217" s="15" t="inlineStr">
        <is>
          <t>Organizaciones juveniles</t>
        </is>
      </c>
      <c r="C217" s="73" t="inlineStr">
        <is>
          <t>Organizaciones de voluntariado</t>
        </is>
      </c>
      <c r="D217" s="73" t="inlineStr">
        <is>
          <t>POR LO VERDE</t>
        </is>
      </c>
      <c r="E217" s="73" t="n"/>
      <c r="F217" s="73" t="inlineStr">
        <is>
          <t xml:space="preserve">Representante </t>
        </is>
      </c>
      <c r="G217" s="73" t="inlineStr">
        <is>
          <t>https://juventud.gob.pe/wp-content/uploads/2022/04/BASE-DE-DATOS-ORGANIZACIONES-JUVENILES-E-INSTITUCIONES-PRIVADAS.xlsx</t>
        </is>
      </c>
      <c r="H217" s="73" t="inlineStr">
        <is>
          <t>Geraldine Alina Chirinos Fernández</t>
        </is>
      </c>
      <c r="I217" s="28" t="inlineStr">
        <is>
          <t>No disponible en fuente oficial</t>
        </is>
      </c>
      <c r="J217" s="73" t="inlineStr">
        <is>
          <t>geraldine_alina_8@hotmail.com</t>
        </is>
      </c>
      <c r="K217" s="73" t="inlineStr">
        <is>
          <t>https://juventud.gob.pe/wp-content/uploads/2022/04/BASE-DE-DATOS-ORGANIZACIONES-JUVENILES-E-INSTITUCIONES-PRIVADAS.xlsx</t>
        </is>
      </c>
      <c r="L217" s="51" t="inlineStr">
        <is>
          <t>CONFIRMADO</t>
        </is>
      </c>
      <c r="M217" s="30" t="n"/>
    </row>
    <row r="218" ht="15.75" customHeight="1" s="182">
      <c r="A218" s="42" t="inlineStr">
        <is>
          <t>Perú</t>
        </is>
      </c>
      <c r="B218" s="15" t="inlineStr">
        <is>
          <t>Organizaciones juveniles</t>
        </is>
      </c>
      <c r="C218" s="73" t="inlineStr">
        <is>
          <t>Organización artístIca y/o cultural</t>
        </is>
      </c>
      <c r="D218" s="73" t="inlineStr">
        <is>
          <t>LATINCINE - COMUNICACIÓN AUDIOVISUAL</t>
        </is>
      </c>
      <c r="E218" s="73" t="n"/>
      <c r="F218" s="73" t="inlineStr">
        <is>
          <t xml:space="preserve">Representante </t>
        </is>
      </c>
      <c r="G218" s="73" t="inlineStr">
        <is>
          <t>https://juventud.gob.pe/wp-content/uploads/2022/04/BASE-DE-DATOS-ORGANIZACIONES-JUVENILES-E-INSTITUCIONES-PRIVADAS.xlsx</t>
        </is>
      </c>
      <c r="H218" s="73" t="inlineStr">
        <is>
          <t>JOSELYN HERRERA GARCÍA,</t>
        </is>
      </c>
      <c r="I218" s="28" t="inlineStr">
        <is>
          <t>No disponible en fuente oficial</t>
        </is>
      </c>
      <c r="J218" s="73" t="inlineStr">
        <is>
          <t>microcine.latincine@gmail.com</t>
        </is>
      </c>
      <c r="K218" s="73" t="inlineStr">
        <is>
          <t>https://juventud.gob.pe/wp-content/uploads/2022/04/BASE-DE-DATOS-ORGANIZACIONES-JUVENILES-E-INSTITUCIONES-PRIVADAS.xlsx</t>
        </is>
      </c>
      <c r="L218" s="51" t="inlineStr">
        <is>
          <t>CONFIRMADO</t>
        </is>
      </c>
      <c r="M218" s="30" t="n"/>
    </row>
    <row r="219" ht="15.75" customHeight="1" s="182">
      <c r="A219" s="42" t="inlineStr">
        <is>
          <t>Perú</t>
        </is>
      </c>
      <c r="B219" s="15" t="inlineStr">
        <is>
          <t>Organizaciones juveniles</t>
        </is>
      </c>
      <c r="C219" s="73" t="inlineStr">
        <is>
          <t>Organizaciones de voluntariado</t>
        </is>
      </c>
      <c r="D219" s="73" t="inlineStr">
        <is>
          <t>VOLUNTARIOS EN ACCIÓN PERÚ (VEAP)</t>
        </is>
      </c>
      <c r="E219" s="73" t="n"/>
      <c r="F219" s="73" t="inlineStr">
        <is>
          <t xml:space="preserve">Representante </t>
        </is>
      </c>
      <c r="G219" s="73" t="inlineStr">
        <is>
          <t>https://juventud.gob.pe/wp-content/uploads/2022/04/BASE-DE-DATOS-ORGANIZACIONES-JUVENILES-E-INSTITUCIONES-PRIVADAS.xlsx</t>
        </is>
      </c>
      <c r="H219" s="73" t="inlineStr">
        <is>
          <t>Lourdes Pamela Trujillo Cauti</t>
        </is>
      </c>
      <c r="I219" s="28" t="inlineStr">
        <is>
          <t>No disponible en fuente oficial</t>
        </is>
      </c>
      <c r="J219" s="73" t="inlineStr">
        <is>
          <t>gportuguez@veap.org.pe</t>
        </is>
      </c>
      <c r="K219" s="73" t="inlineStr">
        <is>
          <t>https://juventud.gob.pe/wp-content/uploads/2022/04/BASE-DE-DATOS-ORGANIZACIONES-JUVENILES-E-INSTITUCIONES-PRIVADAS.xlsx</t>
        </is>
      </c>
      <c r="L219" s="51" t="inlineStr">
        <is>
          <t>CONFIRMADO</t>
        </is>
      </c>
      <c r="M219" s="30" t="n"/>
    </row>
    <row r="220" ht="15.75" customHeight="1" s="182">
      <c r="A220" s="42" t="inlineStr">
        <is>
          <t>Perú</t>
        </is>
      </c>
      <c r="B220" s="15" t="inlineStr">
        <is>
          <t>Organizaciones juveniles</t>
        </is>
      </c>
      <c r="C220" s="73" t="inlineStr">
        <is>
          <t>Organizaciones de estudiantes (escolar, universitario, tecnológico, artístico o pedagógico)</t>
        </is>
      </c>
      <c r="D220" s="73" t="inlineStr">
        <is>
          <t>SERENDIPITY: MENTORSHIP IN SCIENCE</t>
        </is>
      </c>
      <c r="E220" s="73" t="n"/>
      <c r="F220" s="73" t="inlineStr">
        <is>
          <t xml:space="preserve">Representante </t>
        </is>
      </c>
      <c r="G220" s="73" t="inlineStr">
        <is>
          <t>https://juventud.gob.pe/wp-content/uploads/2022/04/BASE-DE-DATOS-ORGANIZACIONES-JUVENILES-E-INSTITUCIONES-PRIVADAS.xlsx</t>
        </is>
      </c>
      <c r="H220" s="73" t="inlineStr">
        <is>
          <t>Renzo Gutiérrez Loli</t>
        </is>
      </c>
      <c r="I220" s="28" t="inlineStr">
        <is>
          <t>No disponible en fuente oficial</t>
        </is>
      </c>
      <c r="J220" s="73" t="inlineStr">
        <is>
          <t>serendipity.mentorship@gmail.com</t>
        </is>
      </c>
      <c r="K220" s="73" t="inlineStr">
        <is>
          <t>https://juventud.gob.pe/wp-content/uploads/2022/04/BASE-DE-DATOS-ORGANIZACIONES-JUVENILES-E-INSTITUCIONES-PRIVADAS.xlsx</t>
        </is>
      </c>
      <c r="L220" s="51" t="inlineStr">
        <is>
          <t>CONFIRMADO</t>
        </is>
      </c>
      <c r="M220" s="30" t="n"/>
    </row>
    <row r="221" ht="15.75" customHeight="1" s="182">
      <c r="A221" s="42" t="inlineStr">
        <is>
          <t>Perú</t>
        </is>
      </c>
      <c r="B221" s="15" t="inlineStr">
        <is>
          <t>Organizaciones juveniles</t>
        </is>
      </c>
      <c r="C221" s="73" t="inlineStr">
        <is>
          <t>Otros: Organización Social-Educativa</t>
        </is>
      </c>
      <c r="D221" s="73" t="inlineStr">
        <is>
          <t>CENTRO CULTURAL "LA CHISPA"</t>
        </is>
      </c>
      <c r="E221" s="73" t="n"/>
      <c r="F221" s="73" t="inlineStr">
        <is>
          <t xml:space="preserve">Representante </t>
        </is>
      </c>
      <c r="G221" s="73" t="inlineStr">
        <is>
          <t>https://juventud.gob.pe/wp-content/uploads/2022/04/BASE-DE-DATOS-ORGANIZACIONES-JUVENILES-E-INSTITUCIONES-PRIVADAS.xlsx</t>
        </is>
      </c>
      <c r="H221" s="73" t="inlineStr">
        <is>
          <t>Oscar Ted Barrios Cayhualla</t>
        </is>
      </c>
      <c r="I221" s="28" t="inlineStr">
        <is>
          <t>No disponible en fuente oficial</t>
        </is>
      </c>
      <c r="J221" s="73" t="inlineStr">
        <is>
          <t>oscar.barrios@unmsm.edu.pe</t>
        </is>
      </c>
      <c r="K221" s="73" t="inlineStr">
        <is>
          <t>https://juventud.gob.pe/wp-content/uploads/2022/04/BASE-DE-DATOS-ORGANIZACIONES-JUVENILES-E-INSTITUCIONES-PRIVADAS.xlsx</t>
        </is>
      </c>
      <c r="L221" s="51" t="inlineStr">
        <is>
          <t>CONFIRMADO</t>
        </is>
      </c>
      <c r="M221" s="30" t="n"/>
    </row>
    <row r="222" ht="15.75" customHeight="1" s="182">
      <c r="A222" s="42" t="inlineStr">
        <is>
          <t>Perú</t>
        </is>
      </c>
      <c r="B222" s="15" t="inlineStr">
        <is>
          <t>Organizaciones juveniles</t>
        </is>
      </c>
      <c r="C222" s="73" t="inlineStr">
        <is>
          <t>Organización de pueblos indígenas u originarios (afro descendientes, andinos y amazónicos)</t>
        </is>
      </c>
      <c r="D222" s="73" t="inlineStr">
        <is>
          <t>RED INFANTO JUVENIL POR EL BUEN VIVIR - REDINJUV PERÚ</t>
        </is>
      </c>
      <c r="E222" s="73" t="n"/>
      <c r="F222" s="73" t="inlineStr">
        <is>
          <t xml:space="preserve">Representante </t>
        </is>
      </c>
      <c r="G222" s="73" t="inlineStr">
        <is>
          <t>https://juventud.gob.pe/wp-content/uploads/2022/04/BASE-DE-DATOS-ORGANIZACIONES-JUVENILES-E-INSTITUCIONES-PRIVADAS.xlsx</t>
        </is>
      </c>
      <c r="H222" s="73" t="inlineStr">
        <is>
          <t>OLENKA STEFANNY MAGALLANES PRADO</t>
        </is>
      </c>
      <c r="I222" s="28" t="inlineStr">
        <is>
          <t>No disponible en fuente oficial</t>
        </is>
      </c>
      <c r="J222" s="73" t="inlineStr">
        <is>
          <t>redinjuv.peru1@gmail.com</t>
        </is>
      </c>
      <c r="K222" s="73" t="inlineStr">
        <is>
          <t>https://juventud.gob.pe/wp-content/uploads/2022/04/BASE-DE-DATOS-ORGANIZACIONES-JUVENILES-E-INSTITUCIONES-PRIVADAS.xlsx</t>
        </is>
      </c>
      <c r="L222" s="51" t="inlineStr">
        <is>
          <t>CONFIRMADO</t>
        </is>
      </c>
      <c r="M222" s="30" t="n"/>
    </row>
    <row r="223" ht="15.75" customHeight="1" s="182">
      <c r="A223" s="42" t="inlineStr">
        <is>
          <t>Perú</t>
        </is>
      </c>
      <c r="B223" s="15" t="inlineStr">
        <is>
          <t>Organizaciones juveniles</t>
        </is>
      </c>
      <c r="C223" s="73" t="inlineStr">
        <is>
          <t>Organización artística y/o cultural</t>
        </is>
      </c>
      <c r="D223" s="73" t="inlineStr">
        <is>
          <t>GRUPO TEATRAL CUERPOS Y ALMA</t>
        </is>
      </c>
      <c r="E223" s="73" t="n"/>
      <c r="F223" s="73" t="inlineStr">
        <is>
          <t xml:space="preserve">Representante </t>
        </is>
      </c>
      <c r="G223" s="73" t="inlineStr">
        <is>
          <t>https://juventud.gob.pe/wp-content/uploads/2022/04/BASE-DE-DATOS-ORGANIZACIONES-JUVENILES-E-INSTITUCIONES-PRIVADAS.xlsx</t>
        </is>
      </c>
      <c r="H223" s="73" t="inlineStr">
        <is>
          <t>Hilda Sofía Del Carmen Macchiavello Albarracín</t>
        </is>
      </c>
      <c r="I223" s="28" t="inlineStr">
        <is>
          <t>No disponible en fuente oficial</t>
        </is>
      </c>
      <c r="J223" s="73" t="inlineStr">
        <is>
          <t>cuerposyalmaoficial@gmail.com</t>
        </is>
      </c>
      <c r="K223" s="73" t="inlineStr">
        <is>
          <t>https://juventud.gob.pe/wp-content/uploads/2022/04/BASE-DE-DATOS-ORGANIZACIONES-JUVENILES-E-INSTITUCIONES-PRIVADAS.xlsx</t>
        </is>
      </c>
      <c r="L223" s="51" t="inlineStr">
        <is>
          <t>CONFIRMADO</t>
        </is>
      </c>
      <c r="M223" s="30" t="n"/>
    </row>
    <row r="224" ht="15.75" customHeight="1" s="182">
      <c r="A224" s="42" t="inlineStr">
        <is>
          <t>Perú</t>
        </is>
      </c>
      <c r="B224" s="15" t="inlineStr">
        <is>
          <t>Organizaciones juveniles</t>
        </is>
      </c>
      <c r="C224" s="73" t="inlineStr">
        <is>
          <t>Organización artístIca y/o cultural</t>
        </is>
      </c>
      <c r="D224" s="73" t="inlineStr">
        <is>
          <t>LA CLÍNICA DE SUEÑOS</t>
        </is>
      </c>
      <c r="E224" s="73" t="n"/>
      <c r="F224" s="73" t="inlineStr">
        <is>
          <t xml:space="preserve">Representante </t>
        </is>
      </c>
      <c r="G224" s="73" t="inlineStr">
        <is>
          <t>https://juventud.gob.pe/wp-content/uploads/2022/04/BASE-DE-DATOS-ORGANIZACIONES-JUVENILES-E-INSTITUCIONES-PRIVADAS.xlsx</t>
        </is>
      </c>
      <c r="H224" s="73" t="inlineStr">
        <is>
          <t>Patricia Carolina Chuquiano Sánchez</t>
        </is>
      </c>
      <c r="I224" s="28" t="inlineStr">
        <is>
          <t>No disponible en fuente oficial</t>
        </is>
      </c>
      <c r="J224" s="73" t="inlineStr">
        <is>
          <t>p.chuquiano12@gmail.com</t>
        </is>
      </c>
      <c r="K224" s="73" t="inlineStr">
        <is>
          <t>https://juventud.gob.pe/wp-content/uploads/2022/04/BASE-DE-DATOS-ORGANIZACIONES-JUVENILES-E-INSTITUCIONES-PRIVADAS.xlsx</t>
        </is>
      </c>
      <c r="L224" s="51" t="inlineStr">
        <is>
          <t>CONFIRMADO</t>
        </is>
      </c>
      <c r="M224" s="30" t="n"/>
    </row>
    <row r="225" ht="15.75" customHeight="1" s="182">
      <c r="A225" s="42" t="inlineStr">
        <is>
          <t>Perú</t>
        </is>
      </c>
      <c r="B225" s="15" t="inlineStr">
        <is>
          <t>Organizaciones juveniles</t>
        </is>
      </c>
      <c r="C225" s="73" t="inlineStr">
        <is>
          <t>Organizaciones de estudiantes (escolar, universitario, tecnológico, artístico o pedagógico)</t>
        </is>
      </c>
      <c r="D225" s="73" t="inlineStr">
        <is>
          <t>RED UNIVERSITARIA AMBIENTAL PERÚ NODO UNTELS (RUA - PERÚ NODO UNSTELS)</t>
        </is>
      </c>
      <c r="E225" s="73" t="n"/>
      <c r="F225" s="73" t="inlineStr">
        <is>
          <t xml:space="preserve">Representante </t>
        </is>
      </c>
      <c r="G225" s="73" t="inlineStr">
        <is>
          <t>https://juventud.gob.pe/wp-content/uploads/2022/04/BASE-DE-DATOS-ORGANIZACIONES-JUVENILES-E-INSTITUCIONES-PRIVADAS.xlsx</t>
        </is>
      </c>
      <c r="H225" s="73" t="inlineStr">
        <is>
          <t>Brayhan Eliseo Cáceres Jordán</t>
        </is>
      </c>
      <c r="I225" s="28" t="inlineStr">
        <is>
          <t>No disponible en fuente oficial</t>
        </is>
      </c>
      <c r="J225" s="73" t="inlineStr">
        <is>
          <t>ruaperunodountels@gmail.com</t>
        </is>
      </c>
      <c r="K225" s="73" t="inlineStr">
        <is>
          <t>https://juventud.gob.pe/wp-content/uploads/2022/04/BASE-DE-DATOS-ORGANIZACIONES-JUVENILES-E-INSTITUCIONES-PRIVADAS.xlsx</t>
        </is>
      </c>
      <c r="L225" s="51" t="inlineStr">
        <is>
          <t>CONFIRMADO</t>
        </is>
      </c>
      <c r="M225" s="30" t="n"/>
    </row>
    <row r="226" ht="15.75" customHeight="1" s="182">
      <c r="A226" s="42" t="inlineStr">
        <is>
          <t>Perú</t>
        </is>
      </c>
      <c r="B226" s="15" t="inlineStr">
        <is>
          <t>Organizaciones juveniles</t>
        </is>
      </c>
      <c r="C226" s="73" t="inlineStr">
        <is>
          <t>Organizaciones de voluntariado</t>
        </is>
      </c>
      <c r="D226" s="73" t="inlineStr">
        <is>
          <t>JÓVENES LÍDERES DE MARÍATEGUI SJL</t>
        </is>
      </c>
      <c r="E226" s="73" t="n"/>
      <c r="F226" s="73" t="inlineStr">
        <is>
          <t xml:space="preserve">Representante </t>
        </is>
      </c>
      <c r="G226" s="73" t="inlineStr">
        <is>
          <t>https://juventud.gob.pe/wp-content/uploads/2022/04/BASE-DE-DATOS-ORGANIZACIONES-JUVENILES-E-INSTITUCIONES-PRIVADAS.xlsx</t>
        </is>
      </c>
      <c r="H226" s="73" t="inlineStr">
        <is>
          <t>Leyla Marylin Vanessa Usca Chambi</t>
        </is>
      </c>
      <c r="I226" s="28" t="inlineStr">
        <is>
          <t>No disponible en fuente oficial</t>
        </is>
      </c>
      <c r="J226" s="73" t="inlineStr">
        <is>
          <t>leyla.usca@gmail.com</t>
        </is>
      </c>
      <c r="K226" s="73" t="inlineStr">
        <is>
          <t>https://juventud.gob.pe/wp-content/uploads/2022/04/BASE-DE-DATOS-ORGANIZACIONES-JUVENILES-E-INSTITUCIONES-PRIVADAS.xlsx</t>
        </is>
      </c>
      <c r="L226" s="51" t="inlineStr">
        <is>
          <t>CONFIRMADO</t>
        </is>
      </c>
      <c r="M226" s="30" t="n"/>
    </row>
    <row r="227" ht="15.75" customHeight="1" s="182">
      <c r="A227" s="42" t="inlineStr">
        <is>
          <t>Perú</t>
        </is>
      </c>
      <c r="B227" s="15" t="inlineStr">
        <is>
          <t>Organizaciones juveniles</t>
        </is>
      </c>
      <c r="C227" s="73" t="inlineStr">
        <is>
          <t>Organización artístIca y/o cultural</t>
        </is>
      </c>
      <c r="D227" s="73" t="inlineStr">
        <is>
          <t>LOS TOYS</t>
        </is>
      </c>
      <c r="E227" s="73" t="n"/>
      <c r="F227" s="73" t="inlineStr">
        <is>
          <t xml:space="preserve">Representante </t>
        </is>
      </c>
      <c r="G227" s="73" t="inlineStr">
        <is>
          <t>https://juventud.gob.pe/wp-content/uploads/2022/04/BASE-DE-DATOS-ORGANIZACIONES-JUVENILES-E-INSTITUCIONES-PRIVADAS.xlsx</t>
        </is>
      </c>
      <c r="H227" s="73" t="inlineStr">
        <is>
          <t>César Camilo Huayhua Contreras</t>
        </is>
      </c>
      <c r="I227" s="28" t="inlineStr">
        <is>
          <t>No disponible en fuente oficial</t>
        </is>
      </c>
      <c r="J227" s="73" t="inlineStr">
        <is>
          <t>camilo.huayhua07@gmail.com</t>
        </is>
      </c>
      <c r="K227" s="73" t="inlineStr">
        <is>
          <t>https://juventud.gob.pe/wp-content/uploads/2022/04/BASE-DE-DATOS-ORGANIZACIONES-JUVENILES-E-INSTITUCIONES-PRIVADAS.xlsx</t>
        </is>
      </c>
      <c r="L227" s="51" t="inlineStr">
        <is>
          <t>CONFIRMADO</t>
        </is>
      </c>
      <c r="M227" s="30" t="n"/>
    </row>
    <row r="228" ht="15.75" customHeight="1" s="182">
      <c r="A228" s="42" t="inlineStr">
        <is>
          <t>Perú</t>
        </is>
      </c>
      <c r="B228" s="15" t="inlineStr">
        <is>
          <t>Organizaciones juveniles</t>
        </is>
      </c>
      <c r="C228" s="73" t="inlineStr">
        <is>
          <t>Otros: ONG que promueve la conservación del ambiente</t>
        </is>
      </c>
      <c r="D228" s="73" t="inlineStr">
        <is>
          <t>GRUPO RANA</t>
        </is>
      </c>
      <c r="E228" s="73" t="n"/>
      <c r="F228" s="73" t="inlineStr">
        <is>
          <t xml:space="preserve">Representante </t>
        </is>
      </c>
      <c r="G228" s="73" t="inlineStr">
        <is>
          <t>https://juventud.gob.pe/wp-content/uploads/2022/04/BASE-DE-DATOS-ORGANIZACIONES-JUVENILES-E-INSTITUCIONES-PRIVADAS.xlsx</t>
        </is>
      </c>
      <c r="H228" s="73" t="inlineStr">
        <is>
          <t>Luis Castillo Roque</t>
        </is>
      </c>
      <c r="I228" s="28" t="inlineStr">
        <is>
          <t>No disponible en fuente oficial</t>
        </is>
      </c>
      <c r="J228" s="73" t="inlineStr">
        <is>
          <t>contacto@gruporana.org</t>
        </is>
      </c>
      <c r="K228" s="73" t="inlineStr">
        <is>
          <t>https://juventud.gob.pe/wp-content/uploads/2022/04/BASE-DE-DATOS-ORGANIZACIONES-JUVENILES-E-INSTITUCIONES-PRIVADAS.xlsx</t>
        </is>
      </c>
      <c r="L228" s="51" t="inlineStr">
        <is>
          <t>CONFIRMADO</t>
        </is>
      </c>
      <c r="M228" s="30" t="n"/>
    </row>
    <row r="229" ht="15.75" customHeight="1" s="182">
      <c r="A229" s="42" t="inlineStr">
        <is>
          <t>Perú</t>
        </is>
      </c>
      <c r="B229" s="15" t="inlineStr">
        <is>
          <t>Organizaciones juveniles</t>
        </is>
      </c>
      <c r="C229" s="73" t="inlineStr">
        <is>
          <t>Otros: Organización de investigadores de básica y aplicada</t>
        </is>
      </c>
      <c r="D229" s="73" t="inlineStr">
        <is>
          <t>ENTOPIRUW S.A.C.</t>
        </is>
      </c>
      <c r="E229" s="73" t="n"/>
      <c r="F229" s="73" t="inlineStr">
        <is>
          <t xml:space="preserve">Representante </t>
        </is>
      </c>
      <c r="G229" s="73" t="inlineStr">
        <is>
          <t>https://juventud.gob.pe/wp-content/uploads/2022/04/BASE-DE-DATOS-ORGANIZACIONES-JUVENILES-E-INSTITUCIONES-PRIVADAS.xlsx</t>
        </is>
      </c>
      <c r="H229" s="73" t="inlineStr">
        <is>
          <t>Eduardo Rodolfo Lama Segura</t>
        </is>
      </c>
      <c r="I229" s="28" t="inlineStr">
        <is>
          <t>No disponible en fuente oficial</t>
        </is>
      </c>
      <c r="J229" s="73" t="inlineStr">
        <is>
          <t>eduardorodolfolamasegura@gmail.com</t>
        </is>
      </c>
      <c r="K229" s="73" t="inlineStr">
        <is>
          <t>https://juventud.gob.pe/wp-content/uploads/2022/04/BASE-DE-DATOS-ORGANIZACIONES-JUVENILES-E-INSTITUCIONES-PRIVADAS.xlsx</t>
        </is>
      </c>
      <c r="L229" s="51" t="inlineStr">
        <is>
          <t>CONFIRMADO</t>
        </is>
      </c>
      <c r="M229" s="30" t="n"/>
    </row>
    <row r="230" ht="15.75" customHeight="1" s="182">
      <c r="A230" s="42" t="inlineStr">
        <is>
          <t>Perú</t>
        </is>
      </c>
      <c r="B230" s="15" t="inlineStr">
        <is>
          <t>Organizaciones juveniles</t>
        </is>
      </c>
      <c r="C230" s="73" t="inlineStr">
        <is>
          <t>Organización de investigadores académicos</t>
        </is>
      </c>
      <c r="D230" s="73" t="inlineStr">
        <is>
          <t>CENTRO URBES</t>
        </is>
      </c>
      <c r="E230" s="73" t="n"/>
      <c r="F230" s="73" t="inlineStr">
        <is>
          <t xml:space="preserve">Representante </t>
        </is>
      </c>
      <c r="G230" s="73" t="inlineStr">
        <is>
          <t>https://juventud.gob.pe/wp-content/uploads/2022/04/BASE-DE-DATOS-ORGANIZACIONES-JUVENILES-E-INSTITUCIONES-PRIVADAS.xlsx</t>
        </is>
      </c>
      <c r="H230" s="73" t="inlineStr">
        <is>
          <t>FRANZ NEWTON GARCÍA HUAZO</t>
        </is>
      </c>
      <c r="I230" s="28" t="inlineStr">
        <is>
          <t>No disponible en fuente oficial</t>
        </is>
      </c>
      <c r="J230" s="73" t="inlineStr">
        <is>
          <t>fgarcia@centrourbes.org</t>
        </is>
      </c>
      <c r="K230" s="73" t="inlineStr">
        <is>
          <t>https://juventud.gob.pe/wp-content/uploads/2022/04/BASE-DE-DATOS-ORGANIZACIONES-JUVENILES-E-INSTITUCIONES-PRIVADAS.xlsx</t>
        </is>
      </c>
      <c r="L230" s="51" t="inlineStr">
        <is>
          <t>CONFIRMADO</t>
        </is>
      </c>
      <c r="M230" s="30" t="n"/>
    </row>
    <row r="231" ht="15.75" customHeight="1" s="182">
      <c r="A231" s="42" t="inlineStr">
        <is>
          <t>Perú</t>
        </is>
      </c>
      <c r="B231" s="15" t="inlineStr">
        <is>
          <t>Organizaciones juveniles</t>
        </is>
      </c>
      <c r="C231" s="73" t="inlineStr">
        <is>
          <t>Organizaciones de voluntariado</t>
        </is>
      </c>
      <c r="D231" s="73" t="inlineStr">
        <is>
          <t>CONDEVILLA BARRIO CREATIVO</t>
        </is>
      </c>
      <c r="E231" s="73" t="n"/>
      <c r="F231" s="73" t="inlineStr">
        <is>
          <t xml:space="preserve">Representante </t>
        </is>
      </c>
      <c r="G231" s="73" t="inlineStr">
        <is>
          <t>https://juventud.gob.pe/wp-content/uploads/2022/04/BASE-DE-DATOS-ORGANIZACIONES-JUVENILES-E-INSTITUCIONES-PRIVADAS.xlsx</t>
        </is>
      </c>
      <c r="H231" s="73" t="inlineStr">
        <is>
          <t>Gianina Priscila Ccahuay Espiritu</t>
        </is>
      </c>
      <c r="I231" s="28" t="inlineStr">
        <is>
          <t>No disponible en fuente oficial</t>
        </is>
      </c>
      <c r="J231" s="73" t="inlineStr">
        <is>
          <t>condevillabarriocreativo@gmail.com</t>
        </is>
      </c>
      <c r="K231" s="73" t="inlineStr">
        <is>
          <t>https://juventud.gob.pe/wp-content/uploads/2022/04/BASE-DE-DATOS-ORGANIZACIONES-JUVENILES-E-INSTITUCIONES-PRIVADAS.xlsx</t>
        </is>
      </c>
      <c r="L231" s="51" t="inlineStr">
        <is>
          <t>CONFIRMADO</t>
        </is>
      </c>
      <c r="M231" s="30" t="n"/>
    </row>
    <row r="232" ht="15.75" customHeight="1" s="182">
      <c r="A232" s="42" t="inlineStr">
        <is>
          <t>Perú</t>
        </is>
      </c>
      <c r="B232" s="15" t="inlineStr">
        <is>
          <t>Organizaciones juveniles</t>
        </is>
      </c>
      <c r="C232" s="73" t="inlineStr">
        <is>
          <t>Organizaciones territoriales</t>
        </is>
      </c>
      <c r="D232" s="73" t="inlineStr">
        <is>
          <t>RED MUNDIAL DE JÓVENES POLÍTICOS</t>
        </is>
      </c>
      <c r="E232" s="73" t="n"/>
      <c r="F232" s="73" t="inlineStr">
        <is>
          <t xml:space="preserve">Representante </t>
        </is>
      </c>
      <c r="G232" s="73" t="inlineStr">
        <is>
          <t>https://juventud.gob.pe/wp-content/uploads/2022/04/BASE-DE-DATOS-ORGANIZACIONES-JUVENILES-E-INSTITUCIONES-PRIVADAS.xlsx</t>
        </is>
      </c>
      <c r="H232" s="73" t="inlineStr">
        <is>
          <t>Cesar Augusto Malca Vasquez</t>
        </is>
      </c>
      <c r="I232" s="28" t="inlineStr">
        <is>
          <t>No disponible en fuente oficial</t>
        </is>
      </c>
      <c r="J232" s="73" t="inlineStr">
        <is>
          <t>cesar_malca@hotmail.com</t>
        </is>
      </c>
      <c r="K232" s="73" t="inlineStr">
        <is>
          <t>https://juventud.gob.pe/wp-content/uploads/2022/04/BASE-DE-DATOS-ORGANIZACIONES-JUVENILES-E-INSTITUCIONES-PRIVADAS.xlsx</t>
        </is>
      </c>
      <c r="L232" s="51" t="inlineStr">
        <is>
          <t>CONFIRMADO</t>
        </is>
      </c>
      <c r="M232" s="30" t="n"/>
    </row>
    <row r="233" ht="15.75" customHeight="1" s="182">
      <c r="A233" s="42" t="inlineStr">
        <is>
          <t>Perú</t>
        </is>
      </c>
      <c r="B233" s="15" t="inlineStr">
        <is>
          <t>Organizaciones juveniles</t>
        </is>
      </c>
      <c r="C233" s="73" t="inlineStr">
        <is>
          <t>Organizaciones de voluntariado</t>
        </is>
      </c>
      <c r="D233" s="73" t="inlineStr">
        <is>
          <t>RED INTERQUORUM - LIMA NORTE</t>
        </is>
      </c>
      <c r="E233" s="73" t="n"/>
      <c r="F233" s="73" t="inlineStr">
        <is>
          <t xml:space="preserve">Representante </t>
        </is>
      </c>
      <c r="G233" s="73" t="inlineStr">
        <is>
          <t>https://juventud.gob.pe/wp-content/uploads/2022/04/BASE-DE-DATOS-ORGANIZACIONES-JUVENILES-E-INSTITUCIONES-PRIVADAS.xlsx</t>
        </is>
      </c>
      <c r="H233" s="73" t="inlineStr">
        <is>
          <t>Anthony Roberto Orocollo Sánchez</t>
        </is>
      </c>
      <c r="I233" s="28" t="inlineStr">
        <is>
          <t>No disponible en fuente oficial</t>
        </is>
      </c>
      <c r="J233" s="73" t="inlineStr">
        <is>
          <t>anthony.orocollo@gmail.com</t>
        </is>
      </c>
      <c r="K233" s="73" t="inlineStr">
        <is>
          <t>https://juventud.gob.pe/wp-content/uploads/2022/04/BASE-DE-DATOS-ORGANIZACIONES-JUVENILES-E-INSTITUCIONES-PRIVADAS.xlsx</t>
        </is>
      </c>
      <c r="L233" s="51" t="inlineStr">
        <is>
          <t>CONFIRMADO</t>
        </is>
      </c>
      <c r="M233" s="30" t="n"/>
    </row>
    <row r="234" ht="15.75" customHeight="1" s="182">
      <c r="A234" s="42" t="inlineStr">
        <is>
          <t>Perú</t>
        </is>
      </c>
      <c r="B234" s="15" t="inlineStr">
        <is>
          <t>Organizaciones juveniles</t>
        </is>
      </c>
      <c r="C234" s="73" t="inlineStr">
        <is>
          <t>Organizaciones de estudiantes (escolar, universitario, tecnológico, artístico o pedagógico)</t>
        </is>
      </c>
      <c r="D234" s="73" t="inlineStr">
        <is>
          <t>RAMA ESTUDIANTIL IEEE UDEP - LIMA</t>
        </is>
      </c>
      <c r="E234" s="73" t="n"/>
      <c r="F234" s="73" t="inlineStr">
        <is>
          <t xml:space="preserve">Representante </t>
        </is>
      </c>
      <c r="G234" s="73" t="inlineStr">
        <is>
          <t>https://juventud.gob.pe/wp-content/uploads/2022/04/BASE-DE-DATOS-ORGANIZACIONES-JUVENILES-E-INSTITUCIONES-PRIVADAS.xlsx</t>
        </is>
      </c>
      <c r="H234" s="73" t="inlineStr">
        <is>
          <t>Guillermo Nicanor MujIca Davila</t>
        </is>
      </c>
      <c r="I234" s="28" t="inlineStr">
        <is>
          <t>No disponible en fuente oficial</t>
        </is>
      </c>
      <c r="J234" s="73" t="inlineStr">
        <is>
          <t>re.udeplima@udep.pe</t>
        </is>
      </c>
      <c r="K234" s="73" t="inlineStr">
        <is>
          <t>https://juventud.gob.pe/wp-content/uploads/2022/04/BASE-DE-DATOS-ORGANIZACIONES-JUVENILES-E-INSTITUCIONES-PRIVADAS.xlsx</t>
        </is>
      </c>
      <c r="L234" s="51" t="inlineStr">
        <is>
          <t>CONFIRMADO</t>
        </is>
      </c>
      <c r="M234" s="30" t="n"/>
    </row>
    <row r="235" ht="15.75" customHeight="1" s="182">
      <c r="A235" s="42" t="inlineStr">
        <is>
          <t>Perú</t>
        </is>
      </c>
      <c r="B235" s="15" t="inlineStr">
        <is>
          <t>Organizaciones juveniles</t>
        </is>
      </c>
      <c r="C235" s="73" t="inlineStr">
        <is>
          <t>Organizaciones de estudiantes (escolar, universitario, tecnológico, artístico o pedagógico)</t>
        </is>
      </c>
      <c r="D235" s="73" t="inlineStr">
        <is>
          <t>PROYECTOS SAN MARCOS</t>
        </is>
      </c>
      <c r="E235" s="73" t="n"/>
      <c r="F235" s="73" t="inlineStr">
        <is>
          <t xml:space="preserve">Representante </t>
        </is>
      </c>
      <c r="G235" s="73" t="inlineStr">
        <is>
          <t>https://juventud.gob.pe/wp-content/uploads/2022/04/BASE-DE-DATOS-ORGANIZACIONES-JUVENILES-E-INSTITUCIONES-PRIVADAS.xlsx</t>
        </is>
      </c>
      <c r="H235" s="73" t="inlineStr">
        <is>
          <t>Ronald Nuñez Muñoz</t>
        </is>
      </c>
      <c r="I235" s="28" t="inlineStr">
        <is>
          <t>No disponible en fuente oficial</t>
        </is>
      </c>
      <c r="J235" s="73" t="inlineStr">
        <is>
          <t>psm.san.marcos@gmail.com</t>
        </is>
      </c>
      <c r="K235" s="73" t="inlineStr">
        <is>
          <t>https://juventud.gob.pe/wp-content/uploads/2022/04/BASE-DE-DATOS-ORGANIZACIONES-JUVENILES-E-INSTITUCIONES-PRIVADAS.xlsx</t>
        </is>
      </c>
      <c r="L235" s="51" t="inlineStr">
        <is>
          <t>CONFIRMADO</t>
        </is>
      </c>
      <c r="M235" s="30" t="n"/>
    </row>
    <row r="236" ht="15.75" customHeight="1" s="182">
      <c r="A236" s="42" t="inlineStr">
        <is>
          <t>Perú</t>
        </is>
      </c>
      <c r="B236" s="15" t="inlineStr">
        <is>
          <t>Organizaciones juveniles</t>
        </is>
      </c>
      <c r="C236" s="73" t="inlineStr">
        <is>
          <t>Organización de investigadores académicos</t>
        </is>
      </c>
      <c r="D236" s="73" t="inlineStr">
        <is>
          <t>GRUPO DE INVESTIGACIÓN "DESARROLLO, AMBIENTE Y TERRITORIO" GDAT</t>
        </is>
      </c>
      <c r="E236" s="73" t="n"/>
      <c r="F236" s="73" t="inlineStr">
        <is>
          <t xml:space="preserve">Representante </t>
        </is>
      </c>
      <c r="G236" s="73" t="inlineStr">
        <is>
          <t>https://juventud.gob.pe/wp-content/uploads/2022/04/BASE-DE-DATOS-ORGANIZACIONES-JUVENILES-E-INSTITUCIONES-PRIVADAS.xlsx</t>
        </is>
      </c>
      <c r="H236" s="73" t="inlineStr">
        <is>
          <t>CRISTHIAN FEDERICO ALVAREZ SAA</t>
        </is>
      </c>
      <c r="I236" s="28" t="inlineStr">
        <is>
          <t>No disponible en fuente oficial</t>
        </is>
      </c>
      <c r="J236" s="73" t="inlineStr">
        <is>
          <t>grupodeinvestigaciondat@gmail.com</t>
        </is>
      </c>
      <c r="K236" s="73" t="inlineStr">
        <is>
          <t>https://juventud.gob.pe/wp-content/uploads/2022/04/BASE-DE-DATOS-ORGANIZACIONES-JUVENILES-E-INSTITUCIONES-PRIVADAS.xlsx</t>
        </is>
      </c>
      <c r="L236" s="51" t="inlineStr">
        <is>
          <t>CONFIRMADO</t>
        </is>
      </c>
      <c r="M236" s="30" t="n"/>
    </row>
    <row r="237" ht="15.75" customHeight="1" s="182">
      <c r="A237" s="42" t="inlineStr">
        <is>
          <t>Perú</t>
        </is>
      </c>
      <c r="B237" s="15" t="inlineStr">
        <is>
          <t>Organizaciones juveniles</t>
        </is>
      </c>
      <c r="C237" s="73" t="inlineStr">
        <is>
          <t>Organizaciones de estudiantes (escolar, universitario, tecnológico, artístico o pedagógico)</t>
        </is>
      </c>
      <c r="D237" s="73" t="inlineStr">
        <is>
          <t>CONSEJO DE ESTUDIANTES DE LA ESCUELA NACIONAL SUPERIOR DE ARTE DRAMÁTICO</t>
        </is>
      </c>
      <c r="E237" s="73" t="n"/>
      <c r="F237" s="73" t="inlineStr">
        <is>
          <t xml:space="preserve">Representante </t>
        </is>
      </c>
      <c r="G237" s="73" t="inlineStr">
        <is>
          <t>https://juventud.gob.pe/wp-content/uploads/2022/04/BASE-DE-DATOS-ORGANIZACIONES-JUVENILES-E-INSTITUCIONES-PRIVADAS.xlsx</t>
        </is>
      </c>
      <c r="H237" s="73" t="inlineStr">
        <is>
          <t>Luis Gerardo Acuña Chuquivilca</t>
        </is>
      </c>
      <c r="I237" s="28" t="inlineStr">
        <is>
          <t>No disponible en fuente oficial</t>
        </is>
      </c>
      <c r="J237" s="73" t="inlineStr">
        <is>
          <t>estudiantesensad@gmail.com</t>
        </is>
      </c>
      <c r="K237" s="73" t="inlineStr">
        <is>
          <t>https://juventud.gob.pe/wp-content/uploads/2022/04/BASE-DE-DATOS-ORGANIZACIONES-JUVENILES-E-INSTITUCIONES-PRIVADAS.xlsx</t>
        </is>
      </c>
      <c r="L237" s="51" t="inlineStr">
        <is>
          <t>CONFIRMADO</t>
        </is>
      </c>
      <c r="M237" s="30" t="n"/>
    </row>
    <row r="238" ht="15.75" customHeight="1" s="182">
      <c r="A238" s="42" t="inlineStr">
        <is>
          <t>Perú</t>
        </is>
      </c>
      <c r="B238" s="15" t="inlineStr">
        <is>
          <t>Organizaciones juveniles</t>
        </is>
      </c>
      <c r="C238" s="73" t="inlineStr">
        <is>
          <t>Organización del ámbito deportivo</t>
        </is>
      </c>
      <c r="D238" s="73" t="inlineStr">
        <is>
          <t>COMUNIDAD DE STREET WORKOUT SAN MIGUEL</t>
        </is>
      </c>
      <c r="E238" s="73" t="n"/>
      <c r="F238" s="73" t="inlineStr">
        <is>
          <t xml:space="preserve">Representante </t>
        </is>
      </c>
      <c r="G238" s="73" t="inlineStr">
        <is>
          <t>https://juventud.gob.pe/wp-content/uploads/2022/04/BASE-DE-DATOS-ORGANIZACIONES-JUVENILES-E-INSTITUCIONES-PRIVADAS.xlsx</t>
        </is>
      </c>
      <c r="H238" s="73" t="inlineStr">
        <is>
          <t>Enzo Genaro Parodi Felice</t>
        </is>
      </c>
      <c r="I238" s="28" t="inlineStr">
        <is>
          <t>No disponible en fuente oficial</t>
        </is>
      </c>
      <c r="J238" s="73" t="inlineStr">
        <is>
          <t>IPDLAPC@outlook.com</t>
        </is>
      </c>
      <c r="K238" s="73" t="inlineStr">
        <is>
          <t>https://juventud.gob.pe/wp-content/uploads/2022/04/BASE-DE-DATOS-ORGANIZACIONES-JUVENILES-E-INSTITUCIONES-PRIVADAS.xlsx</t>
        </is>
      </c>
      <c r="L238" s="51" t="inlineStr">
        <is>
          <t>CONFIRMADO</t>
        </is>
      </c>
      <c r="M238" s="30" t="n"/>
    </row>
    <row r="239" ht="15.75" customHeight="1" s="182">
      <c r="A239" s="42" t="inlineStr">
        <is>
          <t>Perú</t>
        </is>
      </c>
      <c r="B239" s="15" t="inlineStr">
        <is>
          <t>Organizaciones juveniles</t>
        </is>
      </c>
      <c r="C239" s="73" t="inlineStr">
        <is>
          <t>Otros (especifique): Organización juvenil activista para fomentar ciudadanía.</t>
        </is>
      </c>
      <c r="D239" s="73" t="inlineStr">
        <is>
          <t>ASOCIACIÓN JUVENIL ENFOQUES</t>
        </is>
      </c>
      <c r="E239" s="73" t="n"/>
      <c r="F239" s="73" t="inlineStr">
        <is>
          <t xml:space="preserve">Representante </t>
        </is>
      </c>
      <c r="G239" s="73" t="inlineStr">
        <is>
          <t>https://juventud.gob.pe/wp-content/uploads/2022/04/BASE-DE-DATOS-ORGANIZACIONES-JUVENILES-E-INSTITUCIONES-PRIVADAS.xlsx</t>
        </is>
      </c>
      <c r="H239" s="73" t="inlineStr">
        <is>
          <t>Anthony David Carhuaz Quispe</t>
        </is>
      </c>
      <c r="I239" s="28" t="inlineStr">
        <is>
          <t>No disponible en fuente oficial</t>
        </is>
      </c>
      <c r="J239" s="73" t="inlineStr">
        <is>
          <t>carhuaz.ac.qc@gmail.com</t>
        </is>
      </c>
      <c r="K239" s="73" t="inlineStr">
        <is>
          <t>https://juventud.gob.pe/wp-content/uploads/2022/04/BASE-DE-DATOS-ORGANIZACIONES-JUVENILES-E-INSTITUCIONES-PRIVADAS.xlsx</t>
        </is>
      </c>
      <c r="L239" s="51" t="inlineStr">
        <is>
          <t>CONFIRMADO</t>
        </is>
      </c>
      <c r="M239" s="30" t="n"/>
    </row>
    <row r="240" ht="15.75" customHeight="1" s="182">
      <c r="A240" s="42" t="inlineStr">
        <is>
          <t>Perú</t>
        </is>
      </c>
      <c r="B240" s="15" t="inlineStr">
        <is>
          <t>Organizaciones juveniles</t>
        </is>
      </c>
      <c r="C240" s="73" t="inlineStr">
        <is>
          <t>Organizaciones de voluntariado</t>
        </is>
      </c>
      <c r="D240" s="73" t="inlineStr">
        <is>
          <t>ASOCIACIÓN DE BECARIOS COMPARTIENDO CONOCIMIENTO</t>
        </is>
      </c>
      <c r="E240" s="73" t="n"/>
      <c r="F240" s="73" t="inlineStr">
        <is>
          <t xml:space="preserve">Representante </t>
        </is>
      </c>
      <c r="G240" s="73" t="inlineStr">
        <is>
          <t>https://juventud.gob.pe/wp-content/uploads/2022/04/BASE-DE-DATOS-ORGANIZACIONES-JUVENILES-E-INSTITUCIONES-PRIVADAS.xlsx</t>
        </is>
      </c>
      <c r="H240" s="73" t="inlineStr">
        <is>
          <t>José Valerio Malca Cueva</t>
        </is>
      </c>
      <c r="I240" s="28" t="inlineStr">
        <is>
          <t>No disponible en fuente oficial</t>
        </is>
      </c>
      <c r="J240" s="73" t="inlineStr">
        <is>
          <t>asociaciondebecarios22@gmail.com</t>
        </is>
      </c>
      <c r="K240" s="73" t="inlineStr">
        <is>
          <t>https://juventud.gob.pe/wp-content/uploads/2022/04/BASE-DE-DATOS-ORGANIZACIONES-JUVENILES-E-INSTITUCIONES-PRIVADAS.xlsx</t>
        </is>
      </c>
      <c r="L240" s="51" t="inlineStr">
        <is>
          <t>CONFIRMADO</t>
        </is>
      </c>
      <c r="M240" s="30" t="n"/>
    </row>
    <row r="241" ht="15.75" customHeight="1" s="182">
      <c r="A241" s="42" t="inlineStr">
        <is>
          <t>Perú</t>
        </is>
      </c>
      <c r="B241" s="15" t="inlineStr">
        <is>
          <t>Organizaciones juveniles</t>
        </is>
      </c>
      <c r="C241" s="73" t="inlineStr">
        <is>
          <t>Otros: Organización para la conservación del medio ambiente</t>
        </is>
      </c>
      <c r="D241" s="73" t="inlineStr">
        <is>
          <t>ECOCIENTÍZATE</t>
        </is>
      </c>
      <c r="E241" s="73" t="n"/>
      <c r="F241" s="73" t="inlineStr">
        <is>
          <t xml:space="preserve">Representante </t>
        </is>
      </c>
      <c r="G241" s="73" t="inlineStr">
        <is>
          <t>https://juventud.gob.pe/wp-content/uploads/2022/04/BASE-DE-DATOS-ORGANIZACIONES-JUVENILES-E-INSTITUCIONES-PRIVADAS.xlsx</t>
        </is>
      </c>
      <c r="H241" s="73" t="inlineStr">
        <is>
          <t>Kiara Isabella Soto Melendez</t>
        </is>
      </c>
      <c r="I241" s="28" t="inlineStr">
        <is>
          <t>No disponible en fuente oficial</t>
        </is>
      </c>
      <c r="J241" s="73" t="inlineStr">
        <is>
          <t>econcientizateperu@gmail.com</t>
        </is>
      </c>
      <c r="K241" s="73" t="inlineStr">
        <is>
          <t>https://juventud.gob.pe/wp-content/uploads/2022/04/BASE-DE-DATOS-ORGANIZACIONES-JUVENILES-E-INSTITUCIONES-PRIVADAS.xlsx</t>
        </is>
      </c>
      <c r="L241" s="51" t="inlineStr">
        <is>
          <t>CONFIRMADO</t>
        </is>
      </c>
      <c r="M241" s="30" t="n"/>
    </row>
    <row r="242" ht="15.75" customHeight="1" s="182">
      <c r="A242" s="42" t="inlineStr">
        <is>
          <t>Perú</t>
        </is>
      </c>
      <c r="B242" s="15" t="inlineStr">
        <is>
          <t>Organizaciones juveniles</t>
        </is>
      </c>
      <c r="C242" s="73" t="inlineStr">
        <is>
          <t>Organizaciones de voluntariado</t>
        </is>
      </c>
      <c r="D242" s="73" t="inlineStr">
        <is>
          <t>EDUCA ANCÓN</t>
        </is>
      </c>
      <c r="E242" s="73" t="n"/>
      <c r="F242" s="73" t="inlineStr">
        <is>
          <t xml:space="preserve">Representante </t>
        </is>
      </c>
      <c r="G242" s="73" t="inlineStr">
        <is>
          <t>https://juventud.gob.pe/wp-content/uploads/2022/04/BASE-DE-DATOS-ORGANIZACIONES-JUVENILES-E-INSTITUCIONES-PRIVADAS.xlsx</t>
        </is>
      </c>
      <c r="H242" s="73" t="inlineStr">
        <is>
          <t>Andrea Camila Vásquez Obeso</t>
        </is>
      </c>
      <c r="I242" s="28" t="inlineStr">
        <is>
          <t>No disponible en fuente oficial</t>
        </is>
      </c>
      <c r="J242" s="73" t="inlineStr">
        <is>
          <t>educaancón1@gmail.com</t>
        </is>
      </c>
      <c r="K242" s="73" t="inlineStr">
        <is>
          <t>https://juventud.gob.pe/wp-content/uploads/2022/04/BASE-DE-DATOS-ORGANIZACIONES-JUVENILES-E-INSTITUCIONES-PRIVADAS.xlsx</t>
        </is>
      </c>
      <c r="L242" s="51" t="inlineStr">
        <is>
          <t>CONFIRMADO</t>
        </is>
      </c>
      <c r="M242" s="30" t="n"/>
    </row>
    <row r="243" ht="15.75" customHeight="1" s="182">
      <c r="A243" s="42" t="inlineStr">
        <is>
          <t>Perú</t>
        </is>
      </c>
      <c r="B243" s="15" t="inlineStr">
        <is>
          <t>Organizaciones juveniles</t>
        </is>
      </c>
      <c r="C243" s="73" t="inlineStr">
        <is>
          <t>Otros: Organización de ámbito social</t>
        </is>
      </c>
      <c r="D243" s="73" t="inlineStr">
        <is>
          <t>ASOCIACIÓN JUVENTUD KOLLEK</t>
        </is>
      </c>
      <c r="E243" s="73" t="n"/>
      <c r="F243" s="73" t="inlineStr">
        <is>
          <t xml:space="preserve">Representante </t>
        </is>
      </c>
      <c r="G243" s="73" t="inlineStr">
        <is>
          <t>https://juventud.gob.pe/wp-content/uploads/2022/04/BASE-DE-DATOS-ORGANIZACIONES-JUVENILES-E-INSTITUCIONES-PRIVADAS.xlsx</t>
        </is>
      </c>
      <c r="H243" s="73" t="inlineStr">
        <is>
          <t>Ana Luz Sánchez Pajuelo</t>
        </is>
      </c>
      <c r="I243" s="28" t="inlineStr">
        <is>
          <t>No disponible en fuente oficial</t>
        </is>
      </c>
      <c r="J243" s="73" t="inlineStr">
        <is>
          <t>juventud_kollek@hotmail.com</t>
        </is>
      </c>
      <c r="K243" s="73" t="inlineStr">
        <is>
          <t>https://juventud.gob.pe/wp-content/uploads/2022/04/BASE-DE-DATOS-ORGANIZACIONES-JUVENILES-E-INSTITUCIONES-PRIVADAS.xlsx</t>
        </is>
      </c>
      <c r="L243" s="51" t="inlineStr">
        <is>
          <t>CONFIRMADO</t>
        </is>
      </c>
      <c r="M243" s="30" t="n"/>
    </row>
    <row r="244" ht="15.75" customHeight="1" s="182">
      <c r="A244" s="42" t="inlineStr">
        <is>
          <t>Perú</t>
        </is>
      </c>
      <c r="B244" s="15" t="inlineStr">
        <is>
          <t>Sindicatos y confederaciones de trabajadores</t>
        </is>
      </c>
      <c r="C244" s="73" t="inlineStr">
        <is>
          <t>Sindicatos y confederaciones de trabajadores</t>
        </is>
      </c>
      <c r="D244" s="73" t="inlineStr">
        <is>
          <t>Confederación General de Trabajadores del Perú (CGTP)</t>
        </is>
      </c>
      <c r="E244" s="73" t="n"/>
      <c r="F244" s="73" t="inlineStr">
        <is>
          <t>Oficina central / contacto institucional</t>
        </is>
      </c>
      <c r="G244" s="172" t="inlineStr">
        <is>
          <t>https://www.cgtp.org.pe/nuestra-historia/</t>
        </is>
      </c>
      <c r="H244" s="28" t="inlineStr">
        <is>
          <t>No disponible públicamente</t>
        </is>
      </c>
      <c r="I244" s="73" t="inlineStr">
        <is>
          <t>(01) 3637379</t>
        </is>
      </c>
      <c r="J244" s="73" t="inlineStr">
        <is>
          <t>cgtp@cgtp.org.pe</t>
        </is>
      </c>
      <c r="K244" s="18" t="inlineStr">
        <is>
          <t>https://www.cgtp.org.pe/nuestra-historia/</t>
        </is>
      </c>
      <c r="L244" s="51" t="inlineStr">
        <is>
          <t>CONFIRMADO</t>
        </is>
      </c>
      <c r="M244" s="30" t="n"/>
    </row>
    <row r="245" ht="15.75" customHeight="1" s="182">
      <c r="A245" s="42" t="inlineStr">
        <is>
          <t>Perú</t>
        </is>
      </c>
      <c r="B245" s="15" t="inlineStr">
        <is>
          <t>Sindicatos y confederaciones de trabajadores</t>
        </is>
      </c>
      <c r="C245" s="73" t="inlineStr">
        <is>
          <t>Sindicatos y confederaciones de trabajadores</t>
        </is>
      </c>
      <c r="D245" s="73" t="inlineStr">
        <is>
          <t>Central Unitaria de Trabajadores del Perú (CUT)</t>
        </is>
      </c>
      <c r="E245" s="73" t="n"/>
      <c r="F245" s="28" t="inlineStr">
        <is>
          <t>No disponible públicamente</t>
        </is>
      </c>
      <c r="G245" s="173" t="inlineStr">
        <is>
          <t>https://cutperu.org.pe/</t>
        </is>
      </c>
      <c r="H245" s="28" t="inlineStr">
        <is>
          <t>No disponible públicamente</t>
        </is>
      </c>
      <c r="I245" s="174" t="inlineStr">
        <is>
          <t>51 996 079 133</t>
        </is>
      </c>
      <c r="J245" s="183" t="inlineStr">
        <is>
          <t>juliocesarbazan@gmail.com</t>
        </is>
      </c>
      <c r="K245" s="18" t="inlineStr">
        <is>
          <t>https://www.facebook.com/people/Cut-Peru/100075774565988/?sk=about</t>
        </is>
      </c>
      <c r="L245" s="22" t="inlineStr">
        <is>
          <t>CORREGIDO</t>
        </is>
      </c>
      <c r="M245" s="184" t="inlineStr">
        <is>
          <t>Auditoría 08-oct-2026: Texto movido desde celda de email: "juliocesarbazan@gmail.com (encontrado en facebook)"</t>
        </is>
      </c>
    </row>
    <row r="246" ht="15.75" customHeight="1" s="182">
      <c r="A246" s="42" t="inlineStr">
        <is>
          <t>Perú</t>
        </is>
      </c>
      <c r="B246" s="15" t="inlineStr">
        <is>
          <t>Sindicatos y confederaciones de trabajadores</t>
        </is>
      </c>
      <c r="C246" s="73" t="inlineStr">
        <is>
          <t>Sindicatos y confederaciones de trabajadores</t>
        </is>
      </c>
      <c r="D246" s="73" t="inlineStr">
        <is>
          <t>Central Autónoma de Trabajadores del Perú (CATP)</t>
        </is>
      </c>
      <c r="E246" s="73" t="n"/>
      <c r="F246" s="138" t="inlineStr">
        <is>
          <t>Sec general</t>
        </is>
      </c>
      <c r="G246" s="173" t="inlineStr">
        <is>
          <t>http://www.catperu.org.pe/</t>
        </is>
      </c>
      <c r="H246" s="28" t="inlineStr">
        <is>
          <t>No disponible públicamente</t>
        </is>
      </c>
      <c r="I246" s="28" t="inlineStr">
        <is>
          <t>No disponible públicamente</t>
        </is>
      </c>
      <c r="J246" s="73" t="inlineStr">
        <is>
          <t>secretariogeneral@catperu.org.pe</t>
        </is>
      </c>
      <c r="K246" s="18" t="inlineStr">
        <is>
          <t>https://catperu.org.pe/</t>
        </is>
      </c>
      <c r="L246" s="22" t="inlineStr">
        <is>
          <t>CORREGIDO</t>
        </is>
      </c>
      <c r="M246" s="30" t="n"/>
    </row>
    <row r="247" ht="15.75" customHeight="1" s="182">
      <c r="A247" s="42" t="inlineStr">
        <is>
          <t>Perú</t>
        </is>
      </c>
      <c r="B247" s="15" t="inlineStr">
        <is>
          <t>Universidades públicas</t>
        </is>
      </c>
      <c r="C247" s="73" t="inlineStr">
        <is>
          <t>Multidisciplinaria</t>
        </is>
      </c>
      <c r="D247" s="73" t="inlineStr">
        <is>
          <t>Universidad Nacional Mayor de San Marcos</t>
        </is>
      </c>
      <c r="E247" s="73" t="n"/>
      <c r="F247" s="73" t="inlineStr">
        <is>
          <t>Rectorado / Mesa de Partes</t>
        </is>
      </c>
      <c r="G247" s="18" t="inlineStr">
        <is>
          <t>https://www.unmsm.edu.pe/</t>
        </is>
      </c>
      <c r="H247" s="28" t="inlineStr">
        <is>
          <t>No disponible públicamente</t>
        </is>
      </c>
      <c r="I247" s="73" t="inlineStr">
        <is>
          <t>(01) 6197000</t>
        </is>
      </c>
      <c r="J247" s="28" t="inlineStr">
        <is>
          <t>No disponible públicamente</t>
        </is>
      </c>
      <c r="K247" s="18" t="inlineStr">
        <is>
          <t>https://www.unmsm.edu.pe/</t>
        </is>
      </c>
      <c r="L247" s="22" t="inlineStr">
        <is>
          <t>CORREGIDO</t>
        </is>
      </c>
      <c r="M247" s="30" t="n"/>
    </row>
    <row r="248" ht="15.75" customHeight="1" s="182">
      <c r="A248" s="42" t="inlineStr">
        <is>
          <t>Perú</t>
        </is>
      </c>
      <c r="B248" s="15" t="inlineStr">
        <is>
          <t>Universidades públicas</t>
        </is>
      </c>
      <c r="C248" s="73" t="inlineStr">
        <is>
          <t>Multidisciplinaria</t>
        </is>
      </c>
      <c r="D248" s="73" t="inlineStr">
        <is>
          <t>Universidad Nacional de San Cristóbal de Huamanga</t>
        </is>
      </c>
      <c r="E248" s="73" t="n"/>
      <c r="F248" s="73" t="inlineStr">
        <is>
          <t>Rectorado / Mesa de Partes</t>
        </is>
      </c>
      <c r="G248" s="18" t="inlineStr">
        <is>
          <t>https://enlinea.unsch.edu.pe/</t>
        </is>
      </c>
      <c r="H248" s="28" t="inlineStr">
        <is>
          <t>No disponible públicamente</t>
        </is>
      </c>
      <c r="I248" s="28" t="inlineStr">
        <is>
          <t>No disponible públicamente</t>
        </is>
      </c>
      <c r="J248" s="73" t="inlineStr">
        <is>
          <t>unsch@unsch.edu.pe</t>
        </is>
      </c>
      <c r="K248" s="18" t="inlineStr">
        <is>
          <t>https://enlinea.unsch.edu.pe/</t>
        </is>
      </c>
      <c r="L248" s="22" t="inlineStr">
        <is>
          <t>CORREGIDO</t>
        </is>
      </c>
      <c r="M248" s="30" t="n"/>
    </row>
    <row r="249" ht="15.75" customHeight="1" s="182">
      <c r="A249" s="42" t="inlineStr">
        <is>
          <t>Perú</t>
        </is>
      </c>
      <c r="B249" s="15" t="inlineStr">
        <is>
          <t>Universidades públicas</t>
        </is>
      </c>
      <c r="C249" s="73" t="inlineStr">
        <is>
          <t>Multidisciplinaria</t>
        </is>
      </c>
      <c r="D249" s="73" t="inlineStr">
        <is>
          <t>Universidad Nacional de San Antonio Abad del Cusco</t>
        </is>
      </c>
      <c r="E249" s="73" t="n"/>
      <c r="F249" s="73" t="inlineStr">
        <is>
          <t xml:space="preserve">Gestión academica </t>
        </is>
      </c>
      <c r="G249" s="18" t="inlineStr">
        <is>
          <t>https://www.unsaac.edu.pe/</t>
        </is>
      </c>
      <c r="H249" s="28" t="inlineStr">
        <is>
          <t>No disponible públicamente</t>
        </is>
      </c>
      <c r="I249" s="73" t="n">
        <v>989415152</v>
      </c>
      <c r="J249" s="28" t="inlineStr">
        <is>
          <t>No disponible públicamente</t>
        </is>
      </c>
      <c r="K249" s="28" t="inlineStr">
        <is>
          <t>No disponible públicamente</t>
        </is>
      </c>
      <c r="L249" s="22" t="inlineStr">
        <is>
          <t>CORREGIDO</t>
        </is>
      </c>
      <c r="M249" s="30" t="n"/>
    </row>
    <row r="250" ht="15.75" customHeight="1" s="182">
      <c r="A250" s="42" t="inlineStr">
        <is>
          <t>Perú</t>
        </is>
      </c>
      <c r="B250" s="15" t="inlineStr">
        <is>
          <t>Universidades públicas</t>
        </is>
      </c>
      <c r="C250" s="73" t="inlineStr">
        <is>
          <t>Multidisciplinaria</t>
        </is>
      </c>
      <c r="D250" s="73" t="inlineStr">
        <is>
          <t>Universidad Nacional de Trujillo</t>
        </is>
      </c>
      <c r="E250" s="73" t="n"/>
      <c r="F250" s="73" t="inlineStr">
        <is>
          <t>Rectorado / Mesa de Partes</t>
        </is>
      </c>
      <c r="G250" s="28" t="inlineStr">
        <is>
          <t>No disponible públicamente</t>
        </is>
      </c>
      <c r="H250" s="28" t="inlineStr">
        <is>
          <t>No disponible públicamente</t>
        </is>
      </c>
      <c r="I250" s="73" t="inlineStr">
        <is>
          <t>(044) 209020</t>
        </is>
      </c>
      <c r="J250" s="73" t="inlineStr">
        <is>
          <t>tdsgunt@unitru.edu.pe</t>
        </is>
      </c>
      <c r="K250" s="18" t="inlineStr">
        <is>
          <t>https://unitru.edu.pe/</t>
        </is>
      </c>
      <c r="L250" s="22" t="inlineStr">
        <is>
          <t>CORREGIDO</t>
        </is>
      </c>
      <c r="M250" s="30" t="n"/>
    </row>
    <row r="251" ht="15.75" customHeight="1" s="182">
      <c r="A251" s="42" t="inlineStr">
        <is>
          <t>Perú</t>
        </is>
      </c>
      <c r="B251" s="15" t="inlineStr">
        <is>
          <t>Universidades públicas</t>
        </is>
      </c>
      <c r="C251" s="73" t="inlineStr">
        <is>
          <t>Multidisciplinaria</t>
        </is>
      </c>
      <c r="D251" s="73" t="inlineStr">
        <is>
          <t>Universidad Nacional de San Agustín de Arequipa</t>
        </is>
      </c>
      <c r="E251" s="73" t="n"/>
      <c r="F251" s="73" t="inlineStr">
        <is>
          <t>Rectorado / Mesa de Partes</t>
        </is>
      </c>
      <c r="G251" s="18" t="inlineStr">
        <is>
          <t>https://www.unsa.edu.pe/</t>
        </is>
      </c>
      <c r="H251" s="28" t="inlineStr">
        <is>
          <t>No disponible públicamente</t>
        </is>
      </c>
      <c r="I251" s="73" t="inlineStr">
        <is>
          <t>51 54 391911</t>
        </is>
      </c>
      <c r="J251" s="73" t="inlineStr">
        <is>
          <t>rectorado@unsa.edu.pe</t>
        </is>
      </c>
      <c r="K251" s="18" t="inlineStr">
        <is>
          <t>https://www.unsa.edu.pe/</t>
        </is>
      </c>
      <c r="L251" s="22" t="inlineStr">
        <is>
          <t>CORREGIDO</t>
        </is>
      </c>
      <c r="M251" s="30" t="n"/>
    </row>
    <row r="252" ht="15.75" customHeight="1" s="182">
      <c r="A252" s="42" t="inlineStr">
        <is>
          <t>Perú</t>
        </is>
      </c>
      <c r="B252" s="15" t="inlineStr">
        <is>
          <t>Universidades públicas</t>
        </is>
      </c>
      <c r="C252" s="73" t="inlineStr">
        <is>
          <t>Ingeniería y tecnología</t>
        </is>
      </c>
      <c r="D252" s="73" t="inlineStr">
        <is>
          <t>Universidad Nacional de Ingeniería</t>
        </is>
      </c>
      <c r="E252" s="73" t="n"/>
      <c r="F252" s="73" t="inlineStr">
        <is>
          <t>Mesa de Ayuda DIRCE</t>
        </is>
      </c>
      <c r="G252" s="18" t="inlineStr">
        <is>
          <t>https://www.uni.edu.pe/</t>
        </is>
      </c>
      <c r="H252" s="28" t="inlineStr">
        <is>
          <t>No disponible públicamente</t>
        </is>
      </c>
      <c r="I252" s="73" t="inlineStr">
        <is>
          <t xml:space="preserve">(01) 4811070  </t>
        </is>
      </c>
      <c r="J252" s="73" t="inlineStr">
        <is>
          <t>mesadeayuda.dirce@uni.edu.pe</t>
        </is>
      </c>
      <c r="K252" s="33" t="inlineStr">
        <is>
          <t>https://portal.uni.edu.pe/</t>
        </is>
      </c>
      <c r="L252" s="22" t="inlineStr">
        <is>
          <t>CORREGIDO</t>
        </is>
      </c>
      <c r="M252" s="30" t="n"/>
    </row>
    <row r="253" ht="15.75" customHeight="1" s="182">
      <c r="A253" s="42" t="inlineStr">
        <is>
          <t>Perú</t>
        </is>
      </c>
      <c r="B253" s="15" t="inlineStr">
        <is>
          <t>Universidades públicas</t>
        </is>
      </c>
      <c r="C253" s="73" t="inlineStr">
        <is>
          <t>Agraria y ciencias ambientales</t>
        </is>
      </c>
      <c r="D253" s="73" t="inlineStr">
        <is>
          <t>Universidad Nacional Agraria La Molina</t>
        </is>
      </c>
      <c r="E253" s="73" t="n"/>
      <c r="F253" s="73" t="inlineStr">
        <is>
          <t>Mesa de Partes / Transparencia</t>
        </is>
      </c>
      <c r="G253" s="18" t="inlineStr">
        <is>
          <t>https://www.lamolina.edu.pe/</t>
        </is>
      </c>
      <c r="H253" s="28" t="inlineStr">
        <is>
          <t>No disponible públicamente</t>
        </is>
      </c>
      <c r="I253" s="73" t="inlineStr">
        <is>
          <t>614-7800 anexo 211</t>
        </is>
      </c>
      <c r="J253" s="183" t="inlineStr">
        <is>
          <t>rrpp@lamolina.edu.pe</t>
        </is>
      </c>
      <c r="K253" s="18" t="inlineStr">
        <is>
          <t>https://www.lamolina.edu.pe/</t>
        </is>
      </c>
      <c r="L253" s="22" t="inlineStr">
        <is>
          <t>CORREGIDO</t>
        </is>
      </c>
      <c r="M253" s="30" t="n"/>
    </row>
    <row r="254" ht="15.75" customHeight="1" s="182">
      <c r="A254" s="42" t="inlineStr">
        <is>
          <t>Perú</t>
        </is>
      </c>
      <c r="B254" s="15" t="inlineStr">
        <is>
          <t>Universidades públicas</t>
        </is>
      </c>
      <c r="C254" s="73" t="inlineStr">
        <is>
          <t>Multidisciplinaria</t>
        </is>
      </c>
      <c r="D254" s="73" t="inlineStr">
        <is>
          <t>Universidad Nacional San Luis Gonzaga</t>
        </is>
      </c>
      <c r="E254" s="73" t="n"/>
      <c r="F254" s="73" t="n"/>
      <c r="G254" s="73" t="inlineStr">
        <is>
          <t>No disponible públicamente</t>
        </is>
      </c>
      <c r="H254" s="28" t="inlineStr">
        <is>
          <t>No disponible públicamente</t>
        </is>
      </c>
      <c r="I254" s="73" t="inlineStr">
        <is>
          <t>(056) 284399</t>
        </is>
      </c>
      <c r="J254" s="73" t="inlineStr">
        <is>
          <t>mesadepartes@unica.edu.pe</t>
        </is>
      </c>
      <c r="K254" s="18" t="inlineStr">
        <is>
          <t>https://unica.edu.pe/</t>
        </is>
      </c>
      <c r="L254" s="22" t="inlineStr">
        <is>
          <t>CORREGIDO</t>
        </is>
      </c>
      <c r="M254" s="30" t="n"/>
    </row>
    <row r="255" ht="15.75" customHeight="1" s="182">
      <c r="A255" s="42" t="inlineStr">
        <is>
          <t>Perú</t>
        </is>
      </c>
      <c r="B255" s="15" t="inlineStr">
        <is>
          <t>Universidades públicas</t>
        </is>
      </c>
      <c r="C255" s="73" t="inlineStr">
        <is>
          <t>Multidisciplinaria</t>
        </is>
      </c>
      <c r="D255" s="73" t="inlineStr">
        <is>
          <t>Universidad Nacional del Centro del Perú</t>
        </is>
      </c>
      <c r="E255" s="73" t="n"/>
      <c r="F255" s="73" t="inlineStr">
        <is>
          <t>Atención institucional</t>
        </is>
      </c>
      <c r="G255" s="18" t="inlineStr">
        <is>
          <t>https://www.uncp.edu.pe/</t>
        </is>
      </c>
      <c r="H255" s="28" t="inlineStr">
        <is>
          <t>No disponible públicamente</t>
        </is>
      </c>
      <c r="I255" s="73" t="inlineStr">
        <is>
          <t>(064) 481-4600</t>
        </is>
      </c>
      <c r="J255" s="73" t="inlineStr">
        <is>
          <t>DGAUNCP@uncp.edu.pe</t>
        </is>
      </c>
      <c r="K255" s="18" t="inlineStr">
        <is>
          <t>https://uncp.edu.pe/directorio-funcionarios/</t>
        </is>
      </c>
      <c r="L255" s="22" t="inlineStr">
        <is>
          <t>CORREGIDO</t>
        </is>
      </c>
      <c r="M255" s="30" t="n"/>
    </row>
    <row r="256" ht="15.75" customHeight="1" s="182">
      <c r="A256" s="42" t="inlineStr">
        <is>
          <t>Perú</t>
        </is>
      </c>
      <c r="B256" s="15" t="inlineStr">
        <is>
          <t>Universidades públicas</t>
        </is>
      </c>
      <c r="C256" s="73" t="inlineStr">
        <is>
          <t>Amazónica y ciencias ambientales</t>
        </is>
      </c>
      <c r="D256" s="73" t="inlineStr">
        <is>
          <t>Universidad Nacional de la Amazonía Peruana</t>
        </is>
      </c>
      <c r="E256" s="73" t="n"/>
      <c r="F256" s="73" t="inlineStr">
        <is>
          <t>Rectorado / Mesa de Partes</t>
        </is>
      </c>
      <c r="G256" s="18" t="inlineStr">
        <is>
          <t>https://enlinea.unapiquitos.edu.pe/</t>
        </is>
      </c>
      <c r="H256" s="28" t="inlineStr">
        <is>
          <t>No disponible públicamente</t>
        </is>
      </c>
      <c r="I256" s="28" t="inlineStr">
        <is>
          <t>No disponible públicamente</t>
        </is>
      </c>
      <c r="J256" s="73" t="inlineStr">
        <is>
          <t>infounap@unapiquitos.edu.pe</t>
        </is>
      </c>
      <c r="K256" s="18" t="inlineStr">
        <is>
          <t>https://enlinea.unapiquitos.edu.pe/</t>
        </is>
      </c>
      <c r="L256" s="22" t="inlineStr">
        <is>
          <t>CORREGIDO</t>
        </is>
      </c>
      <c r="M256" s="30" t="n"/>
    </row>
    <row r="257" ht="15.75" customHeight="1" s="182">
      <c r="A257" s="42" t="inlineStr">
        <is>
          <t>Perú</t>
        </is>
      </c>
      <c r="B257" s="15" t="inlineStr">
        <is>
          <t>Universidades públicas</t>
        </is>
      </c>
      <c r="C257" s="73" t="inlineStr">
        <is>
          <t>Multidisciplinaria</t>
        </is>
      </c>
      <c r="D257" s="73" t="inlineStr">
        <is>
          <t>Universidad Nacional del Altiplano</t>
        </is>
      </c>
      <c r="E257" s="73" t="n"/>
      <c r="F257" s="73" t="inlineStr">
        <is>
          <t>Rectorado / Mesa de Partes</t>
        </is>
      </c>
      <c r="G257" s="18" t="inlineStr">
        <is>
          <t>https://portal.unap.edu.pe/</t>
        </is>
      </c>
      <c r="H257" s="28" t="inlineStr">
        <is>
          <t>No disponible públicamente</t>
        </is>
      </c>
      <c r="I257" s="28" t="inlineStr">
        <is>
          <t>No disponible públicamente</t>
        </is>
      </c>
      <c r="J257" s="183" t="inlineStr">
        <is>
          <t>oimagenc@unap.edu.pe</t>
        </is>
      </c>
      <c r="K257" s="18" t="inlineStr">
        <is>
          <t>https://portal.unap.edu.pe/</t>
        </is>
      </c>
      <c r="L257" s="22" t="inlineStr">
        <is>
          <t>CORREGIDO</t>
        </is>
      </c>
      <c r="M257" s="30" t="n"/>
    </row>
    <row r="258" ht="15.75" customHeight="1" s="182">
      <c r="A258" s="42" t="inlineStr">
        <is>
          <t>Perú</t>
        </is>
      </c>
      <c r="B258" s="15" t="inlineStr">
        <is>
          <t>Universidades públicas</t>
        </is>
      </c>
      <c r="C258" s="73" t="inlineStr">
        <is>
          <t>Multidisciplinaria</t>
        </is>
      </c>
      <c r="D258" s="73" t="inlineStr">
        <is>
          <t>Universidad Nacional de Piura</t>
        </is>
      </c>
      <c r="E258" s="73" t="n"/>
      <c r="F258" s="73" t="inlineStr">
        <is>
          <t>Trámite Documentario Virtual</t>
        </is>
      </c>
      <c r="G258" s="18" t="inlineStr">
        <is>
          <t>https://www.unp.edu.pe/</t>
        </is>
      </c>
      <c r="H258" s="28" t="inlineStr">
        <is>
          <t>No disponible públicamente</t>
        </is>
      </c>
      <c r="I258" s="73" t="inlineStr">
        <is>
          <t>(+51 73) 433075</t>
        </is>
      </c>
      <c r="J258" s="73" t="inlineStr">
        <is>
          <t>tramitedocumentariovirtual@unp.edu.pe</t>
        </is>
      </c>
      <c r="K258" s="18" t="inlineStr">
        <is>
          <t>https://www.unp.edu.pe/</t>
        </is>
      </c>
      <c r="L258" s="22" t="inlineStr">
        <is>
          <t>CORREGIDO</t>
        </is>
      </c>
      <c r="M258" s="30" t="n"/>
    </row>
    <row r="259" ht="15.75" customHeight="1" s="182">
      <c r="A259" s="42" t="inlineStr">
        <is>
          <t>Perú</t>
        </is>
      </c>
      <c r="B259" s="15" t="inlineStr">
        <is>
          <t>Universidades públicas</t>
        </is>
      </c>
      <c r="C259" s="73" t="inlineStr">
        <is>
          <t>Multidisciplinaria</t>
        </is>
      </c>
      <c r="D259" s="73" t="inlineStr">
        <is>
          <t>Universidad Nacional de Cajamarca</t>
        </is>
      </c>
      <c r="E259" s="73" t="n"/>
      <c r="F259" s="73" t="inlineStr">
        <is>
          <t>Mesa de Partes / Rectorado</t>
        </is>
      </c>
      <c r="G259" s="18" t="inlineStr">
        <is>
          <t>https://www.unc.edu.pe/</t>
        </is>
      </c>
      <c r="H259" s="28" t="inlineStr">
        <is>
          <t>No disponible públicamente</t>
        </is>
      </c>
      <c r="I259" s="73" t="inlineStr">
        <is>
          <t>076 610000</t>
        </is>
      </c>
      <c r="J259" s="73" t="inlineStr">
        <is>
          <t>mesadepartes@unc.edu.pe</t>
        </is>
      </c>
      <c r="K259" s="18" t="inlineStr">
        <is>
          <t>https://www.unc.edu.pe/</t>
        </is>
      </c>
      <c r="L259" s="22" t="inlineStr">
        <is>
          <t>CORREGIDO</t>
        </is>
      </c>
      <c r="M259" s="30" t="n"/>
    </row>
    <row r="260" ht="15.75" customHeight="1" s="182">
      <c r="A260" s="42" t="inlineStr">
        <is>
          <t>Perú</t>
        </is>
      </c>
      <c r="B260" s="15" t="inlineStr">
        <is>
          <t>Universidades públicas</t>
        </is>
      </c>
      <c r="C260" s="73" t="inlineStr">
        <is>
          <t>Multidisciplinaria</t>
        </is>
      </c>
      <c r="D260" s="73" t="inlineStr">
        <is>
          <t>Universidad Nacional Federico Villarreal</t>
        </is>
      </c>
      <c r="E260" s="73" t="n"/>
      <c r="F260" s="73" t="inlineStr">
        <is>
          <t>Oficina de Trámite Documentario</t>
        </is>
      </c>
      <c r="G260" s="18" t="inlineStr">
        <is>
          <t>https://www.unfv.edu.pe/</t>
        </is>
      </c>
      <c r="H260" s="28" t="inlineStr">
        <is>
          <t>No disponible públicamente</t>
        </is>
      </c>
      <c r="I260" s="73" t="inlineStr">
        <is>
          <t>01 7480888</t>
        </is>
      </c>
      <c r="J260" s="73" t="inlineStr">
        <is>
          <t>otd.sg@unfv.edu.pe</t>
        </is>
      </c>
      <c r="K260" s="18" t="inlineStr">
        <is>
          <t>https://www.unfv.edu.pe/</t>
        </is>
      </c>
      <c r="L260" s="22" t="inlineStr">
        <is>
          <t>CORREGIDO</t>
        </is>
      </c>
      <c r="M260" s="30" t="n"/>
    </row>
    <row r="261" ht="15.75" customHeight="1" s="182">
      <c r="A261" s="42" t="inlineStr">
        <is>
          <t>Perú</t>
        </is>
      </c>
      <c r="B261" s="15" t="inlineStr">
        <is>
          <t>Universidades públicas</t>
        </is>
      </c>
      <c r="C261" s="73" t="inlineStr">
        <is>
          <t>Agraria y ciencias ambientales</t>
        </is>
      </c>
      <c r="D261" s="73" t="inlineStr">
        <is>
          <t>Universidad Nacional Agraria de la Selva</t>
        </is>
      </c>
      <c r="E261" s="73" t="n"/>
      <c r="F261" s="73" t="inlineStr">
        <is>
          <t>Rectorado / Mesa de Partes</t>
        </is>
      </c>
      <c r="G261" s="18" t="inlineStr">
        <is>
          <t>https://www.gob.pe/institucion/unas/contacto-y-numeros-de-emergencias</t>
        </is>
      </c>
      <c r="H261" s="28" t="inlineStr">
        <is>
          <t>No disponible públicamente</t>
        </is>
      </c>
      <c r="I261" s="73" t="inlineStr">
        <is>
          <t>062-562702</t>
        </is>
      </c>
      <c r="J261" s="138" t="inlineStr">
        <is>
          <t>mesadepartes@unas.edu.pe</t>
        </is>
      </c>
      <c r="K261" s="18" t="inlineStr">
        <is>
          <t>https://www.gob.pe/institucion/unas/contacto-y-numeros-de-emergencias</t>
        </is>
      </c>
      <c r="L261" s="22" t="inlineStr">
        <is>
          <t>CORREGIDO</t>
        </is>
      </c>
      <c r="M261" s="30" t="n"/>
    </row>
    <row r="262" ht="15.75" customHeight="1" s="182">
      <c r="A262" s="42" t="inlineStr">
        <is>
          <t>Perú</t>
        </is>
      </c>
      <c r="B262" s="15" t="inlineStr">
        <is>
          <t>Universidades públicas</t>
        </is>
      </c>
      <c r="C262" s="73" t="inlineStr">
        <is>
          <t>Multidisciplinaria</t>
        </is>
      </c>
      <c r="D262" s="73" t="inlineStr">
        <is>
          <t>Universidad Nacional Hermilio Valdizán de Huánuco</t>
        </is>
      </c>
      <c r="E262" s="73" t="n"/>
      <c r="F262" s="73" t="inlineStr">
        <is>
          <t>Rectorado / Mesa de Partes</t>
        </is>
      </c>
      <c r="G262" s="18" t="inlineStr">
        <is>
          <t>https://unheval.edu.pe/portal/</t>
        </is>
      </c>
      <c r="H262" s="28" t="inlineStr">
        <is>
          <t>No disponible públicamente</t>
        </is>
      </c>
      <c r="I262" s="28" t="inlineStr">
        <is>
          <t>No disponible públicamente</t>
        </is>
      </c>
      <c r="J262" s="183" t="inlineStr">
        <is>
          <t>rectorado@unheval.edu.pe</t>
        </is>
      </c>
      <c r="K262" s="18" t="inlineStr">
        <is>
          <t>https://unheval.edu.pe/portal/</t>
        </is>
      </c>
      <c r="L262" s="22" t="inlineStr">
        <is>
          <t>CORREGIDO</t>
        </is>
      </c>
      <c r="M262" s="30" t="n"/>
    </row>
    <row r="263" ht="15.75" customHeight="1" s="182">
      <c r="A263" s="42" t="inlineStr">
        <is>
          <t>Perú</t>
        </is>
      </c>
      <c r="B263" s="15" t="inlineStr">
        <is>
          <t>Universidades públicas</t>
        </is>
      </c>
      <c r="C263" s="73" t="inlineStr">
        <is>
          <t>Educación y pedagogía</t>
        </is>
      </c>
      <c r="D263" s="73" t="inlineStr">
        <is>
          <t>Universidad Nacional de Educación Enrique Guzmán y Valle</t>
        </is>
      </c>
      <c r="E263" s="73" t="n"/>
      <c r="F263" s="73" t="inlineStr">
        <is>
          <t>Rectorado / Mesa de Partes</t>
        </is>
      </c>
      <c r="G263" s="18" t="inlineStr">
        <is>
          <t>https://www.une.edu.pe/uneweb/</t>
        </is>
      </c>
      <c r="H263" s="28" t="inlineStr">
        <is>
          <t>No disponible públicamente</t>
        </is>
      </c>
      <c r="I263" s="73" t="n">
        <v>3133700</v>
      </c>
      <c r="J263" s="28" t="inlineStr">
        <is>
          <t>No disponible públicamente</t>
        </is>
      </c>
      <c r="K263" s="18" t="inlineStr">
        <is>
          <t>https://www.une.edu.pe/uneweb/</t>
        </is>
      </c>
      <c r="L263" s="22" t="inlineStr">
        <is>
          <t>CORREGIDO</t>
        </is>
      </c>
      <c r="M263" s="30" t="n"/>
    </row>
    <row r="264" ht="15.75" customHeight="1" s="182">
      <c r="A264" s="42" t="inlineStr">
        <is>
          <t>Perú</t>
        </is>
      </c>
      <c r="B264" s="56" t="inlineStr">
        <is>
          <t>Universidades públicas</t>
        </is>
      </c>
      <c r="C264" s="80" t="inlineStr">
        <is>
          <t>Multidisciplinaria</t>
        </is>
      </c>
      <c r="D264" s="80" t="inlineStr">
        <is>
          <t>Universidad Nacional Daniel Alcides Carrión</t>
        </is>
      </c>
      <c r="E264" s="80" t="n"/>
      <c r="F264" s="80" t="inlineStr">
        <is>
          <t>Rectorado / Mesa de Partes</t>
        </is>
      </c>
      <c r="G264" s="95" t="inlineStr">
        <is>
          <t>https://undac.edu.pe/</t>
        </is>
      </c>
      <c r="H264" s="28" t="inlineStr">
        <is>
          <t>No disponible públicamente</t>
        </is>
      </c>
      <c r="I264" s="81" t="inlineStr">
        <is>
          <t>No disponible públicamente</t>
        </is>
      </c>
      <c r="J264" s="80" t="inlineStr">
        <is>
          <t>atencion@undac.edu.pe</t>
        </is>
      </c>
      <c r="K264" s="95" t="inlineStr">
        <is>
          <t>https://undac.edu.pe/</t>
        </is>
      </c>
      <c r="L264" s="22" t="inlineStr">
        <is>
          <t>CORREGIDO</t>
        </is>
      </c>
      <c r="M264" s="82" t="n"/>
    </row>
    <row r="265" ht="15.75" customHeight="1" s="182">
      <c r="A265" s="42" t="inlineStr">
        <is>
          <t>Perú</t>
        </is>
      </c>
      <c r="B265" s="56" t="inlineStr">
        <is>
          <t>Universidades públicas</t>
        </is>
      </c>
      <c r="C265" s="98" t="inlineStr">
        <is>
          <t>Multidisciplinaria</t>
        </is>
      </c>
      <c r="D265" s="98" t="inlineStr">
        <is>
          <t>Universidad Nacional del Callao</t>
        </is>
      </c>
      <c r="E265" s="98" t="n"/>
      <c r="F265" s="98" t="inlineStr">
        <is>
          <t>Rectorado / Mesa de Partes</t>
        </is>
      </c>
      <c r="G265" s="100" t="inlineStr">
        <is>
          <t>https://unac.edu.pe/</t>
        </is>
      </c>
      <c r="H265" s="28" t="inlineStr">
        <is>
          <t>No disponible públicamente</t>
        </is>
      </c>
      <c r="I265" s="98" t="inlineStr">
        <is>
          <t>429-6609 / 429-9899</t>
        </is>
      </c>
      <c r="J265" s="98" t="inlineStr">
        <is>
          <t>ocii.informes@unac.pe</t>
        </is>
      </c>
      <c r="K265" s="100" t="inlineStr">
        <is>
          <t>https://unac.edu.pe/</t>
        </is>
      </c>
      <c r="L265" s="22" t="inlineStr">
        <is>
          <t>CORREGIDO</t>
        </is>
      </c>
      <c r="M265" s="86" t="n"/>
    </row>
    <row r="266" ht="15.75" customHeight="1" s="182">
      <c r="A266" s="42" t="inlineStr">
        <is>
          <t>Perú</t>
        </is>
      </c>
      <c r="B266" s="56" t="inlineStr">
        <is>
          <t>Universidades públicas</t>
        </is>
      </c>
      <c r="C266" s="98" t="inlineStr">
        <is>
          <t>Multidisciplinaria</t>
        </is>
      </c>
      <c r="D266" s="98" t="inlineStr">
        <is>
          <t>Universidad Nacional José Faustino Sánchez Carrión</t>
        </is>
      </c>
      <c r="E266" s="98" t="n"/>
      <c r="F266" s="98" t="inlineStr">
        <is>
          <t>Rectorado / Mesa de Partes</t>
        </is>
      </c>
      <c r="G266" s="98" t="inlineStr">
        <is>
          <t>No disponible públicamente</t>
        </is>
      </c>
      <c r="H266" s="28" t="inlineStr">
        <is>
          <t>No disponible públicamente</t>
        </is>
      </c>
      <c r="I266" s="98" t="inlineStr">
        <is>
          <t>01-2322918</t>
        </is>
      </c>
      <c r="J266" s="98" t="inlineStr">
        <is>
          <t>rectorado@unjfsc.edu.pe</t>
        </is>
      </c>
      <c r="K266" s="100" t="inlineStr">
        <is>
          <t>https://www.gob.pe/institucion/unjfsc/contacto-y-numeros-de-emergencias</t>
        </is>
      </c>
      <c r="L266" s="22" t="inlineStr">
        <is>
          <t>CORREGIDO</t>
        </is>
      </c>
      <c r="M266" s="86" t="n"/>
    </row>
    <row r="267" ht="15.75" customHeight="1" s="182">
      <c r="A267" s="42" t="inlineStr">
        <is>
          <t>Perú</t>
        </is>
      </c>
      <c r="B267" s="56" t="inlineStr">
        <is>
          <t>Universidades públicas</t>
        </is>
      </c>
      <c r="C267" s="98" t="inlineStr">
        <is>
          <t>Multidisciplinaria</t>
        </is>
      </c>
      <c r="D267" s="98" t="inlineStr">
        <is>
          <t>Universidad Nacional Pedro Ruiz Gallo</t>
        </is>
      </c>
      <c r="E267" s="98" t="n"/>
      <c r="F267" s="98" t="inlineStr">
        <is>
          <t>Rectorado / Mesa de Partes</t>
        </is>
      </c>
      <c r="G267" s="100" t="inlineStr">
        <is>
          <t>https://www.unprg.edu.pe/univ/portal/index.php</t>
        </is>
      </c>
      <c r="H267" s="28" t="inlineStr">
        <is>
          <t>No disponible públicamente</t>
        </is>
      </c>
      <c r="I267" s="181" t="inlineStr">
        <is>
          <t>No disponible públicamente</t>
        </is>
      </c>
      <c r="J267" s="199" t="inlineStr">
        <is>
          <t>mesadepartes_secretariageneral@unprg.edu.pe</t>
        </is>
      </c>
      <c r="K267" s="100" t="inlineStr">
        <is>
          <t>https://www.unprg.edu.pe/univ/portal/index.php</t>
        </is>
      </c>
      <c r="L267" s="22" t="inlineStr">
        <is>
          <t>CORREGIDO</t>
        </is>
      </c>
      <c r="M267" s="86" t="n"/>
    </row>
    <row r="268" ht="15.75" customHeight="1" s="182">
      <c r="A268" s="42" t="inlineStr">
        <is>
          <t>Perú</t>
        </is>
      </c>
      <c r="B268" s="56" t="inlineStr">
        <is>
          <t>Universidades públicas</t>
        </is>
      </c>
      <c r="C268" s="98" t="inlineStr">
        <is>
          <t>Multidisciplinaria</t>
        </is>
      </c>
      <c r="D268" s="98" t="inlineStr">
        <is>
          <t>Universidad Nacional Jorge Basadre Grohmann</t>
        </is>
      </c>
      <c r="E268" s="98" t="n"/>
      <c r="F268" s="98" t="inlineStr">
        <is>
          <t>Rectorado / Mesa de Partes</t>
        </is>
      </c>
      <c r="G268" s="100" t="inlineStr">
        <is>
          <t>https://www.unjbg.edu.pe/</t>
        </is>
      </c>
      <c r="H268" s="28" t="inlineStr">
        <is>
          <t>No disponible públicamente</t>
        </is>
      </c>
      <c r="I268" s="177" t="inlineStr">
        <is>
          <t>(052) 583000</t>
        </is>
      </c>
      <c r="J268" s="98" t="inlineStr">
        <is>
          <t>directorio en el link</t>
        </is>
      </c>
      <c r="K268" s="100" t="inlineStr">
        <is>
          <t>https://www.unjbg.edu.pe/</t>
        </is>
      </c>
      <c r="L268" s="22" t="inlineStr">
        <is>
          <t>CORREGIDO</t>
        </is>
      </c>
      <c r="M268" s="86" t="n"/>
    </row>
    <row r="269" ht="15.75" customHeight="1" s="182">
      <c r="A269" s="42" t="inlineStr">
        <is>
          <t>Perú</t>
        </is>
      </c>
      <c r="B269" s="56" t="inlineStr">
        <is>
          <t>Universidades públicas</t>
        </is>
      </c>
      <c r="C269" s="98" t="inlineStr">
        <is>
          <t>Multidisciplinaria</t>
        </is>
      </c>
      <c r="D269" s="98" t="inlineStr">
        <is>
          <t>Universidad Nacional Santiago Antúnez de Mayolo</t>
        </is>
      </c>
      <c r="E269" s="98" t="n"/>
      <c r="F269" s="98" t="inlineStr">
        <is>
          <t>Rectorado / Mesa de Partes</t>
        </is>
      </c>
      <c r="G269" s="100" t="inlineStr">
        <is>
          <t>https://unasam.edu.pe/</t>
        </is>
      </c>
      <c r="H269" s="28" t="inlineStr">
        <is>
          <t>No disponible públicamente</t>
        </is>
      </c>
      <c r="I269" s="98" t="inlineStr">
        <is>
          <t>(043) 640-020</t>
        </is>
      </c>
      <c r="J269" s="98" t="inlineStr">
        <is>
          <t>No disponible públicamente</t>
        </is>
      </c>
      <c r="K269" s="100" t="inlineStr">
        <is>
          <t>https://unasam.edu.pe/</t>
        </is>
      </c>
      <c r="L269" s="22" t="inlineStr">
        <is>
          <t>CORREGIDO</t>
        </is>
      </c>
      <c r="M269" s="86" t="n"/>
    </row>
    <row r="270" ht="15.75" customHeight="1" s="182">
      <c r="A270" s="42" t="inlineStr">
        <is>
          <t>Perú</t>
        </is>
      </c>
      <c r="B270" s="56" t="inlineStr">
        <is>
          <t>Universidades públicas</t>
        </is>
      </c>
      <c r="C270" s="98" t="inlineStr">
        <is>
          <t>Multidisciplinaria</t>
        </is>
      </c>
      <c r="D270" s="98" t="inlineStr">
        <is>
          <t>Universidad Nacional de San Martín</t>
        </is>
      </c>
      <c r="E270" s="98" t="n"/>
      <c r="F270" s="98" t="inlineStr">
        <is>
          <t>Dirección de Admisión</t>
        </is>
      </c>
      <c r="G270" s="100" t="inlineStr">
        <is>
          <t>https://www.unsm.edu.pe/</t>
        </is>
      </c>
      <c r="H270" s="28" t="inlineStr">
        <is>
          <t>No disponible públicamente</t>
        </is>
      </c>
      <c r="I270" s="98" t="inlineStr">
        <is>
          <t>(+51) (042) 48 0153</t>
        </is>
      </c>
      <c r="J270" s="98" t="inlineStr">
        <is>
          <t>informes@unsm.edu.pe</t>
        </is>
      </c>
      <c r="K270" s="100" t="inlineStr">
        <is>
          <t>https://unsm.edu.pe/contacto/</t>
        </is>
      </c>
      <c r="L270" s="22" t="inlineStr">
        <is>
          <t>CORREGIDO</t>
        </is>
      </c>
      <c r="M270" s="86" t="n"/>
    </row>
    <row r="271" ht="15.75" customHeight="1" s="182">
      <c r="A271" s="42" t="inlineStr">
        <is>
          <t>Perú</t>
        </is>
      </c>
      <c r="B271" s="56" t="inlineStr">
        <is>
          <t>Universidades públicas</t>
        </is>
      </c>
      <c r="C271" s="98" t="inlineStr">
        <is>
          <t>Amazónica y ciencias ambientales</t>
        </is>
      </c>
      <c r="D271" s="98" t="inlineStr">
        <is>
          <t>Universidad Nacional de Ucayali</t>
        </is>
      </c>
      <c r="E271" s="98" t="n"/>
      <c r="F271" s="98" t="inlineStr">
        <is>
          <t>Rectorado / Mesa de Partes</t>
        </is>
      </c>
      <c r="G271" s="100" t="inlineStr">
        <is>
          <t>https://unu.edu.pe/portal/index.php</t>
        </is>
      </c>
      <c r="H271" s="28" t="inlineStr">
        <is>
          <t>No disponible públicamente</t>
        </is>
      </c>
      <c r="I271" s="98" t="inlineStr">
        <is>
          <t>061-579962</t>
        </is>
      </c>
      <c r="J271" s="98" t="inlineStr">
        <is>
          <t>mesadepartes@unu.edu.pe</t>
        </is>
      </c>
      <c r="K271" s="100" t="inlineStr">
        <is>
          <t>https://unu.edu.pe/portal/index.php</t>
        </is>
      </c>
      <c r="L271" s="22" t="inlineStr">
        <is>
          <t>CORREGIDO</t>
        </is>
      </c>
      <c r="M271" s="86" t="n"/>
    </row>
    <row r="272" ht="15.75" customHeight="1" s="182">
      <c r="A272" s="42" t="inlineStr">
        <is>
          <t>Perú</t>
        </is>
      </c>
      <c r="B272" s="56" t="inlineStr">
        <is>
          <t>Universidades públicas</t>
        </is>
      </c>
      <c r="C272" s="98" t="inlineStr">
        <is>
          <t>Multidisciplinaria</t>
        </is>
      </c>
      <c r="D272" s="98" t="inlineStr">
        <is>
          <t>Universidad Nacional de Tumbes</t>
        </is>
      </c>
      <c r="E272" s="98" t="n"/>
      <c r="F272" s="98" t="inlineStr">
        <is>
          <t>Central / atención institucional</t>
        </is>
      </c>
      <c r="G272" s="100" t="inlineStr">
        <is>
          <t>https://untumbes.edu.pe/</t>
        </is>
      </c>
      <c r="H272" s="28" t="inlineStr">
        <is>
          <t>No disponible públicamente</t>
        </is>
      </c>
      <c r="I272" s="98" t="inlineStr">
        <is>
          <t>072-522810 / 072-523441 / 072-522695</t>
        </is>
      </c>
      <c r="J272" s="98" t="inlineStr">
        <is>
          <t>rectorado@untumbes.edu.pe</t>
        </is>
      </c>
      <c r="K272" s="100" t="inlineStr">
        <is>
          <t>https://untumbes.edu.pe/view_content.php?l=1&amp;m=67</t>
        </is>
      </c>
      <c r="L272" s="22" t="inlineStr">
        <is>
          <t>CORREGIDO</t>
        </is>
      </c>
      <c r="M272" s="86" t="n"/>
    </row>
    <row r="273" ht="15.75" customHeight="1" s="182">
      <c r="A273" s="42" t="inlineStr">
        <is>
          <t>Perú</t>
        </is>
      </c>
      <c r="B273" s="56" t="inlineStr">
        <is>
          <t>Universidades públicas</t>
        </is>
      </c>
      <c r="C273" s="98" t="inlineStr">
        <is>
          <t>Multidisciplinaria</t>
        </is>
      </c>
      <c r="D273" s="98" t="inlineStr">
        <is>
          <t>Universidad Nacional del Santa</t>
        </is>
      </c>
      <c r="E273" s="98" t="n"/>
      <c r="F273" s="98" t="inlineStr">
        <is>
          <t>Rectorado / Central Telefónica</t>
        </is>
      </c>
      <c r="G273" s="100" t="inlineStr">
        <is>
          <t>https://pure.uns.edu.pe/es/</t>
        </is>
      </c>
      <c r="H273" s="28" t="inlineStr">
        <is>
          <t>No disponible públicamente</t>
        </is>
      </c>
      <c r="I273" s="28" t="inlineStr">
        <is>
          <t>No disponible públicamente</t>
        </is>
      </c>
      <c r="J273" s="28" t="inlineStr">
        <is>
          <t>No disponible públicamente</t>
        </is>
      </c>
      <c r="K273" s="100" t="inlineStr">
        <is>
          <t>https://pure.uns.edu.pe/es/</t>
        </is>
      </c>
      <c r="L273" s="22" t="inlineStr">
        <is>
          <t>CORREGIDO</t>
        </is>
      </c>
      <c r="M273" s="86" t="n"/>
    </row>
    <row r="274" ht="15.75" customHeight="1" s="182">
      <c r="A274" s="42" t="inlineStr">
        <is>
          <t>Perú</t>
        </is>
      </c>
      <c r="B274" s="56" t="inlineStr">
        <is>
          <t>Universidades públicas</t>
        </is>
      </c>
      <c r="C274" s="98" t="inlineStr">
        <is>
          <t>Multidisciplinaria</t>
        </is>
      </c>
      <c r="D274" s="98" t="inlineStr">
        <is>
          <t>Universidad Nacional de Huancavelica</t>
        </is>
      </c>
      <c r="E274" s="98" t="n"/>
      <c r="F274" s="98" t="inlineStr">
        <is>
          <t>Mesa de Partes</t>
        </is>
      </c>
      <c r="G274" s="100" t="inlineStr">
        <is>
          <t>https://www.unh.edu.pe/</t>
        </is>
      </c>
      <c r="H274" s="28" t="inlineStr">
        <is>
          <t>No disponible públicamente</t>
        </is>
      </c>
      <c r="I274" s="98" t="n">
        <v>950202764</v>
      </c>
      <c r="J274" s="28" t="inlineStr">
        <is>
          <t>No disponible públicamente</t>
        </is>
      </c>
      <c r="K274" s="98" t="inlineStr">
        <is>
          <t>https://www.unh.edu.pe/</t>
        </is>
      </c>
      <c r="L274" s="22" t="inlineStr">
        <is>
          <t>CORREGIDO</t>
        </is>
      </c>
      <c r="M274" s="86" t="n"/>
    </row>
    <row r="275" ht="15.75" customHeight="1" s="182">
      <c r="A275" s="42" t="inlineStr">
        <is>
          <t>Perú</t>
        </is>
      </c>
      <c r="B275" s="56" t="inlineStr">
        <is>
          <t>Universidades públicas</t>
        </is>
      </c>
      <c r="C275" s="98" t="inlineStr">
        <is>
          <t>Amazónica y ciencias ambientales</t>
        </is>
      </c>
      <c r="D275" s="98" t="inlineStr">
        <is>
          <t>Universidad Nacional Amazónica de Madre de Dios</t>
        </is>
      </c>
      <c r="E275" s="98" t="n"/>
      <c r="F275" s="98" t="inlineStr">
        <is>
          <t>Rectorado / Mesa de Partes</t>
        </is>
      </c>
      <c r="G275" s="100" t="inlineStr">
        <is>
          <t>https://portal.unamad.edu.pe/</t>
        </is>
      </c>
      <c r="H275" s="28" t="inlineStr">
        <is>
          <t>No disponible públicamente</t>
        </is>
      </c>
      <c r="I275" s="177" t="inlineStr">
        <is>
          <t>51 993 115 418</t>
        </is>
      </c>
      <c r="J275" s="98" t="inlineStr">
        <is>
          <t>tramite-documentario@unamad.edu.pe</t>
        </is>
      </c>
      <c r="K275" s="100" t="inlineStr">
        <is>
          <t>https://portal.unamad.edu.pe/</t>
        </is>
      </c>
      <c r="L275" s="22" t="inlineStr">
        <is>
          <t>CORREGIDO</t>
        </is>
      </c>
      <c r="M275" s="86" t="n"/>
    </row>
    <row r="276" ht="15.75" customHeight="1" s="182">
      <c r="A276" s="42" t="inlineStr">
        <is>
          <t>Perú</t>
        </is>
      </c>
      <c r="B276" s="56" t="inlineStr">
        <is>
          <t>Universidades públicas</t>
        </is>
      </c>
      <c r="C276" s="98" t="inlineStr">
        <is>
          <t>Multidisciplinaria</t>
        </is>
      </c>
      <c r="D276" s="98" t="inlineStr">
        <is>
          <t>Universidad Nacional Toribio Rodríguez de Mendoza de Amazonas</t>
        </is>
      </c>
      <c r="E276" s="98" t="n"/>
      <c r="F276" s="98" t="inlineStr">
        <is>
          <t>Rectorado / Mesa de Partes</t>
        </is>
      </c>
      <c r="G276" s="100" t="inlineStr">
        <is>
          <t>https://untrm.edu.pe/buzon-de-sugerencias/</t>
        </is>
      </c>
      <c r="H276" s="28" t="inlineStr">
        <is>
          <t>No disponible públicamente</t>
        </is>
      </c>
      <c r="I276" s="177" t="inlineStr">
        <is>
          <t>041-636401</t>
        </is>
      </c>
      <c r="J276" s="28" t="inlineStr">
        <is>
          <t>No disponible públicamente</t>
        </is>
      </c>
      <c r="K276" s="100" t="inlineStr">
        <is>
          <t>https://untrm.edu.pe/buzon-de-sugerencias/</t>
        </is>
      </c>
      <c r="L276" s="22" t="inlineStr">
        <is>
          <t>CORREGIDO</t>
        </is>
      </c>
      <c r="M276" s="86" t="n"/>
    </row>
    <row r="277" ht="15.75" customHeight="1" s="182">
      <c r="A277" s="42" t="inlineStr">
        <is>
          <t>Perú</t>
        </is>
      </c>
      <c r="B277" s="56" t="inlineStr">
        <is>
          <t>Universidades públicas</t>
        </is>
      </c>
      <c r="C277" s="98" t="inlineStr">
        <is>
          <t>Multidisciplinaria</t>
        </is>
      </c>
      <c r="D277" s="98" t="inlineStr">
        <is>
          <t>Universidad Nacional Micaela Bastidas de Apurímac</t>
        </is>
      </c>
      <c r="E277" s="98" t="n"/>
      <c r="F277" s="98" t="inlineStr">
        <is>
          <t>Rectorado / Mesa de Partes</t>
        </is>
      </c>
      <c r="G277" s="100" t="inlineStr">
        <is>
          <t>https://www.unamba.edu.pe/</t>
        </is>
      </c>
      <c r="H277" s="28" t="inlineStr">
        <is>
          <t>No disponible públicamente</t>
        </is>
      </c>
      <c r="I277" s="98" t="inlineStr">
        <is>
          <t>(083) 690613</t>
        </is>
      </c>
      <c r="J277" s="98" t="inlineStr">
        <is>
          <t>mesa_ayuda@unamba.edu.pe</t>
        </is>
      </c>
      <c r="K277" s="100" t="inlineStr">
        <is>
          <t>https://www.unamba.edu.pe/</t>
        </is>
      </c>
      <c r="L277" s="22" t="inlineStr">
        <is>
          <t>CORREGIDO</t>
        </is>
      </c>
      <c r="M277" s="86" t="n"/>
    </row>
    <row r="278" ht="15.75" customHeight="1" s="182">
      <c r="A278" s="42" t="inlineStr">
        <is>
          <t>Perú</t>
        </is>
      </c>
      <c r="B278" s="56" t="inlineStr">
        <is>
          <t>Universidades públicas</t>
        </is>
      </c>
      <c r="C278" s="98" t="inlineStr">
        <is>
          <t>Intercultural y amazónica</t>
        </is>
      </c>
      <c r="D278" s="98" t="inlineStr">
        <is>
          <t>Universidad Nacional Intercultural de la Amazonía</t>
        </is>
      </c>
      <c r="E278" s="98" t="n"/>
      <c r="F278" s="98" t="inlineStr">
        <is>
          <t>Rectorado / Mesa de Partes</t>
        </is>
      </c>
      <c r="G278" s="100" t="inlineStr">
        <is>
          <t>https://unia.edu.pe/contacto/</t>
        </is>
      </c>
      <c r="H278" s="28" t="inlineStr">
        <is>
          <t>No disponible públicamente</t>
        </is>
      </c>
      <c r="I278" s="28" t="inlineStr">
        <is>
          <t>No disponible públicamente</t>
        </is>
      </c>
      <c r="J278" s="98" t="inlineStr">
        <is>
          <t>mesadepartes@unia.edu.pe</t>
        </is>
      </c>
      <c r="K278" s="100" t="inlineStr">
        <is>
          <t>https://unia.edu.pe/contacto/</t>
        </is>
      </c>
      <c r="L278" s="22" t="inlineStr">
        <is>
          <t>CORREGIDO</t>
        </is>
      </c>
      <c r="M278" s="86" t="n"/>
    </row>
    <row r="279" ht="15.75" customHeight="1" s="182">
      <c r="A279" s="42" t="inlineStr">
        <is>
          <t>Perú</t>
        </is>
      </c>
      <c r="B279" s="56" t="inlineStr">
        <is>
          <t>Universidades públicas</t>
        </is>
      </c>
      <c r="C279" s="98" t="inlineStr">
        <is>
          <t>Ingeniería y tecnología</t>
        </is>
      </c>
      <c r="D279" s="98" t="inlineStr">
        <is>
          <t>Universidad Nacional Tecnológica de Lima Sur</t>
        </is>
      </c>
      <c r="E279" s="98" t="n"/>
      <c r="F279" s="98" t="inlineStr">
        <is>
          <t>Rectorado / Mesa de Partes</t>
        </is>
      </c>
      <c r="G279" s="100" t="inlineStr">
        <is>
          <t>https://www.gob.pe/institucion/untels/contacto-y-numeros-de-emergencias</t>
        </is>
      </c>
      <c r="H279" s="28" t="inlineStr">
        <is>
          <t>No disponible públicamente</t>
        </is>
      </c>
      <c r="I279" s="98" t="inlineStr">
        <is>
          <t>(01) 715 8878</t>
        </is>
      </c>
      <c r="J279" s="98" t="inlineStr">
        <is>
          <t>informes@untels.edu.pe</t>
        </is>
      </c>
      <c r="K279" s="100" t="inlineStr">
        <is>
          <t>https://www.gob.pe/institucion/untels/contacto-y-numeros-de-emergencias</t>
        </is>
      </c>
      <c r="L279" s="22" t="inlineStr">
        <is>
          <t>CORREGIDO</t>
        </is>
      </c>
      <c r="M279" s="86" t="n"/>
    </row>
    <row r="280" ht="15.75" customHeight="1" s="182">
      <c r="A280" s="42" t="inlineStr">
        <is>
          <t>Perú</t>
        </is>
      </c>
      <c r="B280" s="56" t="inlineStr">
        <is>
          <t>Universidades públicas</t>
        </is>
      </c>
      <c r="C280" s="98" t="inlineStr">
        <is>
          <t>Multidisciplinaria</t>
        </is>
      </c>
      <c r="D280" s="98" t="inlineStr">
        <is>
          <t>Universidad Nacional José María Arguedas</t>
        </is>
      </c>
      <c r="E280" s="98" t="n"/>
      <c r="F280" s="98" t="inlineStr">
        <is>
          <t>Rectorado / Mesa de Partes</t>
        </is>
      </c>
      <c r="G280" s="100" t="inlineStr">
        <is>
          <t>https://unajma.edu.pe/</t>
        </is>
      </c>
      <c r="H280" s="28" t="inlineStr">
        <is>
          <t>No disponible públicamente</t>
        </is>
      </c>
      <c r="I280" s="98" t="inlineStr">
        <is>
          <t>(083) 421992-422176</t>
        </is>
      </c>
      <c r="J280" s="181" t="inlineStr">
        <is>
          <t>No disponible públicamente</t>
        </is>
      </c>
      <c r="K280" s="100" t="inlineStr">
        <is>
          <t>https://unajma.edu.pe/</t>
        </is>
      </c>
      <c r="L280" s="22" t="inlineStr">
        <is>
          <t>CORREGIDO</t>
        </is>
      </c>
      <c r="M280" s="86" t="n"/>
    </row>
    <row r="281" ht="15.75" customHeight="1" s="182">
      <c r="A281" s="42" t="inlineStr">
        <is>
          <t>Perú</t>
        </is>
      </c>
      <c r="B281" s="56" t="inlineStr">
        <is>
          <t>Universidades públicas</t>
        </is>
      </c>
      <c r="C281" s="98" t="inlineStr">
        <is>
          <t>Multidisciplinaria</t>
        </is>
      </c>
      <c r="D281" s="98" t="inlineStr">
        <is>
          <t>Universidad Nacional de Moquegua</t>
        </is>
      </c>
      <c r="E281" s="98" t="n"/>
      <c r="F281" s="98" t="inlineStr">
        <is>
          <t>Rectorado / Mesa de Partes</t>
        </is>
      </c>
      <c r="G281" s="100" t="inlineStr">
        <is>
          <t>https://unam.edu.pe/universidad-nacional-de-moquegua/</t>
        </is>
      </c>
      <c r="H281" s="28" t="inlineStr">
        <is>
          <t>No disponible públicamente</t>
        </is>
      </c>
      <c r="I281" s="98" t="inlineStr">
        <is>
          <t>053-670168 Anexo 101</t>
        </is>
      </c>
      <c r="J281" s="181" t="inlineStr">
        <is>
          <t>No disponible públicamente</t>
        </is>
      </c>
      <c r="K281" s="100" t="inlineStr">
        <is>
          <t>https://unam.edu.pe/universidad-nacional-de-moquegua/</t>
        </is>
      </c>
      <c r="L281" s="22" t="inlineStr">
        <is>
          <t>CORREGIDO</t>
        </is>
      </c>
      <c r="M281" s="86" t="n"/>
    </row>
    <row r="282" ht="15.75" customHeight="1" s="182">
      <c r="A282" s="42" t="inlineStr">
        <is>
          <t>Perú</t>
        </is>
      </c>
      <c r="B282" s="56" t="inlineStr">
        <is>
          <t>Universidades públicas</t>
        </is>
      </c>
      <c r="C282" s="98" t="inlineStr">
        <is>
          <t>Multidisciplinaria</t>
        </is>
      </c>
      <c r="D282" s="98" t="inlineStr">
        <is>
          <t>Universidad Nacional de Juliaca</t>
        </is>
      </c>
      <c r="E282" s="98" t="n"/>
      <c r="F282" s="98" t="inlineStr">
        <is>
          <t>Rectorado / Mesa de Partes</t>
        </is>
      </c>
      <c r="G282" s="100" t="inlineStr">
        <is>
          <t>https://portal.unaj.edu.pe/</t>
        </is>
      </c>
      <c r="H282" s="181" t="inlineStr">
        <is>
          <t>No disponible públicamente</t>
        </is>
      </c>
      <c r="I282" s="177" t="inlineStr">
        <is>
          <t>051-323200</t>
        </is>
      </c>
      <c r="J282" s="98" t="inlineStr">
        <is>
          <t>info@unaj.edu.pe</t>
        </is>
      </c>
      <c r="K282" s="100" t="inlineStr">
        <is>
          <t>https://portal.unaj.edu.pe/</t>
        </is>
      </c>
      <c r="L282" s="22" t="inlineStr">
        <is>
          <t>CORREGIDO</t>
        </is>
      </c>
      <c r="M282" s="86" t="n"/>
    </row>
    <row r="283" ht="15.75" customHeight="1" s="182">
      <c r="A283" s="42" t="inlineStr">
        <is>
          <t>Perú</t>
        </is>
      </c>
      <c r="B283" s="56" t="inlineStr">
        <is>
          <t>Universidades públicas</t>
        </is>
      </c>
      <c r="C283" s="98" t="inlineStr">
        <is>
          <t>Multidisciplinaria</t>
        </is>
      </c>
      <c r="D283" s="98" t="inlineStr">
        <is>
          <t>Universidad Nacional de Jaén</t>
        </is>
      </c>
      <c r="E283" s="98" t="n"/>
      <c r="F283" s="98" t="inlineStr">
        <is>
          <t>Sectretaria General</t>
        </is>
      </c>
      <c r="G283" s="100" t="inlineStr">
        <is>
          <t>https://unj.edu.pe/contactanos/</t>
        </is>
      </c>
      <c r="H283" s="181" t="inlineStr">
        <is>
          <t>No disponible públicamente</t>
        </is>
      </c>
      <c r="I283" s="98" t="inlineStr">
        <is>
          <t>962 228 240</t>
        </is>
      </c>
      <c r="J283" s="181" t="inlineStr">
        <is>
          <t>No disponible públicamente</t>
        </is>
      </c>
      <c r="K283" s="100" t="inlineStr">
        <is>
          <t>https://unj.edu.pe/contactanos/</t>
        </is>
      </c>
      <c r="L283" s="22" t="inlineStr">
        <is>
          <t>CORREGIDO</t>
        </is>
      </c>
      <c r="M283" s="86" t="n"/>
    </row>
    <row r="284" ht="15.75" customHeight="1" s="182">
      <c r="A284" s="42" t="inlineStr">
        <is>
          <t>Perú</t>
        </is>
      </c>
      <c r="B284" s="56" t="inlineStr">
        <is>
          <t>Universidades públicas</t>
        </is>
      </c>
      <c r="C284" s="98" t="inlineStr">
        <is>
          <t>Multidisciplinaria</t>
        </is>
      </c>
      <c r="D284" s="98" t="inlineStr">
        <is>
          <t>Universidad Nacional de Frontera</t>
        </is>
      </c>
      <c r="E284" s="98" t="n"/>
      <c r="F284" s="98" t="inlineStr">
        <is>
          <t>Rectorado / Mesa de Partes</t>
        </is>
      </c>
      <c r="G284" s="100" t="inlineStr">
        <is>
          <t>https://www.unf.edu.pe/</t>
        </is>
      </c>
      <c r="H284" s="181" t="inlineStr">
        <is>
          <t>No disponible públicamente</t>
        </is>
      </c>
      <c r="I284" s="98" t="inlineStr">
        <is>
          <t>073-519316</t>
        </is>
      </c>
      <c r="J284" s="98" t="inlineStr">
        <is>
          <t>mesadepartesvirtual@unf.edu.pe</t>
        </is>
      </c>
      <c r="K284" s="100" t="inlineStr">
        <is>
          <t>https://www.unf.edu.pe/</t>
        </is>
      </c>
      <c r="L284" s="22" t="inlineStr">
        <is>
          <t>CORREGIDO</t>
        </is>
      </c>
      <c r="M284" s="86" t="n"/>
    </row>
    <row r="285" ht="15.75" customHeight="1" s="182">
      <c r="A285" s="42" t="inlineStr">
        <is>
          <t>Perú</t>
        </is>
      </c>
      <c r="B285" s="56" t="inlineStr">
        <is>
          <t>Universidades públicas</t>
        </is>
      </c>
      <c r="C285" s="98" t="inlineStr">
        <is>
          <t>Multidisciplinaria</t>
        </is>
      </c>
      <c r="D285" s="98" t="inlineStr">
        <is>
          <t>Universidad Nacional Autónoma de Chota</t>
        </is>
      </c>
      <c r="E285" s="98" t="n"/>
      <c r="F285" s="98" t="inlineStr">
        <is>
          <t>Rectorado / Mesa de Partes</t>
        </is>
      </c>
      <c r="G285" s="100" t="inlineStr">
        <is>
          <t>https://www.portaluni.unach.edu.pe/</t>
        </is>
      </c>
      <c r="H285" s="181" t="inlineStr">
        <is>
          <t>No disponible públicamente</t>
        </is>
      </c>
      <c r="I285" s="181" t="inlineStr">
        <is>
          <t>No disponible públicamente</t>
        </is>
      </c>
      <c r="J285" s="199" t="inlineStr">
        <is>
          <t>mesadepartes@unach.edu.pe</t>
        </is>
      </c>
      <c r="K285" s="100" t="inlineStr">
        <is>
          <t>https://www.portaluni.unach.edu.pe/</t>
        </is>
      </c>
      <c r="L285" s="22" t="inlineStr">
        <is>
          <t>CORREGIDO</t>
        </is>
      </c>
      <c r="M285" s="86" t="n"/>
    </row>
    <row r="286" ht="15.75" customHeight="1" s="182">
      <c r="A286" s="42" t="inlineStr">
        <is>
          <t>Perú</t>
        </is>
      </c>
      <c r="B286" s="56" t="inlineStr">
        <is>
          <t>Universidades públicas</t>
        </is>
      </c>
      <c r="C286" s="98" t="inlineStr">
        <is>
          <t>Multidisciplinaria</t>
        </is>
      </c>
      <c r="D286" s="98" t="inlineStr">
        <is>
          <t>Universidad Nacional de Barranca</t>
        </is>
      </c>
      <c r="E286" s="98" t="n"/>
      <c r="F286" s="98" t="inlineStr">
        <is>
          <t>Unidad de Trámite Documentario y Archivo</t>
        </is>
      </c>
      <c r="G286" s="100" t="inlineStr">
        <is>
          <t>https://www.unab.edu.pe/</t>
        </is>
      </c>
      <c r="H286" s="181" t="inlineStr">
        <is>
          <t>No disponible públicamente</t>
        </is>
      </c>
      <c r="I286" s="98" t="inlineStr">
        <is>
          <t>964141527 / 951110877</t>
        </is>
      </c>
      <c r="J286" s="98" t="inlineStr">
        <is>
          <t>tramitedocumentario@unab.edu.pe</t>
        </is>
      </c>
      <c r="K286" s="98" t="inlineStr">
        <is>
          <t>https://www.unab.edu.pe/</t>
        </is>
      </c>
      <c r="L286" s="51" t="inlineStr">
        <is>
          <t>CONFIRMADO</t>
        </is>
      </c>
      <c r="M286" s="86" t="n"/>
    </row>
    <row r="287" ht="15.75" customHeight="1" s="182">
      <c r="A287" s="42" t="inlineStr">
        <is>
          <t>Perú</t>
        </is>
      </c>
      <c r="B287" s="56" t="inlineStr">
        <is>
          <t>Universidades públicas</t>
        </is>
      </c>
      <c r="C287" s="98" t="inlineStr">
        <is>
          <t>Multidisciplinaria</t>
        </is>
      </c>
      <c r="D287" s="98" t="inlineStr">
        <is>
          <t>Universidad Nacional de Cañete</t>
        </is>
      </c>
      <c r="E287" s="98" t="n"/>
      <c r="F287" s="98" t="inlineStr">
        <is>
          <t>Trámite Documentario</t>
        </is>
      </c>
      <c r="G287" s="100" t="inlineStr">
        <is>
          <t>https://portal.undc.edu.pe/</t>
        </is>
      </c>
      <c r="H287" s="181" t="inlineStr">
        <is>
          <t>No disponible públicamente</t>
        </is>
      </c>
      <c r="I287" s="98" t="n">
        <v>993573589</v>
      </c>
      <c r="J287" s="98" t="inlineStr">
        <is>
          <t>tramite@undc.edu.pe</t>
        </is>
      </c>
      <c r="K287" s="100" t="inlineStr">
        <is>
          <t>https://web.undc.edu.pe/</t>
        </is>
      </c>
      <c r="L287" s="22" t="inlineStr">
        <is>
          <t>CORREGIDO</t>
        </is>
      </c>
      <c r="M287" s="86" t="n"/>
    </row>
    <row r="288" ht="15.75" customHeight="1" s="182">
      <c r="A288" s="42" t="inlineStr">
        <is>
          <t>Perú</t>
        </is>
      </c>
      <c r="B288" s="56" t="inlineStr">
        <is>
          <t>Universidades públicas</t>
        </is>
      </c>
      <c r="C288" s="98" t="inlineStr">
        <is>
          <t>Intercultural y amazónica</t>
        </is>
      </c>
      <c r="D288" s="98" t="inlineStr">
        <is>
          <t>Universidad Nacional Intercultural Fabiola Salazar Leguía de Bagua</t>
        </is>
      </c>
      <c r="E288" s="98" t="n"/>
      <c r="F288" s="98" t="inlineStr">
        <is>
          <t>Rectorado / Mesa de Partes</t>
        </is>
      </c>
      <c r="G288" s="100" t="inlineStr">
        <is>
          <t>https://www.gob.pe/institucion/unibagua/contacto-y-numeros-de-emergencias</t>
        </is>
      </c>
      <c r="H288" s="181" t="inlineStr">
        <is>
          <t>No disponible públicamente</t>
        </is>
      </c>
      <c r="I288" s="98" t="inlineStr">
        <is>
          <t>939 571 296</t>
        </is>
      </c>
      <c r="J288" s="98" t="inlineStr">
        <is>
          <t>mesadepartes@unibagua.edu.pe</t>
        </is>
      </c>
      <c r="K288" s="100" t="inlineStr">
        <is>
          <t>https://www.gob.pe/institucion/unibagua/contacto-y-numeros-de-emergencias</t>
        </is>
      </c>
      <c r="L288" s="22" t="inlineStr">
        <is>
          <t>CORREGIDO</t>
        </is>
      </c>
      <c r="M288" s="86" t="n"/>
    </row>
    <row r="289" ht="15.75" customHeight="1" s="182">
      <c r="A289" s="42" t="inlineStr">
        <is>
          <t>Perú</t>
        </is>
      </c>
      <c r="B289" s="56" t="inlineStr">
        <is>
          <t>Universidades públicas</t>
        </is>
      </c>
      <c r="C289" s="98" t="inlineStr">
        <is>
          <t>Intercultural y amazónica</t>
        </is>
      </c>
      <c r="D289" s="98" t="inlineStr">
        <is>
          <t>Universidad Nacional Intercultural de la Selva Central Juan Santos Atahualpa</t>
        </is>
      </c>
      <c r="E289" s="98" t="n"/>
      <c r="F289" s="98" t="inlineStr">
        <is>
          <t>Rectorado / Mesa de Partes</t>
        </is>
      </c>
      <c r="G289" s="100" t="inlineStr">
        <is>
          <t>https://www.gob.pe/institucion/universidad-nacional-intercultural-de-la-selva-central-juan-santos-atahualpa/contacto-y-numeros-de-emergencias</t>
        </is>
      </c>
      <c r="H289" s="181" t="inlineStr">
        <is>
          <t>No disponible públicamente</t>
        </is>
      </c>
      <c r="I289" s="98" t="n">
        <v>939976070</v>
      </c>
      <c r="J289" s="98" t="inlineStr">
        <is>
          <t>uniscjsa@uniscjsa.edu.pe</t>
        </is>
      </c>
      <c r="K289" s="100" t="inlineStr">
        <is>
          <t>https://www.gob.pe/institucion/universidad-nacional-intercultural-de-la-selva-central-juan-santos-atahualpa/contacto-y-numeros-de-emergencias</t>
        </is>
      </c>
      <c r="L289" s="22" t="inlineStr">
        <is>
          <t>CORREGIDO</t>
        </is>
      </c>
      <c r="M289" s="86" t="n"/>
    </row>
    <row r="290" ht="15.75" customHeight="1" s="182">
      <c r="A290" s="42" t="inlineStr">
        <is>
          <t>Perú</t>
        </is>
      </c>
      <c r="B290" s="56" t="inlineStr">
        <is>
          <t>Universidades públicas</t>
        </is>
      </c>
      <c r="C290" s="98" t="inlineStr">
        <is>
          <t>Intercultural y amazónica</t>
        </is>
      </c>
      <c r="D290" s="98" t="inlineStr">
        <is>
          <t>Universidad Nacional Intercultural de Quillabamba</t>
        </is>
      </c>
      <c r="E290" s="98" t="n"/>
      <c r="F290" s="98" t="inlineStr">
        <is>
          <t>Rectorado / Mesa de Partes</t>
        </is>
      </c>
      <c r="G290" s="98" t="inlineStr">
        <is>
          <t>https://www.gob.pe/institucion/uniq/contacto-y-numeros-de-emergencias</t>
        </is>
      </c>
      <c r="H290" s="181" t="inlineStr">
        <is>
          <t>No disponible públicamente</t>
        </is>
      </c>
      <c r="I290" s="98" t="inlineStr">
        <is>
          <t>084-282728</t>
        </is>
      </c>
      <c r="J290" s="98" t="inlineStr">
        <is>
          <t>info@uniq.edu.pe</t>
        </is>
      </c>
      <c r="K290" s="100" t="inlineStr">
        <is>
          <t>https://www.gob.pe/institucion/uniq/contacto-y-numeros-de-emergencias</t>
        </is>
      </c>
      <c r="L290" s="22" t="inlineStr">
        <is>
          <t>CORREGIDO</t>
        </is>
      </c>
      <c r="M290" s="86" t="n"/>
    </row>
    <row r="291" ht="15.75" customHeight="1" s="182">
      <c r="A291" s="42" t="inlineStr">
        <is>
          <t>Perú</t>
        </is>
      </c>
      <c r="B291" s="56" t="inlineStr">
        <is>
          <t>Universidades públicas</t>
        </is>
      </c>
      <c r="C291" s="98" t="inlineStr">
        <is>
          <t>Amazónica y ciencias ambientales</t>
        </is>
      </c>
      <c r="D291" s="98" t="inlineStr">
        <is>
          <t>Universidad Nacional Autónoma de Alto Amazonas</t>
        </is>
      </c>
      <c r="E291" s="98" t="n"/>
      <c r="F291" s="98" t="inlineStr">
        <is>
          <t>Rectorado / Mesa de Partes</t>
        </is>
      </c>
      <c r="G291" s="100" t="inlineStr">
        <is>
          <t>https://unaaa.edu.pe/admision/</t>
        </is>
      </c>
      <c r="H291" s="181" t="inlineStr">
        <is>
          <t>No disponible públicamente</t>
        </is>
      </c>
      <c r="I291" s="98" t="inlineStr">
        <is>
          <t>(065) 35 6104</t>
        </is>
      </c>
      <c r="J291" s="98" t="inlineStr">
        <is>
          <t>mesadepartes@unaaa.edu.pe</t>
        </is>
      </c>
      <c r="K291" s="100" t="inlineStr">
        <is>
          <t>https://unaaa.edu.pe/admision/</t>
        </is>
      </c>
      <c r="L291" s="22" t="inlineStr">
        <is>
          <t>CORREGIDO</t>
        </is>
      </c>
      <c r="M291" s="86" t="n"/>
    </row>
    <row r="292" ht="15.75" customHeight="1" s="182">
      <c r="A292" s="42" t="inlineStr">
        <is>
          <t>Perú</t>
        </is>
      </c>
      <c r="B292" s="56" t="inlineStr">
        <is>
          <t>Universidades públicas</t>
        </is>
      </c>
      <c r="C292" s="98" t="inlineStr">
        <is>
          <t>Ciencias andinas y desarrollo territorial</t>
        </is>
      </c>
      <c r="D292" s="98" t="inlineStr">
        <is>
          <t>Universidad Nacional Autónoma Altoandina de Tarma</t>
        </is>
      </c>
      <c r="E292" s="98" t="n"/>
      <c r="F292" s="98" t="inlineStr">
        <is>
          <t>Rectorado / Mesa de Partes</t>
        </is>
      </c>
      <c r="G292" s="100" t="inlineStr">
        <is>
          <t>https://www.gob.pe/institucion/unaat/contacto-y-numeros-de-emergencias</t>
        </is>
      </c>
      <c r="H292" s="181" t="inlineStr">
        <is>
          <t>No disponible públicamente</t>
        </is>
      </c>
      <c r="I292" s="98" t="inlineStr">
        <is>
          <t>064-460046</t>
        </is>
      </c>
      <c r="J292" s="98" t="inlineStr">
        <is>
          <t>unaat@unaat.edu.pe</t>
        </is>
      </c>
      <c r="K292" s="100" t="inlineStr">
        <is>
          <t>https://www.gob.pe/institucion/unaat/contacto-y-numeros-de-emergencias</t>
        </is>
      </c>
      <c r="L292" s="22" t="inlineStr">
        <is>
          <t>CORREGIDO</t>
        </is>
      </c>
      <c r="M292" s="86" t="n"/>
    </row>
    <row r="293" ht="15.75" customHeight="1" s="182">
      <c r="A293" s="42" t="inlineStr">
        <is>
          <t>Perú</t>
        </is>
      </c>
      <c r="B293" s="56" t="inlineStr">
        <is>
          <t>Universidades públicas</t>
        </is>
      </c>
      <c r="C293" s="98" t="inlineStr">
        <is>
          <t>Multidisciplinaria</t>
        </is>
      </c>
      <c r="D293" s="98" t="inlineStr">
        <is>
          <t>Universidad Nacional Autónoma de Huanta</t>
        </is>
      </c>
      <c r="E293" s="98" t="n"/>
      <c r="F293" s="98" t="inlineStr">
        <is>
          <t>Rectorado / Mesa de Partes</t>
        </is>
      </c>
      <c r="G293" s="100" t="inlineStr">
        <is>
          <t>https://portal.unah.edu.pe/</t>
        </is>
      </c>
      <c r="H293" s="181" t="inlineStr">
        <is>
          <t>No disponible públicamente</t>
        </is>
      </c>
      <c r="I293" s="177" t="inlineStr">
        <is>
          <t>963 239 313</t>
        </is>
      </c>
      <c r="J293" s="98" t="inlineStr">
        <is>
          <t>mesadepartes@unah.edu.pe</t>
        </is>
      </c>
      <c r="K293" s="100" t="inlineStr">
        <is>
          <t>https://portal.unah.edu.pe/</t>
        </is>
      </c>
      <c r="L293" s="22" t="inlineStr">
        <is>
          <t>CORREGIDO</t>
        </is>
      </c>
      <c r="M293" s="86" t="n"/>
    </row>
    <row r="294" ht="15.75" customHeight="1" s="182">
      <c r="A294" s="42" t="inlineStr">
        <is>
          <t>Perú</t>
        </is>
      </c>
      <c r="B294" s="56" t="inlineStr">
        <is>
          <t>Universidades públicas</t>
        </is>
      </c>
      <c r="C294" s="98" t="inlineStr">
        <is>
          <t>Multidisciplinaria</t>
        </is>
      </c>
      <c r="D294" s="98" t="inlineStr">
        <is>
          <t>Universidad Nacional Autónoma de Tayacaja Daniel Hernández Morillo</t>
        </is>
      </c>
      <c r="E294" s="98" t="n"/>
      <c r="F294" s="98" t="inlineStr">
        <is>
          <t>Rectorado / Mesa de Partes</t>
        </is>
      </c>
      <c r="G294" s="100" t="inlineStr">
        <is>
          <t>https://portal.unat.edu.pe/</t>
        </is>
      </c>
      <c r="H294" s="181" t="inlineStr">
        <is>
          <t>No disponible públicamente</t>
        </is>
      </c>
      <c r="I294" s="181" t="inlineStr">
        <is>
          <t>No disponible públicamente</t>
        </is>
      </c>
      <c r="J294" s="98" t="inlineStr">
        <is>
          <t>presidencia@unat.edu.pe</t>
        </is>
      </c>
      <c r="K294" s="100" t="inlineStr">
        <is>
          <t>https://www.gob.pe/institucion/unat/contacto-y-numeros-de-emergencias</t>
        </is>
      </c>
      <c r="L294" s="22" t="inlineStr">
        <is>
          <t>CORREGIDO</t>
        </is>
      </c>
      <c r="M294" s="86" t="n"/>
    </row>
    <row r="295" ht="15.75" customHeight="1" s="182">
      <c r="A295" s="42" t="inlineStr">
        <is>
          <t>Perú</t>
        </is>
      </c>
      <c r="B295" s="56" t="inlineStr">
        <is>
          <t>Universidades públicas</t>
        </is>
      </c>
      <c r="C295" s="98" t="inlineStr">
        <is>
          <t>Multidisciplinaria</t>
        </is>
      </c>
      <c r="D295" s="98" t="inlineStr">
        <is>
          <t>Universidad Nacional Ciro Alegría</t>
        </is>
      </c>
      <c r="E295" s="98" t="n"/>
      <c r="F295" s="98" t="inlineStr">
        <is>
          <t>Rectorado / Mesa de Partes</t>
        </is>
      </c>
      <c r="G295" s="100" t="inlineStr">
        <is>
          <t>https://unca.edu.pe/</t>
        </is>
      </c>
      <c r="H295" s="181" t="inlineStr">
        <is>
          <t>No disponible públicamente</t>
        </is>
      </c>
      <c r="I295" s="98" t="inlineStr">
        <is>
          <t>(044) 365719</t>
        </is>
      </c>
      <c r="J295" s="98" t="inlineStr">
        <is>
          <t>info@unca.edu.pe</t>
        </is>
      </c>
      <c r="K295" s="100" t="inlineStr">
        <is>
          <t>https://unca.edu.pe/</t>
        </is>
      </c>
      <c r="L295" s="22" t="inlineStr">
        <is>
          <t>CORREGIDO</t>
        </is>
      </c>
      <c r="M295" s="86" t="n"/>
    </row>
    <row r="296" ht="15.75" customHeight="1" s="182">
      <c r="A296" s="42" t="inlineStr">
        <is>
          <t>Perú</t>
        </is>
      </c>
      <c r="B296" s="56" t="inlineStr">
        <is>
          <t>Universidades públicas</t>
        </is>
      </c>
      <c r="C296" s="98" t="inlineStr">
        <is>
          <t>Artes y música</t>
        </is>
      </c>
      <c r="D296" s="98" t="inlineStr">
        <is>
          <t>Universidad Nacional Daniel Alomía Robles</t>
        </is>
      </c>
      <c r="E296" s="98" t="n"/>
      <c r="F296" s="98" t="inlineStr">
        <is>
          <t>Rectorado / Mesa de Partes</t>
        </is>
      </c>
      <c r="G296" s="100" t="inlineStr">
        <is>
          <t>https://www.undar.edu.pe/</t>
        </is>
      </c>
      <c r="H296" s="181" t="inlineStr">
        <is>
          <t>No disponible públicamente</t>
        </is>
      </c>
      <c r="I296" s="98" t="inlineStr">
        <is>
          <t xml:space="preserve"> (062) 636 206</t>
        </is>
      </c>
      <c r="J296" s="181" t="inlineStr">
        <is>
          <t>No disponible públicamente</t>
        </is>
      </c>
      <c r="K296" s="100" t="inlineStr">
        <is>
          <t>https://www.gob.pe/institucion/undar/contacto-y-numeros-de-emergencias</t>
        </is>
      </c>
      <c r="L296" s="22" t="inlineStr">
        <is>
          <t>CORREGIDO</t>
        </is>
      </c>
      <c r="M296" s="86" t="n"/>
    </row>
    <row r="297" ht="15.75" customHeight="1" s="182">
      <c r="A297" s="42" t="inlineStr">
        <is>
          <t>Perú</t>
        </is>
      </c>
      <c r="B297" s="56" t="inlineStr">
        <is>
          <t>Universidades públicas</t>
        </is>
      </c>
      <c r="C297" s="98" t="inlineStr">
        <is>
          <t>Artes y música</t>
        </is>
      </c>
      <c r="D297" s="98" t="inlineStr">
        <is>
          <t>Universidad Nacional de Música</t>
        </is>
      </c>
      <c r="E297" s="98" t="n"/>
      <c r="F297" s="98" t="inlineStr">
        <is>
          <t>Rectorado / Mesa de Partes</t>
        </is>
      </c>
      <c r="G297" s="115" t="inlineStr">
        <is>
          <t>https://www.unm.edu.pe/</t>
        </is>
      </c>
      <c r="H297" s="181" t="inlineStr">
        <is>
          <t>No disponible públicamente</t>
        </is>
      </c>
      <c r="I297" s="98" t="inlineStr">
        <is>
          <t xml:space="preserve"> (511) 426 9677 </t>
        </is>
      </c>
      <c r="J297" s="211" t="inlineStr">
        <is>
          <t>informes@unm.edu.pe</t>
        </is>
      </c>
      <c r="K297" s="100" t="inlineStr">
        <is>
          <t>https://www.unm.edu.pe/</t>
        </is>
      </c>
      <c r="L297" s="22" t="inlineStr">
        <is>
          <t>CORREGIDO</t>
        </is>
      </c>
      <c r="M297" s="86" t="n"/>
    </row>
    <row r="298" ht="15.75" customHeight="1" s="182">
      <c r="A298" s="42" t="inlineStr">
        <is>
          <t>Perú</t>
        </is>
      </c>
      <c r="B298" s="56" t="inlineStr">
        <is>
          <t>Universidades públicas</t>
        </is>
      </c>
      <c r="C298" s="98" t="inlineStr">
        <is>
          <t>Ingeniería y tecnología</t>
        </is>
      </c>
      <c r="D298" s="98" t="inlineStr">
        <is>
          <t>Universidad Nacional Tecnológica de Frontera San Ignacio de Loyola</t>
        </is>
      </c>
      <c r="E298" s="98" t="n"/>
      <c r="F298" s="98" t="inlineStr">
        <is>
          <t>Rectorado / Mesa de Partes</t>
        </is>
      </c>
      <c r="G298" s="100" t="inlineStr">
        <is>
          <t>https://unatefsil.edu.pe/</t>
        </is>
      </c>
      <c r="H298" s="181" t="inlineStr">
        <is>
          <t>No disponible públicamente</t>
        </is>
      </c>
      <c r="I298" s="98" t="inlineStr">
        <is>
          <t>51 925258571</t>
        </is>
      </c>
      <c r="J298" s="98" t="inlineStr">
        <is>
          <t>mesadepartes@unatefsil.edu.pe</t>
        </is>
      </c>
      <c r="K298" s="100" t="inlineStr">
        <is>
          <t>https://unatefsil.edu.pe/</t>
        </is>
      </c>
      <c r="L298" s="22" t="inlineStr">
        <is>
          <t>CORREGIDO</t>
        </is>
      </c>
      <c r="M298" s="86" t="n"/>
    </row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  <row r="962" ht="15.75" customHeight="1" s="182"/>
    <row r="963" ht="15.75" customHeight="1" s="182"/>
    <row r="964" ht="15.75" customHeight="1" s="182"/>
    <row r="965" ht="15.75" customHeight="1" s="182"/>
    <row r="966" ht="15.75" customHeight="1" s="182"/>
    <row r="967" ht="15.75" customHeight="1" s="182"/>
    <row r="968" ht="15.75" customHeight="1" s="182"/>
    <row r="969" ht="15.75" customHeight="1" s="182"/>
    <row r="970" ht="15.75" customHeight="1" s="182"/>
  </sheetData>
  <autoFilter ref="$A$1:$M$298"/>
  <dataValidations count="1">
    <dataValidation sqref="C247 E2:E298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K3" r:id="rId4"/>
    <hyperlink xmlns:r="http://schemas.openxmlformats.org/officeDocument/2006/relationships" ref="G4" r:id="rId5"/>
    <hyperlink xmlns:r="http://schemas.openxmlformats.org/officeDocument/2006/relationships" ref="K4" r:id="rId6"/>
    <hyperlink xmlns:r="http://schemas.openxmlformats.org/officeDocument/2006/relationships" ref="G5" r:id="rId7"/>
    <hyperlink xmlns:r="http://schemas.openxmlformats.org/officeDocument/2006/relationships" ref="K5" r:id="rId8"/>
    <hyperlink xmlns:r="http://schemas.openxmlformats.org/officeDocument/2006/relationships" ref="G6" r:id="rId9"/>
    <hyperlink xmlns:r="http://schemas.openxmlformats.org/officeDocument/2006/relationships" ref="K6" r:id="rId10"/>
    <hyperlink xmlns:r="http://schemas.openxmlformats.org/officeDocument/2006/relationships" ref="G7" r:id="rId11"/>
    <hyperlink xmlns:r="http://schemas.openxmlformats.org/officeDocument/2006/relationships" ref="K7" r:id="rId12"/>
    <hyperlink xmlns:r="http://schemas.openxmlformats.org/officeDocument/2006/relationships" ref="G8" r:id="rId13"/>
    <hyperlink xmlns:r="http://schemas.openxmlformats.org/officeDocument/2006/relationships" ref="K8" r:id="rId14"/>
    <hyperlink xmlns:r="http://schemas.openxmlformats.org/officeDocument/2006/relationships" ref="G9" r:id="rId15"/>
    <hyperlink xmlns:r="http://schemas.openxmlformats.org/officeDocument/2006/relationships" ref="K9" r:id="rId16"/>
    <hyperlink xmlns:r="http://schemas.openxmlformats.org/officeDocument/2006/relationships" ref="G10" r:id="rId17"/>
    <hyperlink xmlns:r="http://schemas.openxmlformats.org/officeDocument/2006/relationships" ref="K10" r:id="rId18"/>
    <hyperlink xmlns:r="http://schemas.openxmlformats.org/officeDocument/2006/relationships" ref="G11" r:id="rId19"/>
    <hyperlink xmlns:r="http://schemas.openxmlformats.org/officeDocument/2006/relationships" ref="G12" r:id="rId20"/>
    <hyperlink xmlns:r="http://schemas.openxmlformats.org/officeDocument/2006/relationships" ref="K12" r:id="rId21"/>
    <hyperlink xmlns:r="http://schemas.openxmlformats.org/officeDocument/2006/relationships" ref="G13" r:id="rId22"/>
    <hyperlink xmlns:r="http://schemas.openxmlformats.org/officeDocument/2006/relationships" ref="K13" r:id="rId23"/>
    <hyperlink xmlns:r="http://schemas.openxmlformats.org/officeDocument/2006/relationships" ref="G14" r:id="rId24"/>
    <hyperlink xmlns:r="http://schemas.openxmlformats.org/officeDocument/2006/relationships" ref="G15" r:id="rId25"/>
    <hyperlink xmlns:r="http://schemas.openxmlformats.org/officeDocument/2006/relationships" ref="G244" r:id="rId26"/>
    <hyperlink xmlns:r="http://schemas.openxmlformats.org/officeDocument/2006/relationships" ref="K244" r:id="rId27"/>
    <hyperlink xmlns:r="http://schemas.openxmlformats.org/officeDocument/2006/relationships" ref="G245" r:id="rId28"/>
    <hyperlink xmlns:r="http://schemas.openxmlformats.org/officeDocument/2006/relationships" ref="K245" r:id="rId29"/>
    <hyperlink xmlns:r="http://schemas.openxmlformats.org/officeDocument/2006/relationships" ref="G246" r:id="rId30"/>
    <hyperlink xmlns:r="http://schemas.openxmlformats.org/officeDocument/2006/relationships" ref="K246" r:id="rId31"/>
    <hyperlink xmlns:r="http://schemas.openxmlformats.org/officeDocument/2006/relationships" ref="G247" r:id="rId32"/>
    <hyperlink xmlns:r="http://schemas.openxmlformats.org/officeDocument/2006/relationships" ref="K247" r:id="rId33"/>
    <hyperlink xmlns:r="http://schemas.openxmlformats.org/officeDocument/2006/relationships" ref="G248" r:id="rId34"/>
    <hyperlink xmlns:r="http://schemas.openxmlformats.org/officeDocument/2006/relationships" ref="K248" r:id="rId35"/>
    <hyperlink xmlns:r="http://schemas.openxmlformats.org/officeDocument/2006/relationships" ref="G249" r:id="rId36"/>
    <hyperlink xmlns:r="http://schemas.openxmlformats.org/officeDocument/2006/relationships" ref="K250" r:id="rId37"/>
    <hyperlink xmlns:r="http://schemas.openxmlformats.org/officeDocument/2006/relationships" ref="G251" r:id="rId38"/>
    <hyperlink xmlns:r="http://schemas.openxmlformats.org/officeDocument/2006/relationships" ref="K251" r:id="rId39"/>
    <hyperlink xmlns:r="http://schemas.openxmlformats.org/officeDocument/2006/relationships" ref="G252" r:id="rId40"/>
    <hyperlink xmlns:r="http://schemas.openxmlformats.org/officeDocument/2006/relationships" ref="K252" r:id="rId41"/>
    <hyperlink xmlns:r="http://schemas.openxmlformats.org/officeDocument/2006/relationships" ref="G253" r:id="rId42"/>
    <hyperlink xmlns:r="http://schemas.openxmlformats.org/officeDocument/2006/relationships" ref="K253" r:id="rId43"/>
    <hyperlink xmlns:r="http://schemas.openxmlformats.org/officeDocument/2006/relationships" ref="K254" r:id="rId44"/>
    <hyperlink xmlns:r="http://schemas.openxmlformats.org/officeDocument/2006/relationships" ref="G255" r:id="rId45"/>
    <hyperlink xmlns:r="http://schemas.openxmlformats.org/officeDocument/2006/relationships" ref="K255" r:id="rId46"/>
    <hyperlink xmlns:r="http://schemas.openxmlformats.org/officeDocument/2006/relationships" ref="G256" r:id="rId47"/>
    <hyperlink xmlns:r="http://schemas.openxmlformats.org/officeDocument/2006/relationships" ref="K256" r:id="rId48"/>
    <hyperlink xmlns:r="http://schemas.openxmlformats.org/officeDocument/2006/relationships" ref="G257" r:id="rId49"/>
    <hyperlink xmlns:r="http://schemas.openxmlformats.org/officeDocument/2006/relationships" ref="K257" r:id="rId50"/>
    <hyperlink xmlns:r="http://schemas.openxmlformats.org/officeDocument/2006/relationships" ref="G258" r:id="rId51"/>
    <hyperlink xmlns:r="http://schemas.openxmlformats.org/officeDocument/2006/relationships" ref="K258" r:id="rId52"/>
    <hyperlink xmlns:r="http://schemas.openxmlformats.org/officeDocument/2006/relationships" ref="G259" r:id="rId53"/>
    <hyperlink xmlns:r="http://schemas.openxmlformats.org/officeDocument/2006/relationships" ref="K259" r:id="rId54"/>
    <hyperlink xmlns:r="http://schemas.openxmlformats.org/officeDocument/2006/relationships" ref="G260" r:id="rId55"/>
    <hyperlink xmlns:r="http://schemas.openxmlformats.org/officeDocument/2006/relationships" ref="K260" r:id="rId56"/>
    <hyperlink xmlns:r="http://schemas.openxmlformats.org/officeDocument/2006/relationships" ref="G261" r:id="rId57"/>
    <hyperlink xmlns:r="http://schemas.openxmlformats.org/officeDocument/2006/relationships" ref="K261" r:id="rId58"/>
    <hyperlink xmlns:r="http://schemas.openxmlformats.org/officeDocument/2006/relationships" ref="G262" r:id="rId59"/>
    <hyperlink xmlns:r="http://schemas.openxmlformats.org/officeDocument/2006/relationships" ref="K262" r:id="rId60"/>
    <hyperlink xmlns:r="http://schemas.openxmlformats.org/officeDocument/2006/relationships" ref="G263" r:id="rId61"/>
    <hyperlink xmlns:r="http://schemas.openxmlformats.org/officeDocument/2006/relationships" ref="K263" r:id="rId62"/>
    <hyperlink xmlns:r="http://schemas.openxmlformats.org/officeDocument/2006/relationships" ref="G264" r:id="rId63"/>
    <hyperlink xmlns:r="http://schemas.openxmlformats.org/officeDocument/2006/relationships" ref="K264" r:id="rId64"/>
    <hyperlink xmlns:r="http://schemas.openxmlformats.org/officeDocument/2006/relationships" ref="G265" r:id="rId65"/>
    <hyperlink xmlns:r="http://schemas.openxmlformats.org/officeDocument/2006/relationships" ref="K265" r:id="rId66"/>
    <hyperlink xmlns:r="http://schemas.openxmlformats.org/officeDocument/2006/relationships" ref="K266" r:id="rId67"/>
    <hyperlink xmlns:r="http://schemas.openxmlformats.org/officeDocument/2006/relationships" ref="G267" r:id="rId68"/>
    <hyperlink xmlns:r="http://schemas.openxmlformats.org/officeDocument/2006/relationships" ref="K267" r:id="rId69"/>
    <hyperlink xmlns:r="http://schemas.openxmlformats.org/officeDocument/2006/relationships" ref="G268" r:id="rId70"/>
    <hyperlink xmlns:r="http://schemas.openxmlformats.org/officeDocument/2006/relationships" ref="K268" r:id="rId71"/>
    <hyperlink xmlns:r="http://schemas.openxmlformats.org/officeDocument/2006/relationships" ref="G269" r:id="rId72"/>
    <hyperlink xmlns:r="http://schemas.openxmlformats.org/officeDocument/2006/relationships" ref="K269" r:id="rId73"/>
    <hyperlink xmlns:r="http://schemas.openxmlformats.org/officeDocument/2006/relationships" ref="G270" r:id="rId74"/>
    <hyperlink xmlns:r="http://schemas.openxmlformats.org/officeDocument/2006/relationships" ref="K270" r:id="rId75"/>
    <hyperlink xmlns:r="http://schemas.openxmlformats.org/officeDocument/2006/relationships" ref="G271" r:id="rId76"/>
    <hyperlink xmlns:r="http://schemas.openxmlformats.org/officeDocument/2006/relationships" ref="K271" r:id="rId77"/>
    <hyperlink xmlns:r="http://schemas.openxmlformats.org/officeDocument/2006/relationships" ref="G272" r:id="rId78"/>
    <hyperlink xmlns:r="http://schemas.openxmlformats.org/officeDocument/2006/relationships" ref="K272" r:id="rId79"/>
    <hyperlink xmlns:r="http://schemas.openxmlformats.org/officeDocument/2006/relationships" ref="G273" r:id="rId80"/>
    <hyperlink xmlns:r="http://schemas.openxmlformats.org/officeDocument/2006/relationships" ref="K273" r:id="rId81"/>
    <hyperlink xmlns:r="http://schemas.openxmlformats.org/officeDocument/2006/relationships" ref="G274" r:id="rId82"/>
    <hyperlink xmlns:r="http://schemas.openxmlformats.org/officeDocument/2006/relationships" ref="G275" r:id="rId83"/>
    <hyperlink xmlns:r="http://schemas.openxmlformats.org/officeDocument/2006/relationships" ref="K275" r:id="rId84"/>
    <hyperlink xmlns:r="http://schemas.openxmlformats.org/officeDocument/2006/relationships" ref="G276" r:id="rId85"/>
    <hyperlink xmlns:r="http://schemas.openxmlformats.org/officeDocument/2006/relationships" ref="K276" r:id="rId86"/>
    <hyperlink xmlns:r="http://schemas.openxmlformats.org/officeDocument/2006/relationships" ref="G277" r:id="rId87"/>
    <hyperlink xmlns:r="http://schemas.openxmlformats.org/officeDocument/2006/relationships" ref="K277" r:id="rId88"/>
    <hyperlink xmlns:r="http://schemas.openxmlformats.org/officeDocument/2006/relationships" ref="G278" r:id="rId89"/>
    <hyperlink xmlns:r="http://schemas.openxmlformats.org/officeDocument/2006/relationships" ref="K278" r:id="rId90"/>
    <hyperlink xmlns:r="http://schemas.openxmlformats.org/officeDocument/2006/relationships" ref="G279" r:id="rId91"/>
    <hyperlink xmlns:r="http://schemas.openxmlformats.org/officeDocument/2006/relationships" ref="K279" r:id="rId92"/>
    <hyperlink xmlns:r="http://schemas.openxmlformats.org/officeDocument/2006/relationships" ref="G280" r:id="rId93"/>
    <hyperlink xmlns:r="http://schemas.openxmlformats.org/officeDocument/2006/relationships" ref="K280" r:id="rId94"/>
    <hyperlink xmlns:r="http://schemas.openxmlformats.org/officeDocument/2006/relationships" ref="G281" r:id="rId95"/>
    <hyperlink xmlns:r="http://schemas.openxmlformats.org/officeDocument/2006/relationships" ref="K281" r:id="rId96"/>
    <hyperlink xmlns:r="http://schemas.openxmlformats.org/officeDocument/2006/relationships" ref="G282" r:id="rId97"/>
    <hyperlink xmlns:r="http://schemas.openxmlformats.org/officeDocument/2006/relationships" ref="K282" r:id="rId98"/>
    <hyperlink xmlns:r="http://schemas.openxmlformats.org/officeDocument/2006/relationships" ref="G283" r:id="rId99"/>
    <hyperlink xmlns:r="http://schemas.openxmlformats.org/officeDocument/2006/relationships" ref="K283" r:id="rId100"/>
    <hyperlink xmlns:r="http://schemas.openxmlformats.org/officeDocument/2006/relationships" ref="G284" r:id="rId101"/>
    <hyperlink xmlns:r="http://schemas.openxmlformats.org/officeDocument/2006/relationships" ref="K284" r:id="rId102"/>
    <hyperlink xmlns:r="http://schemas.openxmlformats.org/officeDocument/2006/relationships" ref="G285" r:id="rId103"/>
    <hyperlink xmlns:r="http://schemas.openxmlformats.org/officeDocument/2006/relationships" ref="K285" r:id="rId104"/>
    <hyperlink xmlns:r="http://schemas.openxmlformats.org/officeDocument/2006/relationships" ref="G286" r:id="rId105"/>
    <hyperlink xmlns:r="http://schemas.openxmlformats.org/officeDocument/2006/relationships" ref="G287" r:id="rId106"/>
    <hyperlink xmlns:r="http://schemas.openxmlformats.org/officeDocument/2006/relationships" ref="K287" r:id="rId107"/>
    <hyperlink xmlns:r="http://schemas.openxmlformats.org/officeDocument/2006/relationships" ref="G288" r:id="rId108"/>
    <hyperlink xmlns:r="http://schemas.openxmlformats.org/officeDocument/2006/relationships" ref="K288" r:id="rId109"/>
    <hyperlink xmlns:r="http://schemas.openxmlformats.org/officeDocument/2006/relationships" ref="G289" r:id="rId110"/>
    <hyperlink xmlns:r="http://schemas.openxmlformats.org/officeDocument/2006/relationships" ref="K289" r:id="rId111"/>
    <hyperlink xmlns:r="http://schemas.openxmlformats.org/officeDocument/2006/relationships" ref="K290" r:id="rId112"/>
    <hyperlink xmlns:r="http://schemas.openxmlformats.org/officeDocument/2006/relationships" ref="G291" r:id="rId113"/>
    <hyperlink xmlns:r="http://schemas.openxmlformats.org/officeDocument/2006/relationships" ref="K291" r:id="rId114"/>
    <hyperlink xmlns:r="http://schemas.openxmlformats.org/officeDocument/2006/relationships" ref="G292" r:id="rId115"/>
    <hyperlink xmlns:r="http://schemas.openxmlformats.org/officeDocument/2006/relationships" ref="K292" r:id="rId116"/>
    <hyperlink xmlns:r="http://schemas.openxmlformats.org/officeDocument/2006/relationships" ref="G293" r:id="rId117"/>
    <hyperlink xmlns:r="http://schemas.openxmlformats.org/officeDocument/2006/relationships" ref="K293" r:id="rId118"/>
    <hyperlink xmlns:r="http://schemas.openxmlformats.org/officeDocument/2006/relationships" ref="G294" r:id="rId119"/>
    <hyperlink xmlns:r="http://schemas.openxmlformats.org/officeDocument/2006/relationships" ref="K294" r:id="rId120"/>
    <hyperlink xmlns:r="http://schemas.openxmlformats.org/officeDocument/2006/relationships" ref="G295" r:id="rId121"/>
    <hyperlink xmlns:r="http://schemas.openxmlformats.org/officeDocument/2006/relationships" ref="K295" r:id="rId122"/>
    <hyperlink xmlns:r="http://schemas.openxmlformats.org/officeDocument/2006/relationships" ref="G296" r:id="rId123"/>
    <hyperlink xmlns:r="http://schemas.openxmlformats.org/officeDocument/2006/relationships" ref="K296" r:id="rId124"/>
    <hyperlink xmlns:r="http://schemas.openxmlformats.org/officeDocument/2006/relationships" ref="G297" r:id="rId125"/>
    <hyperlink xmlns:r="http://schemas.openxmlformats.org/officeDocument/2006/relationships" ref="K297" r:id="rId126"/>
    <hyperlink xmlns:r="http://schemas.openxmlformats.org/officeDocument/2006/relationships" ref="G298" r:id="rId127"/>
    <hyperlink xmlns:r="http://schemas.openxmlformats.org/officeDocument/2006/relationships" ref="K298" r:id="rId128"/>
  </hyperlinks>
  <pageMargins left="0.75" right="0.75" top="1" bottom="1" header="0" footer="0"/>
  <pageSetup orientation="landscape"/>
  <tableParts count="1">
    <tablePart xmlns:r="http://schemas.openxmlformats.org/officeDocument/2006/relationships" r:id="rId129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8.710000000000001" customWidth="1" style="182" min="14" max="26"/>
  </cols>
  <sheetData>
    <row r="1" ht="30" customHeight="1" s="182">
      <c r="A1" s="8" t="inlineStr">
        <is>
          <t>País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 ht="30" customHeight="1" s="182">
      <c r="A2" s="42" t="inlineStr">
        <is>
          <t>Costa Rica</t>
        </is>
      </c>
      <c r="B2" s="15" t="inlineStr">
        <is>
          <t>Asociaciones de seguridad social</t>
        </is>
      </c>
      <c r="C2" s="73" t="inlineStr">
        <is>
          <t>Seguro Social Obligatorio (Salud y Pensiones IVM)</t>
        </is>
      </c>
      <c r="D2" s="73" t="inlineStr">
        <is>
          <t>CAJA COSTARRICENSE DE SEGURO SOCIAL (CCSS)</t>
        </is>
      </c>
      <c r="E2" s="73" t="n"/>
      <c r="F2" s="73" t="inlineStr">
        <is>
          <t>Presidencia Ejecutiva / Dirección de Cobros y Filiales</t>
        </is>
      </c>
      <c r="G2" s="36" t="inlineStr">
        <is>
          <t>https://www.ccss.sa.cr/</t>
        </is>
      </c>
      <c r="H2" s="28" t="inlineStr">
        <is>
          <t>no disponible públicamente</t>
        </is>
      </c>
      <c r="I2" s="73" t="inlineStr">
        <is>
          <t>2539-0000</t>
        </is>
      </c>
      <c r="J2" s="138" t="inlineStr">
        <is>
          <t>contactenos@ccss.sa.cr</t>
        </is>
      </c>
      <c r="K2" s="33" t="inlineStr">
        <is>
          <t>https://www.ccss.sa.cr/</t>
        </is>
      </c>
      <c r="L2" s="186" t="inlineStr">
        <is>
          <t>VERIFICADO CON OBSERVACIONES</t>
        </is>
      </c>
      <c r="M2" s="30" t="inlineStr">
        <is>
          <t>No tienen página web solo atencion en linea con cuenta creada (datos extraidos ia)</t>
        </is>
      </c>
    </row>
    <row r="3" ht="30" customHeight="1" s="182">
      <c r="A3" s="42" t="inlineStr">
        <is>
          <t>Costa Rica</t>
        </is>
      </c>
      <c r="B3" s="15" t="inlineStr">
        <is>
          <t>Asociaciones de seguridad social</t>
        </is>
      </c>
      <c r="C3" s="73" t="inlineStr">
        <is>
          <t>Seguro Obligatorio de Riesgos del Trabajo y RT</t>
        </is>
      </c>
      <c r="D3" s="73" t="inlineStr">
        <is>
          <t>INSTITUTO NACIONAL DE SEGUROS (INS)</t>
        </is>
      </c>
      <c r="E3" s="73" t="n"/>
      <c r="F3" s="73" t="inlineStr">
        <is>
          <t>Dirección de Seguros Obligatorios y Salud Laboral</t>
        </is>
      </c>
      <c r="G3" s="36" t="inlineStr">
        <is>
          <t>https://www.grupoins.com/</t>
        </is>
      </c>
      <c r="H3" s="28" t="inlineStr">
        <is>
          <t>no disponible públicamente</t>
        </is>
      </c>
      <c r="I3" s="73" t="inlineStr">
        <is>
          <t>2284-9000</t>
        </is>
      </c>
      <c r="J3" s="138" t="inlineStr">
        <is>
          <t>contactenos@grupoins.com</t>
        </is>
      </c>
      <c r="K3" s="73" t="inlineStr">
        <is>
          <t>https://www.grupoins.com/</t>
        </is>
      </c>
      <c r="L3" s="186" t="inlineStr">
        <is>
          <t>VERIFICADO CON OBSERVACIONES</t>
        </is>
      </c>
      <c r="M3" s="30" t="inlineStr">
        <is>
          <t>verificar con tiempo</t>
        </is>
      </c>
    </row>
    <row r="4" ht="30" customHeight="1" s="182">
      <c r="A4" s="42" t="inlineStr">
        <is>
          <t>Costa Rica</t>
        </is>
      </c>
      <c r="B4" s="15" t="inlineStr">
        <is>
          <t>Asociaciones de seguridad social</t>
        </is>
      </c>
      <c r="C4" s="73" t="inlineStr">
        <is>
          <t>Régimen Especial de Pensiones (Magisterio Nacional)</t>
        </is>
      </c>
      <c r="D4" s="73" t="inlineStr">
        <is>
          <t>JUNTA DE PENSIONES Y JUBILACIONES DEL MAGISTERIO NACIONAL (JUPEMA)</t>
        </is>
      </c>
      <c r="E4" s="73" t="n"/>
      <c r="F4" s="73" t="inlineStr">
        <is>
          <t>Dirección General / Departamento de Prestaciones</t>
        </is>
      </c>
      <c r="G4" s="36" t="inlineStr">
        <is>
          <t>https://www.jupema.fi.cr/</t>
        </is>
      </c>
      <c r="H4" s="28" t="inlineStr">
        <is>
          <t>no disponible públicamente</t>
        </is>
      </c>
      <c r="I4" s="73" t="inlineStr">
        <is>
          <t>506 2284-6500</t>
        </is>
      </c>
      <c r="J4" s="138" t="inlineStr">
        <is>
          <t>jupema@juntadepensiones.cr</t>
        </is>
      </c>
      <c r="K4" s="18" t="inlineStr">
        <is>
          <t>https://www.juntadepensiones.cr/inicio</t>
        </is>
      </c>
      <c r="L4" s="22" t="inlineStr">
        <is>
          <t>CORREGIDO</t>
        </is>
      </c>
      <c r="M4" s="30" t="n"/>
    </row>
    <row r="5" ht="30" customHeight="1" s="182">
      <c r="A5" s="42" t="inlineStr">
        <is>
          <t>Costa Rica</t>
        </is>
      </c>
      <c r="B5" s="15" t="inlineStr">
        <is>
          <t>Asociaciones de seguridad social</t>
        </is>
      </c>
      <c r="C5" s="73" t="inlineStr">
        <is>
          <t>Fondo Colectivo de Retiro y Protección Social</t>
        </is>
      </c>
      <c r="D5" s="73" t="inlineStr">
        <is>
          <t>ASOCIACIÓN NACIONAL DE EDUCADORES - FONDO DE SEGURIDAD SOCIAL (ANDE)</t>
        </is>
      </c>
      <c r="E5" s="73" t="n"/>
      <c r="F5" s="73" t="inlineStr">
        <is>
          <t>Secretaría de Seguridad Social / Junta Directiva</t>
        </is>
      </c>
      <c r="G5" s="18" t="inlineStr">
        <is>
          <t>https://www.ande.cr/</t>
        </is>
      </c>
      <c r="H5" s="138" t="inlineStr">
        <is>
          <t>Presidencia Directiva ANDE</t>
        </is>
      </c>
      <c r="I5" s="73" t="inlineStr">
        <is>
          <t>2243-0000</t>
        </is>
      </c>
      <c r="J5" s="138" t="inlineStr">
        <is>
          <t>ande@ande.cr</t>
        </is>
      </c>
      <c r="K5" s="73" t="inlineStr">
        <is>
          <t>https://www.ande.cr/</t>
        </is>
      </c>
      <c r="L5" s="186" t="inlineStr">
        <is>
          <t>VERIFICADO CON OBSERVACIONES</t>
        </is>
      </c>
      <c r="M5" s="30" t="inlineStr">
        <is>
          <t xml:space="preserve">Página web caída </t>
        </is>
      </c>
    </row>
    <row r="6" ht="30" customHeight="1" s="182">
      <c r="A6" s="42" t="inlineStr">
        <is>
          <t>Costa Rica</t>
        </is>
      </c>
      <c r="B6" s="15" t="inlineStr">
        <is>
          <t>Asociaciones de seguridad social</t>
        </is>
      </c>
      <c r="C6" s="73" t="inlineStr">
        <is>
          <t>Asociación Solidarista de Seguridad Social (CCSS)</t>
        </is>
      </c>
      <c r="D6" s="73" t="inlineStr">
        <is>
          <t>ASOCIACIÓN SOLIDARISTA DE EMPLEADOS DE LA CCSS (ASECCSS)</t>
        </is>
      </c>
      <c r="E6" s="73" t="n"/>
      <c r="F6" s="73" t="inlineStr">
        <is>
          <t>Junta Directiva / Gerencia General</t>
        </is>
      </c>
      <c r="G6" s="18" t="inlineStr">
        <is>
          <t>https://www.aseccss.com/</t>
        </is>
      </c>
      <c r="H6" s="138" t="inlineStr">
        <is>
          <t>Mesa centrañ</t>
        </is>
      </c>
      <c r="I6" s="73" t="inlineStr">
        <is>
          <t xml:space="preserve">WhatsApp (506) 8894-9345Oficina central 800 ASECCSS (2732277) </t>
        </is>
      </c>
      <c r="J6" s="138" t="inlineStr">
        <is>
          <t>servicioalasociado@aseccss.com</t>
        </is>
      </c>
      <c r="K6" s="73" t="inlineStr">
        <is>
          <t>https://www.aseccss.com/</t>
        </is>
      </c>
      <c r="L6" s="22" t="inlineStr">
        <is>
          <t>CORREGIDO</t>
        </is>
      </c>
      <c r="M6" s="30" t="n"/>
    </row>
    <row r="7" ht="30" customHeight="1" s="182">
      <c r="A7" s="42" t="inlineStr">
        <is>
          <t>Costa Rica</t>
        </is>
      </c>
      <c r="B7" s="15" t="inlineStr">
        <is>
          <t>Asociaciones de seguridad social</t>
        </is>
      </c>
      <c r="C7" s="73" t="inlineStr">
        <is>
          <t>Entidad de Protección Social y Asistencia Socioeconómica</t>
        </is>
      </c>
      <c r="D7" s="73" t="inlineStr">
        <is>
          <t>INSTITUTO MIXTO DE AYUDA SOCIAL (IMAS)</t>
        </is>
      </c>
      <c r="E7" s="73" t="n"/>
      <c r="F7" s="73" t="inlineStr">
        <is>
          <t>Presidencia Ejecutiva / Dirección de Desarrollo Social</t>
        </is>
      </c>
      <c r="G7" s="18" t="inlineStr">
        <is>
          <t>https://www.imas.go.cr/</t>
        </is>
      </c>
      <c r="H7" s="138" t="inlineStr">
        <is>
          <t>León Vásquez RRHH</t>
        </is>
      </c>
      <c r="I7" s="73" t="inlineStr">
        <is>
          <t xml:space="preserve"> 800-000-4627</t>
        </is>
      </c>
      <c r="J7" s="138" t="inlineStr">
        <is>
          <t>cleon@imas.go.cr</t>
        </is>
      </c>
      <c r="K7" s="18" t="inlineStr">
        <is>
          <t>https://www.imas.go.cr/es/directorio</t>
        </is>
      </c>
      <c r="L7" s="22" t="inlineStr">
        <is>
          <t>CORREGIDO</t>
        </is>
      </c>
      <c r="M7" s="30" t="n"/>
    </row>
    <row r="8" ht="30" customHeight="1" s="182">
      <c r="A8" s="42" t="inlineStr">
        <is>
          <t>Costa Rica</t>
        </is>
      </c>
      <c r="B8" s="15" t="inlineStr">
        <is>
          <t>Asociaciones de seguridad social</t>
        </is>
      </c>
      <c r="C8" s="73" t="inlineStr">
        <is>
          <t>Órgano Regulación y Supervisión de Seguridad Social (Pensiones)</t>
        </is>
      </c>
      <c r="D8" s="73" t="inlineStr">
        <is>
          <t>SUPERINTENDENCIA DE PENSIONES (SUPEN)</t>
        </is>
      </c>
      <c r="E8" s="73" t="n"/>
      <c r="F8" s="73" t="inlineStr">
        <is>
          <t>Despacho del Superintendente / Atención Ciudadana</t>
        </is>
      </c>
      <c r="G8" s="18" t="inlineStr">
        <is>
          <t>https://www.supen.fi.cr/</t>
        </is>
      </c>
      <c r="H8" s="28" t="inlineStr">
        <is>
          <t>no disponible públicamente</t>
        </is>
      </c>
      <c r="I8" s="73" t="inlineStr">
        <is>
          <t xml:space="preserve">(506) 2243-4848   </t>
        </is>
      </c>
      <c r="J8" s="138" t="inlineStr">
        <is>
          <t>supen@supen.fi.cr</t>
        </is>
      </c>
      <c r="K8" s="73" t="inlineStr">
        <is>
          <t>https://www.supen.fi.cr/</t>
        </is>
      </c>
      <c r="L8" s="22" t="inlineStr">
        <is>
          <t>CORREGIDO</t>
        </is>
      </c>
      <c r="M8" s="30" t="n"/>
    </row>
    <row r="9" ht="30" customHeight="1" s="182">
      <c r="A9" s="42" t="inlineStr">
        <is>
          <t>Costa Rica</t>
        </is>
      </c>
      <c r="B9" s="15" t="inlineStr">
        <is>
          <t>Asociaciones de seguridad social</t>
        </is>
      </c>
      <c r="C9" s="73" t="inlineStr">
        <is>
          <t>Asociación Profesional de Salud Pública y Seguridad Social</t>
        </is>
      </c>
      <c r="D9" s="73" t="inlineStr">
        <is>
          <t>ASOCIACIÓN COSTARRICENSE DE SALUD PÚBLICA (ACOSAP)</t>
        </is>
      </c>
      <c r="E9" s="73" t="n"/>
      <c r="F9" s="73" t="inlineStr">
        <is>
          <t>Junta Directiva / Dirección Ejecutiva</t>
        </is>
      </c>
      <c r="G9" s="18" t="inlineStr">
        <is>
          <t>https://www.acosap.or.cr/</t>
        </is>
      </c>
      <c r="H9" s="28" t="inlineStr">
        <is>
          <t>no disponible públicamente</t>
        </is>
      </c>
      <c r="I9" s="73" t="inlineStr">
        <is>
          <t>(+506) 2233 8063</t>
        </is>
      </c>
      <c r="J9" s="138" t="inlineStr">
        <is>
          <t>acosap@gmail.com</t>
        </is>
      </c>
      <c r="K9" s="36" t="inlineStr">
        <is>
          <t>https://medicos.cr/web2/asociacion-costarricense-de-salud-publica/</t>
        </is>
      </c>
      <c r="L9" s="22" t="inlineStr">
        <is>
          <t>CORREGIDO</t>
        </is>
      </c>
      <c r="M9" s="30" t="n"/>
    </row>
    <row r="10" ht="30" customHeight="1" s="182">
      <c r="A10" s="42" t="inlineStr">
        <is>
          <t>Costa Rica</t>
        </is>
      </c>
      <c r="B10" s="15" t="inlineStr">
        <is>
          <t>Organizaciones juveniles</t>
        </is>
      </c>
      <c r="C10" s="73" t="inlineStr">
        <is>
          <t>Organización Juvenil / Sociedad Civil</t>
        </is>
      </c>
      <c r="D10" s="73" t="inlineStr">
        <is>
          <t>ASOCIACIÓN GUÍAS Y SCOUTS DE COSTA RICA (SECTOR JUVENIL)</t>
        </is>
      </c>
      <c r="E10" s="73" t="n"/>
      <c r="F10" s="73" t="inlineStr">
        <is>
          <t>Red Nacional Consultiva de la Persona Joven (ANPJ)</t>
        </is>
      </c>
      <c r="G10" s="18" t="inlineStr">
        <is>
          <t>https://cpj.go.cr/padrones/</t>
        </is>
      </c>
      <c r="H10" s="73" t="inlineStr">
        <is>
          <t>Siempre listos Scouts</t>
        </is>
      </c>
      <c r="I10" s="73" t="inlineStr">
        <is>
          <t>(506) 2222-9898</t>
        </is>
      </c>
      <c r="J10" s="138" t="inlineStr">
        <is>
          <t>plataforma@siemprelistos.org</t>
        </is>
      </c>
      <c r="K10" s="18" t="inlineStr">
        <is>
          <t>https://siemprelistos.com/contactos/</t>
        </is>
      </c>
      <c r="L10" s="22" t="inlineStr">
        <is>
          <t>CORREGIDO</t>
        </is>
      </c>
      <c r="M10" s="184" t="inlineStr">
        <is>
          <t>Auditoría 08-oct-2026: Revisar: web apunta al padrón CPJ y fuente a siemprelistos.com; email es siemprelistos.org.</t>
        </is>
      </c>
    </row>
    <row r="11" ht="30" customHeight="1" s="182">
      <c r="A11" s="42" t="inlineStr">
        <is>
          <t>Costa Rica</t>
        </is>
      </c>
      <c r="B11" s="15" t="inlineStr">
        <is>
          <t>Formación técnica pública</t>
        </is>
      </c>
      <c r="C11" s="73" t="inlineStr">
        <is>
          <t>Instituto Nacional de Aprendizaje</t>
        </is>
      </c>
      <c r="D11" s="73" t="inlineStr">
        <is>
          <t>UNIDAD REGIONAL BRUNCA</t>
        </is>
      </c>
      <c r="E11" s="73" t="n"/>
      <c r="F11" s="73" t="inlineStr">
        <is>
          <t>UNIDAD REGIONAL BRUNCA</t>
        </is>
      </c>
      <c r="G11" s="18" t="inlineStr">
        <is>
          <t>https://www.ina.ac.cr/SiteAssets/docs/PDF/Regionales_Centros_Formacion_INA.pdf</t>
        </is>
      </c>
      <c r="H11" s="73" t="inlineStr">
        <is>
          <t>Wilberth Hernandez Vargas (Jefatura)</t>
        </is>
      </c>
      <c r="I11" s="73" t="inlineStr">
        <is>
          <t>2771-3945</t>
        </is>
      </c>
      <c r="J11" s="73" t="inlineStr">
        <is>
          <t>whernandezvargas@ina.ac.cr</t>
        </is>
      </c>
      <c r="K11" s="18" t="inlineStr">
        <is>
          <t>https://www.ina.ac.cr/SiteAssets/docs/PDF/Regionales_Centros_Formacion_INA.pdf</t>
        </is>
      </c>
      <c r="L11" s="51" t="inlineStr">
        <is>
          <t>CONFIRMADO</t>
        </is>
      </c>
      <c r="M11" s="30" t="inlineStr">
        <is>
          <t xml:space="preserve">Datos exactos del PDF adjuntado en detalles y fuentes </t>
        </is>
      </c>
    </row>
    <row r="12" ht="30" customHeight="1" s="182">
      <c r="A12" s="42" t="inlineStr">
        <is>
          <t>Costa Rica</t>
        </is>
      </c>
      <c r="B12" s="15" t="inlineStr">
        <is>
          <t>Formación técnica pública</t>
        </is>
      </c>
      <c r="C12" s="73" t="inlineStr">
        <is>
          <t>Instituto Nacional de Aprendizaje</t>
        </is>
      </c>
      <c r="D12" s="73" t="inlineStr">
        <is>
          <t>CENTRO DE FORMACIÓN PROFESIONAL COTO BRUS</t>
        </is>
      </c>
      <c r="E12" s="73" t="n"/>
      <c r="F12" s="73" t="inlineStr">
        <is>
          <t>CENTRO DE FORMACIÓN PROFESIONAL COTO BRUS</t>
        </is>
      </c>
      <c r="G12" s="18" t="inlineStr">
        <is>
          <t>https://www.ina.ac.cr/SiteAssets/docs/PDF/Regionales_Centros_Formacion_INA.pdf</t>
        </is>
      </c>
      <c r="H12" s="73" t="inlineStr">
        <is>
          <t>Norjelens María Lobo Vargas (Jefatura)</t>
        </is>
      </c>
      <c r="I12" s="73" t="inlineStr">
        <is>
          <t>2773-3363</t>
        </is>
      </c>
      <c r="J12" s="73" t="inlineStr">
        <is>
          <t>nlobovargas@ina.ac.cr</t>
        </is>
      </c>
      <c r="K12" s="18" t="inlineStr">
        <is>
          <t>https://www.ina.ac.cr/SiteAssets/docs/PDF/Regionales_Centros_Formacion_INA.pdf</t>
        </is>
      </c>
      <c r="L12" s="51" t="inlineStr">
        <is>
          <t>CONFIRMADO</t>
        </is>
      </c>
      <c r="M12" s="30" t="inlineStr">
        <is>
          <t xml:space="preserve">Datos exactos del PDF adjuntado en detalles y fuentes </t>
        </is>
      </c>
    </row>
    <row r="13" ht="30" customHeight="1" s="182">
      <c r="A13" s="42" t="inlineStr">
        <is>
          <t>Costa Rica</t>
        </is>
      </c>
      <c r="B13" s="15" t="inlineStr">
        <is>
          <t>Formación técnica pública</t>
        </is>
      </c>
      <c r="C13" s="73" t="inlineStr">
        <is>
          <t>Instituto Nacional de Aprendizaje</t>
        </is>
      </c>
      <c r="D13" s="73" t="inlineStr">
        <is>
          <t>CENTRO DE FORMACIÓN PROFESIONAL OSA</t>
        </is>
      </c>
      <c r="E13" s="73" t="n"/>
      <c r="F13" s="73" t="inlineStr">
        <is>
          <t>CENTRO DE FORMACIÓN PROFESIONAL OSA</t>
        </is>
      </c>
      <c r="G13" s="18" t="inlineStr">
        <is>
          <t>https://www.ina.ac.cr/SiteAssets/docs/PDF/Regionales_Centros_Formacion_INA.pdf</t>
        </is>
      </c>
      <c r="H13" s="73" t="inlineStr">
        <is>
          <t>Ricardo Zúñiga Duarte (Jefatura)</t>
        </is>
      </c>
      <c r="I13" s="73" t="inlineStr">
        <is>
          <t>2788-7000</t>
        </is>
      </c>
      <c r="J13" s="73" t="inlineStr">
        <is>
          <t>rzunigaduarte@ina.ac.cr</t>
        </is>
      </c>
      <c r="K13" s="18" t="inlineStr">
        <is>
          <t>https://www.ina.ac.cr/SiteAssets/docs/PDF/Regionales_Centros_Formacion_INA.pdf</t>
        </is>
      </c>
      <c r="L13" s="51" t="inlineStr">
        <is>
          <t>CONFIRMADO</t>
        </is>
      </c>
      <c r="M13" s="30" t="inlineStr">
        <is>
          <t xml:space="preserve">Datos exactos del PDF adjuntado en detalles y fuentes </t>
        </is>
      </c>
    </row>
    <row r="14" ht="30" customHeight="1" s="182">
      <c r="A14" s="42" t="inlineStr">
        <is>
          <t>Costa Rica</t>
        </is>
      </c>
      <c r="B14" s="15" t="inlineStr">
        <is>
          <t>Formación técnica pública</t>
        </is>
      </c>
      <c r="C14" s="73" t="inlineStr">
        <is>
          <t>Instituto Nacional de Aprendizaje</t>
        </is>
      </c>
      <c r="D14" s="73" t="inlineStr">
        <is>
          <t>CENTRO REGIONAL POLIVALENTE RÍO CLARO</t>
        </is>
      </c>
      <c r="E14" s="73" t="n"/>
      <c r="F14" s="73" t="inlineStr">
        <is>
          <t>CENTRO REGIONAL POLIVALENTE RÍO CLARO</t>
        </is>
      </c>
      <c r="G14" s="18" t="inlineStr">
        <is>
          <t>https://www.ina.ac.cr/SiteAssets/docs/PDF/Regionales_Centros_Formacion_INA.pdf</t>
        </is>
      </c>
      <c r="H14" s="73" t="inlineStr">
        <is>
          <t>Carlos Luis Murillo Barrios (Jefatura)</t>
        </is>
      </c>
      <c r="I14" s="73" t="inlineStr">
        <is>
          <t>2789-9780</t>
        </is>
      </c>
      <c r="J14" s="73" t="inlineStr">
        <is>
          <t>cmurillobarrios@ina.ac.cr</t>
        </is>
      </c>
      <c r="K14" s="18" t="inlineStr">
        <is>
          <t>https://www.ina.ac.cr/SiteAssets/docs/PDF/Regionales_Centros_Formacion_INA.pdf</t>
        </is>
      </c>
      <c r="L14" s="51" t="inlineStr">
        <is>
          <t>CONFIRMADO</t>
        </is>
      </c>
      <c r="M14" s="30" t="inlineStr">
        <is>
          <t xml:space="preserve">Datos exactos del PDF adjuntado en detalles y fuentes </t>
        </is>
      </c>
    </row>
    <row r="15" ht="30" customHeight="1" s="182">
      <c r="A15" s="42" t="inlineStr">
        <is>
          <t>Costa Rica</t>
        </is>
      </c>
      <c r="B15" s="15" t="inlineStr">
        <is>
          <t>Formación técnica pública</t>
        </is>
      </c>
      <c r="C15" s="73" t="inlineStr">
        <is>
          <t>Instituto Nacional de Aprendizaje</t>
        </is>
      </c>
      <c r="D15" s="73" t="inlineStr">
        <is>
          <t>CENTRO REGIONAL POLIVALENTE SAN ISIDRO</t>
        </is>
      </c>
      <c r="E15" s="73" t="n"/>
      <c r="F15" s="73" t="inlineStr">
        <is>
          <t>CENTRO REGIONAL POLIVALENTE SAN ISIDRO</t>
        </is>
      </c>
      <c r="G15" s="18" t="inlineStr">
        <is>
          <t>https://www.ina.ac.cr/SiteAssets/docs/PDF/Regionales_Centros_Formacion_INA.pdf</t>
        </is>
      </c>
      <c r="H15" s="73" t="inlineStr">
        <is>
          <t>Jose Michael Leiva Núñez (Jefatura)</t>
        </is>
      </c>
      <c r="I15" s="73" t="inlineStr">
        <is>
          <t>2771-3945</t>
        </is>
      </c>
      <c r="J15" s="73" t="inlineStr">
        <is>
          <t>jleivanunez@ina.ac.cr</t>
        </is>
      </c>
      <c r="K15" s="18" t="inlineStr">
        <is>
          <t>https://www.ina.ac.cr/SiteAssets/docs/PDF/Regionales_Centros_Formacion_INA.pdf</t>
        </is>
      </c>
      <c r="L15" s="51" t="inlineStr">
        <is>
          <t>CONFIRMADO</t>
        </is>
      </c>
      <c r="M15" s="30" t="inlineStr">
        <is>
          <t xml:space="preserve">Datos exactos del PDF adjuntado en detalles y fuentes </t>
        </is>
      </c>
    </row>
    <row r="16" ht="30" customHeight="1" s="182">
      <c r="A16" s="42" t="inlineStr">
        <is>
          <t>Costa Rica</t>
        </is>
      </c>
      <c r="B16" s="15" t="inlineStr">
        <is>
          <t>Formación técnica pública</t>
        </is>
      </c>
      <c r="C16" s="73" t="inlineStr">
        <is>
          <t>Instituto Nacional de Aprendizaje</t>
        </is>
      </c>
      <c r="D16" s="73" t="inlineStr">
        <is>
          <t>UNIDAD REGIONAL CARTAGO</t>
        </is>
      </c>
      <c r="E16" s="73" t="n"/>
      <c r="F16" s="73" t="inlineStr">
        <is>
          <t>UNIDAD REGIONAL CARTAGO</t>
        </is>
      </c>
      <c r="G16" s="18" t="inlineStr">
        <is>
          <t>https://www.ina.ac.cr/SiteAssets/docs/PDF/Regionales_Centros_Formacion_INA.pdf</t>
        </is>
      </c>
      <c r="H16" s="73" t="inlineStr">
        <is>
          <t>Mylena Matamoros Paniagua (Jefatura)</t>
        </is>
      </c>
      <c r="I16" s="73" t="inlineStr">
        <is>
          <t>2550-6602</t>
        </is>
      </c>
      <c r="J16" s="73" t="inlineStr">
        <is>
          <t>mmatamorospaniagua@ina.ac.cr</t>
        </is>
      </c>
      <c r="K16" s="18" t="inlineStr">
        <is>
          <t>https://www.ina.ac.cr/SiteAssets/docs/PDF/Regionales_Centros_Formacion_INA.pdf</t>
        </is>
      </c>
      <c r="L16" s="51" t="inlineStr">
        <is>
          <t>CONFIRMADO</t>
        </is>
      </c>
      <c r="M16" s="30" t="inlineStr">
        <is>
          <t xml:space="preserve">Datos exactos del PDF adjuntado en detalles y fuentes </t>
        </is>
      </c>
    </row>
    <row r="17" ht="30" customHeight="1" s="182">
      <c r="A17" s="42" t="inlineStr">
        <is>
          <t>Costa Rica</t>
        </is>
      </c>
      <c r="B17" s="15" t="inlineStr">
        <is>
          <t>Formación técnica pública</t>
        </is>
      </c>
      <c r="C17" s="73" t="inlineStr">
        <is>
          <t>Instituto Nacional de Aprendizaje</t>
        </is>
      </c>
      <c r="D17" s="73" t="inlineStr">
        <is>
          <t>CENTRO DE FORMACIÓN PROFESIONAL CARTAGO</t>
        </is>
      </c>
      <c r="E17" s="73" t="n"/>
      <c r="F17" s="73" t="inlineStr">
        <is>
          <t>CENTRO DE FORMACIÓN PROFESIONAL CARTAGO</t>
        </is>
      </c>
      <c r="G17" s="18" t="inlineStr">
        <is>
          <t>https://www.ina.ac.cr/SiteAssets/docs/PDF/Regionales_Centros_Formacion_INA.pdf</t>
        </is>
      </c>
      <c r="H17" s="73" t="inlineStr">
        <is>
          <t>Ivannia Naranjo Mejía (Jefatura)</t>
        </is>
      </c>
      <c r="I17" s="73" t="inlineStr">
        <is>
          <t>2550-6702</t>
        </is>
      </c>
      <c r="J17" s="73" t="inlineStr">
        <is>
          <t>inaranjomejia@ina.ac.cr</t>
        </is>
      </c>
      <c r="K17" s="18" t="inlineStr">
        <is>
          <t>https://www.ina.ac.cr/SiteAssets/docs/PDF/Regionales_Centros_Formacion_INA.pdf</t>
        </is>
      </c>
      <c r="L17" s="51" t="inlineStr">
        <is>
          <t>CONFIRMADO</t>
        </is>
      </c>
      <c r="M17" s="30" t="inlineStr">
        <is>
          <t xml:space="preserve">Datos exactos del PDF adjuntado en detalles y fuentes </t>
        </is>
      </c>
    </row>
    <row r="18" ht="30" customHeight="1" s="182">
      <c r="A18" s="42" t="inlineStr">
        <is>
          <t>Costa Rica</t>
        </is>
      </c>
      <c r="B18" s="15" t="inlineStr">
        <is>
          <t>Formación técnica pública</t>
        </is>
      </c>
      <c r="C18" s="73" t="inlineStr">
        <is>
          <t>Instituto Nacional de Aprendizaje</t>
        </is>
      </c>
      <c r="D18" s="73" t="inlineStr">
        <is>
          <t>CENTRO DE FORMACIÓN PROFESIONAL PARAISO</t>
        </is>
      </c>
      <c r="E18" s="73" t="n"/>
      <c r="F18" s="73" t="inlineStr">
        <is>
          <t>CENTRO DE FORMACIÓN PROFESIONAL PARAISO</t>
        </is>
      </c>
      <c r="G18" s="18" t="inlineStr">
        <is>
          <t>https://www.ina.ac.cr/SiteAssets/docs/PDF/Regionales_Centros_Formacion_INA.pdf</t>
        </is>
      </c>
      <c r="H18" s="73" t="inlineStr">
        <is>
          <t>José Manuel Rojas Quirós (Jefatura)</t>
        </is>
      </c>
      <c r="I18" s="73" t="inlineStr">
        <is>
          <t>2574-8980</t>
        </is>
      </c>
      <c r="J18" s="138" t="inlineStr">
        <is>
          <t>jrojasquiros@ina.ac.cr</t>
        </is>
      </c>
      <c r="K18" s="18" t="inlineStr">
        <is>
          <t>https://www.ina.ac.cr/SiteAssets/docs/PDF/Regionales_Centros_Formacion_INA.pdf</t>
        </is>
      </c>
      <c r="L18" s="51" t="inlineStr">
        <is>
          <t>CONFIRMADO</t>
        </is>
      </c>
      <c r="M18" s="30" t="inlineStr">
        <is>
          <t xml:space="preserve">Datos exactos del PDF adjuntado en detalles y fuentes </t>
        </is>
      </c>
    </row>
    <row r="19" ht="30" customHeight="1" s="182">
      <c r="A19" s="42" t="inlineStr">
        <is>
          <t>Costa Rica</t>
        </is>
      </c>
      <c r="B19" s="15" t="inlineStr">
        <is>
          <t>Formación técnica pública</t>
        </is>
      </c>
      <c r="C19" s="73" t="inlineStr">
        <is>
          <t>Instituto Nacional de Aprendizaje</t>
        </is>
      </c>
      <c r="D19" s="73" t="inlineStr">
        <is>
          <t>CENTRO DE FORMACIÓN PROFESIONAL TURRIALBA</t>
        </is>
      </c>
      <c r="E19" s="73" t="n"/>
      <c r="F19" s="73" t="inlineStr">
        <is>
          <t>CENTRO DE FORMACIÓN PROFESIONAL TURRIALBA</t>
        </is>
      </c>
      <c r="G19" s="18" t="inlineStr">
        <is>
          <t>https://www.ina.ac.cr/SiteAssets/docs/PDF/Regionales_Centros_Formacion_INA.pdf</t>
        </is>
      </c>
      <c r="H19" s="73" t="inlineStr">
        <is>
          <t>Mylena Matamoros Paniagua (Jefatura a.i.)</t>
        </is>
      </c>
      <c r="I19" s="73" t="inlineStr">
        <is>
          <t>2556-6917</t>
        </is>
      </c>
      <c r="J19" s="73" t="inlineStr">
        <is>
          <t>mmatamorospaniagua@ina.ac.cr</t>
        </is>
      </c>
      <c r="K19" s="18" t="inlineStr">
        <is>
          <t>https://www.ina.ac.cr/SiteAssets/docs/PDF/Regionales_Centros_Formacion_INA.pdf</t>
        </is>
      </c>
      <c r="L19" s="51" t="inlineStr">
        <is>
          <t>CONFIRMADO</t>
        </is>
      </c>
      <c r="M19" s="30" t="inlineStr">
        <is>
          <t xml:space="preserve">Datos exactos del PDF adjuntado en detalles y fuentes </t>
        </is>
      </c>
    </row>
    <row r="20" ht="30" customHeight="1" s="182">
      <c r="A20" s="42" t="inlineStr">
        <is>
          <t>Costa Rica</t>
        </is>
      </c>
      <c r="B20" s="15" t="inlineStr">
        <is>
          <t>Formación técnica pública</t>
        </is>
      </c>
      <c r="C20" s="73" t="inlineStr">
        <is>
          <t>Instituto Nacional de Aprendizaje</t>
        </is>
      </c>
      <c r="D20" s="73" t="inlineStr">
        <is>
          <t>CENTRO DE FORMACIÓN DE TALLER PÚBLICO DE CARTAGO, LOYOLA</t>
        </is>
      </c>
      <c r="E20" s="73" t="n"/>
      <c r="F20" s="73" t="inlineStr">
        <is>
          <t>CENTRO DE FORMACIÓN DE TALLER PÚBLICO DE CARTAGO, LOYOLA</t>
        </is>
      </c>
      <c r="G20" s="18" t="inlineStr">
        <is>
          <t>https://www.ina.ac.cr/SiteAssets/docs/PDF/Regionales_Centros_Formacion_INA.pdf</t>
        </is>
      </c>
      <c r="H20" s="73" t="inlineStr">
        <is>
          <t>Carolina Jarquín Quesada (Jefatura)</t>
        </is>
      </c>
      <c r="I20" s="73" t="inlineStr">
        <is>
          <t>2106-0251</t>
        </is>
      </c>
      <c r="J20" s="183" t="inlineStr">
        <is>
          <t>cjarquinquesada@ina.ac.cr</t>
        </is>
      </c>
      <c r="K20" s="18" t="inlineStr">
        <is>
          <t>https://www.ina.ac.cr/SiteAssets/docs/PDF/Regionales_Centros_Formacion_INA.pdf</t>
        </is>
      </c>
      <c r="L20" s="51" t="inlineStr">
        <is>
          <t>CONFIRMADO</t>
        </is>
      </c>
      <c r="M20" s="184" t="inlineStr">
        <is>
          <t>Datos exactos del PDF adjuntado en detalles y fuentes | Auditoría 08-oct-2026: Dominio de email corregido ina.ac.or→ina.ac.cr.</t>
        </is>
      </c>
    </row>
    <row r="21" ht="30" customHeight="1" s="182">
      <c r="A21" s="42" t="inlineStr">
        <is>
          <t>Costa Rica</t>
        </is>
      </c>
      <c r="B21" s="15" t="inlineStr">
        <is>
          <t>Formación técnica pública</t>
        </is>
      </c>
      <c r="C21" s="73" t="inlineStr">
        <is>
          <t>Instituto Nacional de Aprendizaje</t>
        </is>
      </c>
      <c r="D21" s="73" t="inlineStr">
        <is>
          <t>CENTRO PLURISECTORIAL DE ECONOMIA SOCIAL SOLIDARIA LOS SANTOS</t>
        </is>
      </c>
      <c r="E21" s="73" t="n"/>
      <c r="F21" s="73" t="inlineStr">
        <is>
          <t>CENTRO PLURISECTORIAL DE ECONOMIA SOCIAL SOLIDARIA LOS SANTOS</t>
        </is>
      </c>
      <c r="G21" s="18" t="inlineStr">
        <is>
          <t>https://www.ina.ac.cr/SiteAssets/docs/PDF/Regionales_Centros_Formacion_INA.pdf</t>
        </is>
      </c>
      <c r="H21" s="73" t="inlineStr">
        <is>
          <t>Alejandro Montenegro Cerdas (Jefatura)</t>
        </is>
      </c>
      <c r="I21" s="73" t="inlineStr">
        <is>
          <t>2106-0402</t>
        </is>
      </c>
      <c r="J21" s="73" t="inlineStr">
        <is>
          <t>amontenegrocerdas@ina.ac.cr</t>
        </is>
      </c>
      <c r="K21" s="18" t="inlineStr">
        <is>
          <t>https://www.ina.ac.cr/SiteAssets/docs/PDF/Regionales_Centros_Formacion_INA.pdf</t>
        </is>
      </c>
      <c r="L21" s="51" t="inlineStr">
        <is>
          <t>CONFIRMADO</t>
        </is>
      </c>
      <c r="M21" s="30" t="inlineStr">
        <is>
          <t xml:space="preserve">Datos exactos del PDF adjuntado en detalles y fuentes </t>
        </is>
      </c>
    </row>
    <row r="22" ht="30" customHeight="1" s="182">
      <c r="A22" s="42" t="inlineStr">
        <is>
          <t>Costa Rica</t>
        </is>
      </c>
      <c r="B22" s="15" t="inlineStr">
        <is>
          <t>Formación técnica pública</t>
        </is>
      </c>
      <c r="C22" s="73" t="inlineStr">
        <is>
          <t>Instituto Nacional de Aprendizaje</t>
        </is>
      </c>
      <c r="D22" s="73" t="inlineStr">
        <is>
          <t>CENTRO NACIONAL ESPECIALIZADO EN AGRICULTURA ORGÁNICA</t>
        </is>
      </c>
      <c r="E22" s="73" t="n"/>
      <c r="F22" s="73" t="inlineStr">
        <is>
          <t>CENTRO NACIONAL ESPECIALIZADO EN AGRICULTURA ORGÁNICA</t>
        </is>
      </c>
      <c r="G22" s="18" t="inlineStr">
        <is>
          <t>https://www.ina.ac.cr/SiteAssets/docs/PDF/Regionales_Centros_Formacion_INA.pdf</t>
        </is>
      </c>
      <c r="H22" s="73" t="inlineStr">
        <is>
          <t>Fabián Pacheco Rodríguez (Jefatura)</t>
        </is>
      </c>
      <c r="I22" s="73" t="inlineStr">
        <is>
          <t>2551-8361</t>
        </is>
      </c>
      <c r="J22" s="73" t="inlineStr">
        <is>
          <t>fpachecorodriguez@ina.ac.cr</t>
        </is>
      </c>
      <c r="K22" s="18" t="inlineStr">
        <is>
          <t>https://www.ina.ac.cr/SiteAssets/docs/PDF/Regionales_Centros_Formacion_INA.pdf</t>
        </is>
      </c>
      <c r="L22" s="51" t="inlineStr">
        <is>
          <t>CONFIRMADO</t>
        </is>
      </c>
      <c r="M22" s="30" t="inlineStr">
        <is>
          <t xml:space="preserve">Datos exactos del PDF adjuntado en detalles y fuentes </t>
        </is>
      </c>
    </row>
    <row r="23" ht="30" customHeight="1" s="182">
      <c r="A23" s="42" t="inlineStr">
        <is>
          <t>Costa Rica</t>
        </is>
      </c>
      <c r="B23" s="15" t="inlineStr">
        <is>
          <t>Formación técnica pública</t>
        </is>
      </c>
      <c r="C23" s="73" t="inlineStr">
        <is>
          <t>Instituto Nacional de Aprendizaje</t>
        </is>
      </c>
      <c r="D23" s="73" t="inlineStr">
        <is>
          <t>UNIDAD REGIONAL CENTRAL OCCIDENTAL</t>
        </is>
      </c>
      <c r="E23" s="73" t="n"/>
      <c r="F23" s="73" t="inlineStr">
        <is>
          <t>UNIDAD REGIONAL CENTRAL OCCIDENTAL</t>
        </is>
      </c>
      <c r="G23" s="18" t="inlineStr">
        <is>
          <t>https://www.ina.ac.cr/SiteAssets/docs/PDF/Regionales_Centros_Formacion_INA.pdf</t>
        </is>
      </c>
      <c r="H23" s="73" t="inlineStr">
        <is>
          <t>Kattia Zamora Castillo (Jefatura)</t>
        </is>
      </c>
      <c r="I23" s="73" t="inlineStr">
        <is>
          <t>2106-2100</t>
        </is>
      </c>
      <c r="J23" s="73" t="inlineStr">
        <is>
          <t>kzamoracastillo@ina.ac.cr</t>
        </is>
      </c>
      <c r="K23" s="18" t="inlineStr">
        <is>
          <t>https://www.ina.ac.cr/SiteAssets/docs/PDF/Regionales_Centros_Formacion_INA.pdf</t>
        </is>
      </c>
      <c r="L23" s="51" t="inlineStr">
        <is>
          <t>CONFIRMADO</t>
        </is>
      </c>
      <c r="M23" s="30" t="inlineStr">
        <is>
          <t xml:space="preserve">Datos exactos del PDF adjuntado en detalles y fuentes </t>
        </is>
      </c>
    </row>
    <row r="24" ht="30" customHeight="1" s="182">
      <c r="A24" s="42" t="inlineStr">
        <is>
          <t>Costa Rica</t>
        </is>
      </c>
      <c r="B24" s="15" t="inlineStr">
        <is>
          <t>Formación técnica pública</t>
        </is>
      </c>
      <c r="C24" s="73" t="inlineStr">
        <is>
          <t>Instituto Nacional de Aprendizaje</t>
        </is>
      </c>
      <c r="D24" s="73" t="inlineStr">
        <is>
          <t>CENTRO DE FORMACIÓN PROFESIONAL DE SAN RAMÓN</t>
        </is>
      </c>
      <c r="E24" s="73" t="n"/>
      <c r="F24" s="73" t="inlineStr">
        <is>
          <t>CENTRO DE FORMACIÓN PROFESIONAL DE SAN RAMÓN</t>
        </is>
      </c>
      <c r="G24" s="18" t="inlineStr">
        <is>
          <t>https://www.ina.ac.cr/SiteAssets/docs/PDF/Regionales_Centros_Formacion_INA.pdf</t>
        </is>
      </c>
      <c r="H24" s="73" t="inlineStr">
        <is>
          <t>Roy Sebastián Ramírez Rodríguez (Jefatura)</t>
        </is>
      </c>
      <c r="I24" s="73" t="inlineStr">
        <is>
          <t>2106-2630</t>
        </is>
      </c>
      <c r="J24" s="183" t="inlineStr">
        <is>
          <t>rramirezrodriguez@ina.ac.cr</t>
        </is>
      </c>
      <c r="K24" s="18" t="inlineStr">
        <is>
          <t>https://www.ina.ac.cr/SiteAssets/docs/PDF/Regionales_Centros_Formacion_INA.pdf</t>
        </is>
      </c>
      <c r="L24" s="51" t="inlineStr">
        <is>
          <t>CONFIRMADO</t>
        </is>
      </c>
      <c r="M24" s="184" t="inlineStr">
        <is>
          <t>Datos exactos del PDF adjuntado en detalles y fuentes | Auditoría 08-oct-2026: Dominio de email corregido ina.ac.or→ina.ac.cr.</t>
        </is>
      </c>
    </row>
    <row r="25" ht="30" customHeight="1" s="182">
      <c r="A25" s="42" t="inlineStr">
        <is>
          <t>Costa Rica</t>
        </is>
      </c>
      <c r="B25" s="15" t="inlineStr">
        <is>
          <t>Formación técnica pública</t>
        </is>
      </c>
      <c r="C25" s="73" t="inlineStr">
        <is>
          <t>Instituto Nacional de Aprendizaje</t>
        </is>
      </c>
      <c r="D25" s="73" t="inlineStr">
        <is>
          <t>CENTRO DE DESARROLLO TECNOLÓGICO EN TELEMÁTICA Y MICROELECTRICIDAD</t>
        </is>
      </c>
      <c r="E25" s="73" t="n"/>
      <c r="F25" s="73" t="inlineStr">
        <is>
          <t>CENTRO DE DESARROLLO TECNOLÓGICO EN TELEMÁTICA Y MICROELECTRICIDAD</t>
        </is>
      </c>
      <c r="G25" s="18" t="inlineStr">
        <is>
          <t>https://www.ina.ac.cr/SiteAssets/docs/PDF/Regionales_Centros_Formacion_INA.pdf</t>
        </is>
      </c>
      <c r="H25" s="73" t="inlineStr">
        <is>
          <t>Ana Lucía Jiménez Mayorga (Jefatura)</t>
        </is>
      </c>
      <c r="I25" s="73" t="inlineStr">
        <is>
          <t>2106-2077</t>
        </is>
      </c>
      <c r="J25" s="73" t="inlineStr">
        <is>
          <t>ajimenezmayorga@ina.ac.cr</t>
        </is>
      </c>
      <c r="K25" s="18" t="inlineStr">
        <is>
          <t>https://www.ina.ac.cr/SiteAssets/docs/PDF/Regionales_Centros_Formacion_INA.pdf</t>
        </is>
      </c>
      <c r="L25" s="51" t="inlineStr">
        <is>
          <t>CONFIRMADO</t>
        </is>
      </c>
      <c r="M25" s="30" t="inlineStr">
        <is>
          <t xml:space="preserve">Datos exactos del PDF adjuntado en detalles y fuentes </t>
        </is>
      </c>
    </row>
    <row r="26" ht="30" customHeight="1" s="182">
      <c r="A26" s="42" t="inlineStr">
        <is>
          <t>Costa Rica</t>
        </is>
      </c>
      <c r="B26" s="15" t="inlineStr">
        <is>
          <t>Formación técnica pública</t>
        </is>
      </c>
      <c r="C26" s="73" t="inlineStr">
        <is>
          <t>Instituto Nacional de Aprendizaje</t>
        </is>
      </c>
      <c r="D26" s="73" t="inlineStr">
        <is>
          <t>CENTRO DE DESARROLLO TECNOLÓGICO EN INDUSTRIA ALIMENTARIA</t>
        </is>
      </c>
      <c r="E26" s="73" t="n"/>
      <c r="F26" s="73" t="inlineStr">
        <is>
          <t>CENTRO DE DESARROLLO TECNOLÓGICO EN INDUSTRIA ALIMENTARIA</t>
        </is>
      </c>
      <c r="G26" s="18" t="inlineStr">
        <is>
          <t>https://www.ina.ac.cr/SiteAssets/docs/PDF/Regionales_Centros_Formacion_INA.pdf</t>
        </is>
      </c>
      <c r="H26" s="89" t="inlineStr">
        <is>
          <t>Henry Castro Castro (Jefatura)</t>
        </is>
      </c>
      <c r="I26" s="73" t="inlineStr">
        <is>
          <t>2106-2701</t>
        </is>
      </c>
      <c r="J26" s="73" t="inlineStr">
        <is>
          <t>hcastrocastro@ina.ac.cr</t>
        </is>
      </c>
      <c r="K26" s="18" t="inlineStr">
        <is>
          <t>https://www.ina.ac.cr/SiteAssets/docs/PDF/Regionales_Centros_Formacion_INA.pdf</t>
        </is>
      </c>
      <c r="L26" s="51" t="inlineStr">
        <is>
          <t>CONFIRMADO</t>
        </is>
      </c>
      <c r="M26" s="30" t="inlineStr">
        <is>
          <t xml:space="preserve">Datos exactos del PDF adjuntado en detalles y fuentes </t>
        </is>
      </c>
    </row>
    <row r="27" ht="30" customHeight="1" s="182">
      <c r="A27" s="42" t="inlineStr">
        <is>
          <t>Costa Rica</t>
        </is>
      </c>
      <c r="B27" s="15" t="inlineStr">
        <is>
          <t>Formación técnica pública</t>
        </is>
      </c>
      <c r="C27" s="73" t="inlineStr">
        <is>
          <t>Instituto Nacional de Aprendizaje</t>
        </is>
      </c>
      <c r="D27" s="73" t="inlineStr">
        <is>
          <t>CENTRO NACIONAL ESPECIALIZADO EN AUTOTRÓNICA</t>
        </is>
      </c>
      <c r="E27" s="73" t="n"/>
      <c r="F27" s="73" t="inlineStr">
        <is>
          <t>CENTRO NACIONAL ESPECIALIZADO EN AUTOTRÓNICA</t>
        </is>
      </c>
      <c r="G27" s="18" t="inlineStr">
        <is>
          <t>https://www.ina.ac.cr/SiteAssets/docs/PDF/Regionales_Centros_Formacion_INA.pdf</t>
        </is>
      </c>
      <c r="H27" s="89" t="inlineStr">
        <is>
          <t>Karol Montero Ávila (Jefatura)</t>
        </is>
      </c>
      <c r="I27" s="89" t="inlineStr">
        <is>
          <t>2106-2110</t>
        </is>
      </c>
      <c r="J27" s="73" t="inlineStr">
        <is>
          <t>jmolinagonzalez@ina.ac.cr</t>
        </is>
      </c>
      <c r="K27" s="18" t="inlineStr">
        <is>
          <t>https://www.ina.ac.cr/SiteAssets/docs/PDF/Regionales_Centros_Formacion_INA.pdf</t>
        </is>
      </c>
      <c r="L27" s="51" t="inlineStr">
        <is>
          <t>CONFIRMADO</t>
        </is>
      </c>
      <c r="M27" s="30" t="inlineStr">
        <is>
          <t xml:space="preserve">Datos exactos del PDF adjuntado en detalles y fuentes </t>
        </is>
      </c>
    </row>
    <row r="28" ht="30" customHeight="1" s="182">
      <c r="A28" s="42" t="inlineStr">
        <is>
          <t>Costa Rica</t>
        </is>
      </c>
      <c r="B28" s="15" t="inlineStr">
        <is>
          <t>Formación técnica pública</t>
        </is>
      </c>
      <c r="C28" s="73" t="inlineStr">
        <is>
          <t>Instituto Nacional de Aprendizaje</t>
        </is>
      </c>
      <c r="D28" s="73" t="inlineStr">
        <is>
          <t>CENTRO DE DESARROLLO TECNOLÓGICO METALMECÁNICA</t>
        </is>
      </c>
      <c r="E28" s="73" t="n"/>
      <c r="F28" s="73" t="inlineStr">
        <is>
          <t>CENTRO DE DESARROLLO TECNOLÓGICO METALMECÁNICA</t>
        </is>
      </c>
      <c r="G28" s="18" t="inlineStr">
        <is>
          <t>https://www.ina.ac.cr/SiteAssets/docs/PDF/Regionales_Centros_Formacion_INA.pdf</t>
        </is>
      </c>
      <c r="H28" s="73" t="inlineStr">
        <is>
          <t>Carlomagno Guevara González (Jefatura)</t>
        </is>
      </c>
      <c r="I28" s="73" t="inlineStr">
        <is>
          <t>2106-2110</t>
        </is>
      </c>
      <c r="J28" s="73" t="inlineStr">
        <is>
          <t>cguevaragonzalez@ina.ac.cr</t>
        </is>
      </c>
      <c r="K28" s="18" t="inlineStr">
        <is>
          <t>https://www.ina.ac.cr/SiteAssets/docs/PDF/Regionales_Centros_Formacion_INA.pdf</t>
        </is>
      </c>
      <c r="L28" s="51" t="inlineStr">
        <is>
          <t>CONFIRMADO</t>
        </is>
      </c>
      <c r="M28" s="30" t="inlineStr">
        <is>
          <t xml:space="preserve">Datos exactos del PDF adjuntado en detalles y fuentes </t>
        </is>
      </c>
    </row>
    <row r="29" ht="30" customHeight="1" s="182">
      <c r="A29" s="42" t="inlineStr">
        <is>
          <t>Costa Rica</t>
        </is>
      </c>
      <c r="B29" s="15" t="inlineStr">
        <is>
          <t>Formación técnica pública</t>
        </is>
      </c>
      <c r="C29" s="73" t="inlineStr">
        <is>
          <t>Instituto Nacional de Aprendizaje</t>
        </is>
      </c>
      <c r="D29" s="73" t="inlineStr">
        <is>
          <t>CENTRO DE FORMACIÓN PROFESIONAL DE VALVERDE VEGA</t>
        </is>
      </c>
      <c r="E29" s="73" t="n"/>
      <c r="F29" s="73" t="inlineStr">
        <is>
          <t>CENTRO DE FORMACIÓN PROFESIONAL DE VALVERDE VEGA</t>
        </is>
      </c>
      <c r="G29" s="18" t="inlineStr">
        <is>
          <t>https://www.ina.ac.cr/SiteAssets/docs/PDF/Regionales_Centros_Formacion_INA.pdf</t>
        </is>
      </c>
      <c r="H29" s="138" t="inlineStr">
        <is>
          <t>Gerzen Zamora Vargas (Jefatura)</t>
        </is>
      </c>
      <c r="I29" s="138" t="inlineStr">
        <is>
          <t>2106-2550</t>
        </is>
      </c>
      <c r="J29" s="138" t="inlineStr">
        <is>
          <t>gzamoravargas@ina.ac.cr</t>
        </is>
      </c>
      <c r="K29" s="18" t="inlineStr">
        <is>
          <t>https://www.ina.ac.cr/SiteAssets/docs/PDF/Regionales_Centros_Formacion_INA.pdf</t>
        </is>
      </c>
      <c r="L29" s="51" t="inlineStr">
        <is>
          <t>CONFIRMADO</t>
        </is>
      </c>
      <c r="M29" s="30" t="inlineStr">
        <is>
          <t xml:space="preserve">Datos exactos del PDF adjuntado en detalles y fuentes </t>
        </is>
      </c>
    </row>
    <row r="30" ht="30" customHeight="1" s="182">
      <c r="A30" s="42" t="inlineStr">
        <is>
          <t>Costa Rica</t>
        </is>
      </c>
      <c r="B30" s="15" t="inlineStr">
        <is>
          <t>Formación técnica pública</t>
        </is>
      </c>
      <c r="C30" s="73" t="inlineStr">
        <is>
          <t>Instituto Nacional de Aprendizaje</t>
        </is>
      </c>
      <c r="D30" s="73" t="inlineStr">
        <is>
          <t>CENTRO DE FORMACIÓN PROFESIONAL DE ALAJUELA</t>
        </is>
      </c>
      <c r="E30" s="73" t="n"/>
      <c r="F30" s="73" t="inlineStr">
        <is>
          <t>CENTRO DE FORMACIÓN PROFESIONAL DE ALAJUELA</t>
        </is>
      </c>
      <c r="G30" s="18" t="inlineStr">
        <is>
          <t>https://www.ina.ac.cr/SiteAssets/docs/PDF/Regionales_Centros_Formacion_INA.pdf</t>
        </is>
      </c>
      <c r="H30" s="73" t="inlineStr">
        <is>
          <t>Eduardo Sibaja Láscarez (Jefatura)</t>
        </is>
      </c>
      <c r="I30" s="73" t="inlineStr">
        <is>
          <t>2106-2600</t>
        </is>
      </c>
      <c r="J30" s="73" t="inlineStr">
        <is>
          <t>esibajalascarez@ina.ac.cr</t>
        </is>
      </c>
      <c r="K30" s="18" t="inlineStr">
        <is>
          <t>https://www.ina.ac.cr/SiteAssets/docs/PDF/Regionales_Centros_Formacion_INA.pdf</t>
        </is>
      </c>
      <c r="L30" s="51" t="inlineStr">
        <is>
          <t>CONFIRMADO</t>
        </is>
      </c>
      <c r="M30" s="30" t="inlineStr">
        <is>
          <t xml:space="preserve">Datos exactos del PDF adjuntado en detalles y fuentes </t>
        </is>
      </c>
    </row>
    <row r="31" ht="30" customHeight="1" s="182">
      <c r="A31" s="42" t="inlineStr">
        <is>
          <t>Costa Rica</t>
        </is>
      </c>
      <c r="B31" s="15" t="inlineStr">
        <is>
          <t>Formación técnica pública</t>
        </is>
      </c>
      <c r="C31" s="73" t="inlineStr">
        <is>
          <t>Instituto Nacional de Aprendizaje</t>
        </is>
      </c>
      <c r="D31" s="73" t="inlineStr">
        <is>
          <t>CENTRO DE FORMACIÓN PROFESIONAL GRECIA</t>
        </is>
      </c>
      <c r="E31" s="73" t="n"/>
      <c r="F31" s="28" t="inlineStr">
        <is>
          <t>CENTRO DE FORMACIÓN PROFESIONAL GRECIA</t>
        </is>
      </c>
      <c r="G31" s="18" t="inlineStr">
        <is>
          <t>https://www.ina.ac.cr/SiteAssets/docs/PDF/Regionales_Centros_Formacion_INA.pdf</t>
        </is>
      </c>
      <c r="H31" s="138" t="inlineStr">
        <is>
          <t>Leonardo Alfaro Rojas (Jefatura)</t>
        </is>
      </c>
      <c r="I31" s="138" t="inlineStr">
        <is>
          <t>2106-2500</t>
        </is>
      </c>
      <c r="J31" s="138" t="inlineStr">
        <is>
          <t>lealfarorojas@ina.ac.cr</t>
        </is>
      </c>
      <c r="K31" s="18" t="inlineStr">
        <is>
          <t>https://www.ina.ac.cr/SiteAssets/docs/PDF/Regionales_Centros_Formacion_INA.pdf</t>
        </is>
      </c>
      <c r="L31" s="51" t="inlineStr">
        <is>
          <t>CONFIRMADO</t>
        </is>
      </c>
      <c r="M31" s="30" t="inlineStr">
        <is>
          <t xml:space="preserve">Datos exactos del PDF adjuntado en detalles y fuentes </t>
        </is>
      </c>
    </row>
    <row r="32" ht="30" customHeight="1" s="182">
      <c r="A32" s="42" t="inlineStr">
        <is>
          <t>Costa Rica</t>
        </is>
      </c>
      <c r="B32" s="15" t="inlineStr">
        <is>
          <t>Formación técnica pública</t>
        </is>
      </c>
      <c r="C32" s="73" t="inlineStr">
        <is>
          <t>Instituto Nacional de Aprendizaje</t>
        </is>
      </c>
      <c r="D32" s="73" t="inlineStr">
        <is>
          <t>CENTRO REGIONAL POLIVALENTE Y FINCA DIDACTICA DE NARANJO</t>
        </is>
      </c>
      <c r="E32" s="73" t="n"/>
      <c r="F32" s="73" t="inlineStr">
        <is>
          <t>CENTRO REGIONAL POLIVALENTE Y FINCA DIDACTICA DE NARANJO</t>
        </is>
      </c>
      <c r="G32" s="18" t="inlineStr">
        <is>
          <t>https://www.ina.ac.cr/SiteAssets/docs/PDF/Regionales_Centros_Formacion_INA.pdf</t>
        </is>
      </c>
      <c r="H32" s="138" t="inlineStr">
        <is>
          <t>Mariamalia Burdock Murillo (Jefatura)</t>
        </is>
      </c>
      <c r="I32" s="138" t="inlineStr">
        <is>
          <t>2106-2400</t>
        </is>
      </c>
      <c r="J32" s="138" t="inlineStr">
        <is>
          <t>mburdockmurillo@ina.ac.cr</t>
        </is>
      </c>
      <c r="K32" s="18" t="inlineStr">
        <is>
          <t>https://www.ina.ac.cr/SiteAssets/docs/PDF/Regionales_Centros_Formacion_INA.pdf</t>
        </is>
      </c>
      <c r="L32" s="51" t="inlineStr">
        <is>
          <t>CONFIRMADO</t>
        </is>
      </c>
      <c r="M32" s="30" t="inlineStr">
        <is>
          <t xml:space="preserve">Datos exactos del PDF adjuntado en detalles y fuentes </t>
        </is>
      </c>
    </row>
    <row r="33" ht="30" customHeight="1" s="182">
      <c r="A33" s="42" t="inlineStr">
        <is>
          <t>Costa Rica</t>
        </is>
      </c>
      <c r="B33" s="15" t="inlineStr">
        <is>
          <t>Formación técnica pública</t>
        </is>
      </c>
      <c r="C33" s="73" t="inlineStr">
        <is>
          <t>Instituto Nacional de Aprendizaje</t>
        </is>
      </c>
      <c r="D33" s="73" t="inlineStr">
        <is>
          <t>UNIDAD REGIONAL CENTRAL ORIENTAL</t>
        </is>
      </c>
      <c r="E33" s="73" t="n"/>
      <c r="F33" s="73" t="inlineStr">
        <is>
          <t>UNIDAD REGIONAL CENTRAL ORIENTAL</t>
        </is>
      </c>
      <c r="G33" s="18" t="inlineStr">
        <is>
          <t>https://www.ina.ac.cr/SiteAssets/docs/PDF/Regionales_Centros_Formacion_INA.pdf</t>
        </is>
      </c>
      <c r="H33" s="138" t="inlineStr">
        <is>
          <t>Jaime Campos Campos (Jefatura)</t>
        </is>
      </c>
      <c r="I33" s="138" t="inlineStr">
        <is>
          <t>2547-5320</t>
        </is>
      </c>
      <c r="J33" s="138" t="inlineStr">
        <is>
          <t>jcamposcampos@ina.ac.cr</t>
        </is>
      </c>
      <c r="K33" s="18" t="inlineStr">
        <is>
          <t>https://www.ina.ac.cr/SiteAssets/docs/PDF/Regionales_Centros_Formacion_INA.pdf</t>
        </is>
      </c>
      <c r="L33" s="51" t="inlineStr">
        <is>
          <t>CONFIRMADO</t>
        </is>
      </c>
      <c r="M33" s="30" t="inlineStr">
        <is>
          <t xml:space="preserve">Datos exactos del PDF adjuntado en detalles y fuentes </t>
        </is>
      </c>
    </row>
    <row r="34" ht="30" customHeight="1" s="182">
      <c r="A34" s="42" t="inlineStr">
        <is>
          <t>Costa Rica</t>
        </is>
      </c>
      <c r="B34" s="15" t="inlineStr">
        <is>
          <t>Formación técnica pública</t>
        </is>
      </c>
      <c r="C34" s="73" t="inlineStr">
        <is>
          <t>Instituto Nacional de Aprendizaje</t>
        </is>
      </c>
      <c r="D34" s="73" t="inlineStr">
        <is>
          <t>CENTRO NACIONAL POLIVALENTE FRANCISCO J. ORLICH</t>
        </is>
      </c>
      <c r="E34" s="73" t="n"/>
      <c r="F34" s="73" t="inlineStr">
        <is>
          <t>CENTRO NACIONAL POLIVALENTE FRANCISCO J. ORLICH</t>
        </is>
      </c>
      <c r="G34" s="18" t="inlineStr">
        <is>
          <t>https://www.ina.ac.cr/SiteAssets/docs/PDF/Regionales_Centros_Formacion_INA.pdf</t>
        </is>
      </c>
      <c r="H34" s="138" t="inlineStr">
        <is>
          <t>Luis Diego Guzmán Rojas (Jefatura)</t>
        </is>
      </c>
      <c r="I34" s="138" t="inlineStr">
        <is>
          <t>22115610 / Ext 5610</t>
        </is>
      </c>
      <c r="J34" s="212" t="inlineStr">
        <is>
          <t>lguzmanrojas@ina.ac.cr</t>
        </is>
      </c>
      <c r="K34" s="18" t="inlineStr">
        <is>
          <t>https://www.ina.ac.cr/SiteAssets/docs/PDF/Regionales_Centros_Formacion_INA.pdf</t>
        </is>
      </c>
      <c r="L34" s="51" t="inlineStr">
        <is>
          <t>CONFIRMADO</t>
        </is>
      </c>
      <c r="M34" s="184" t="inlineStr">
        <is>
          <t>Datos exactos del PDF adjuntado en detalles y fuentes | Auditoría 08-oct-2026: Dominio de email corregido ina.ac.or→ina.ac.cr.</t>
        </is>
      </c>
    </row>
    <row r="35" ht="30" customHeight="1" s="182">
      <c r="A35" s="42" t="inlineStr">
        <is>
          <t>Costa Rica</t>
        </is>
      </c>
      <c r="B35" s="15" t="inlineStr">
        <is>
          <t>Formación técnica pública</t>
        </is>
      </c>
      <c r="C35" s="73" t="inlineStr">
        <is>
          <t>Instituto Nacional de Aprendizaje</t>
        </is>
      </c>
      <c r="D35" s="73" t="inlineStr">
        <is>
          <t>CENTRO DE FORMACIÓN PROFESIONAL TIRRASES</t>
        </is>
      </c>
      <c r="E35" s="73" t="n"/>
      <c r="F35" s="73" t="inlineStr">
        <is>
          <t>CENTRO DE FORMACIÓN PROFESIONAL TIRRASES</t>
        </is>
      </c>
      <c r="G35" s="18" t="inlineStr">
        <is>
          <t>https://www.ina.ac.cr/SiteAssets/docs/PDF/Regionales_Centros_Formacion_INA.pdf</t>
        </is>
      </c>
      <c r="H35" s="138" t="inlineStr">
        <is>
          <t>Oscar Chávez Pérez (Jefatura)</t>
        </is>
      </c>
      <c r="I35" s="138" t="inlineStr">
        <is>
          <t>2276-7683</t>
        </is>
      </c>
      <c r="J35" s="138" t="inlineStr">
        <is>
          <t>ochavesperez@ina.ac.cr</t>
        </is>
      </c>
      <c r="K35" s="18" t="inlineStr">
        <is>
          <t>https://www.ina.ac.cr/SiteAssets/docs/PDF/Regionales_Centros_Formacion_INA.pdf</t>
        </is>
      </c>
      <c r="L35" s="51" t="inlineStr">
        <is>
          <t>CONFIRMADO</t>
        </is>
      </c>
      <c r="M35" s="30" t="inlineStr">
        <is>
          <t xml:space="preserve">Datos exactos del PDF adjuntado en detalles y fuentes </t>
        </is>
      </c>
    </row>
    <row r="36" ht="30" customHeight="1" s="182">
      <c r="A36" s="42" t="inlineStr">
        <is>
          <t>Costa Rica</t>
        </is>
      </c>
      <c r="B36" s="15" t="inlineStr">
        <is>
          <t>Formación técnica pública</t>
        </is>
      </c>
      <c r="C36" s="73" t="inlineStr">
        <is>
          <t>Instituto Nacional de Aprendizaje</t>
        </is>
      </c>
      <c r="D36" s="73" t="inlineStr">
        <is>
          <t>CENTRO DE FORMACIÓN PROFESIONAL DESAMPARADOS</t>
        </is>
      </c>
      <c r="E36" s="73" t="n"/>
      <c r="F36" s="73" t="inlineStr">
        <is>
          <t>CENTRO DE FORMACIÓN PROFESIONAL DESAMPARADOS</t>
        </is>
      </c>
      <c r="G36" s="18" t="inlineStr">
        <is>
          <t>https://www.ina.ac.cr/SiteAssets/docs/PDF/Regionales_Centros_Formacion_INA.pdf</t>
        </is>
      </c>
      <c r="H36" s="73" t="inlineStr">
        <is>
          <t>Harold Duarte Gonzalez (Jefatura)</t>
        </is>
      </c>
      <c r="I36" s="73" t="inlineStr">
        <is>
          <t>2276-7683</t>
        </is>
      </c>
      <c r="J36" s="73" t="inlineStr">
        <is>
          <t>HDuarteGonzalez@ina.ac.cr</t>
        </is>
      </c>
      <c r="K36" s="18" t="inlineStr">
        <is>
          <t>https://www.ina.ac.cr/SiteAssets/docs/PDF/Regionales_Centros_Formacion_INA.pdf</t>
        </is>
      </c>
      <c r="L36" s="51" t="inlineStr">
        <is>
          <t>CONFIRMADO</t>
        </is>
      </c>
      <c r="M36" s="30" t="inlineStr">
        <is>
          <t xml:space="preserve">Datos exactos del PDF adjuntado en detalles y fuentes </t>
        </is>
      </c>
    </row>
    <row r="37" ht="30" customHeight="1" s="182">
      <c r="A37" s="42" t="inlineStr">
        <is>
          <t>Costa Rica</t>
        </is>
      </c>
      <c r="B37" s="15" t="inlineStr">
        <is>
          <t>Formación técnica pública</t>
        </is>
      </c>
      <c r="C37" s="73" t="inlineStr">
        <is>
          <t>Instituto Nacional de Aprendizaje</t>
        </is>
      </c>
      <c r="D37" s="73" t="inlineStr">
        <is>
          <t>CENTRO DE FORMACIÓN PROFESIONAL FLORIDA SUR</t>
        </is>
      </c>
      <c r="E37" s="73" t="n"/>
      <c r="F37" s="73" t="inlineStr">
        <is>
          <t>CENTRO DE FORMACIÓN PROFESIONAL FLORIDA SUR</t>
        </is>
      </c>
      <c r="G37" s="18" t="inlineStr">
        <is>
          <t>https://www.ina.ac.cr/SiteAssets/docs/PDF/Regionales_Centros_Formacion_INA.pdf</t>
        </is>
      </c>
      <c r="H37" s="138" t="inlineStr">
        <is>
          <t>Viviana Villegas Morera (Jefatura)</t>
        </is>
      </c>
      <c r="I37" s="138" t="inlineStr">
        <is>
          <t>2254-1035</t>
        </is>
      </c>
      <c r="J37" s="73" t="inlineStr">
        <is>
          <t>vvillegasmorera@ina.ac.cr</t>
        </is>
      </c>
      <c r="K37" s="18" t="inlineStr">
        <is>
          <t>https://www.ina.ac.cr/SiteAssets/docs/PDF/Regionales_Centros_Formacion_INA.pdf</t>
        </is>
      </c>
      <c r="L37" s="51" t="inlineStr">
        <is>
          <t>CONFIRMADO</t>
        </is>
      </c>
      <c r="M37" s="30" t="inlineStr">
        <is>
          <t xml:space="preserve">Datos exactos del PDF adjuntado en detalles y fuentes </t>
        </is>
      </c>
    </row>
    <row r="38" ht="30" customHeight="1" s="182">
      <c r="A38" s="42" t="inlineStr">
        <is>
          <t>Costa Rica</t>
        </is>
      </c>
      <c r="B38" s="15" t="inlineStr">
        <is>
          <t>Formación técnica pública</t>
        </is>
      </c>
      <c r="C38" s="73" t="inlineStr">
        <is>
          <t>Instituto Nacional de Aprendizaje</t>
        </is>
      </c>
      <c r="D38" s="73" t="inlineStr">
        <is>
          <t>CENTRO DE FORMACIÓN PROFESIONAL HATILLO</t>
        </is>
      </c>
      <c r="E38" s="73" t="n"/>
      <c r="F38" s="138" t="inlineStr">
        <is>
          <t>CENTRO DE FORMACIÓN PROFESIONAL HATILLO</t>
        </is>
      </c>
      <c r="G38" s="18" t="inlineStr">
        <is>
          <t>https://www.ina.ac.cr/SiteAssets/docs/PDF/Regionales_Centros_Formacion_INA.pdf</t>
        </is>
      </c>
      <c r="H38" s="138" t="inlineStr">
        <is>
          <t>Juan José López Bolaños (Jefatura)</t>
        </is>
      </c>
      <c r="I38" s="138" t="inlineStr">
        <is>
          <t>2254-1503</t>
        </is>
      </c>
      <c r="J38" s="138" t="inlineStr">
        <is>
          <t>jlopezbolanos@ina.ac.cr</t>
        </is>
      </c>
      <c r="K38" s="18" t="inlineStr">
        <is>
          <t>https://www.ina.ac.cr/SiteAssets/docs/PDF/Regionales_Centros_Formacion_INA.pdf</t>
        </is>
      </c>
      <c r="L38" s="51" t="inlineStr">
        <is>
          <t>CONFIRMADO</t>
        </is>
      </c>
      <c r="M38" s="30" t="inlineStr">
        <is>
          <t xml:space="preserve">Datos exactos del PDF adjuntado en detalles y fuentes </t>
        </is>
      </c>
    </row>
    <row r="39" ht="30" customHeight="1" s="182">
      <c r="A39" s="42" t="inlineStr">
        <is>
          <t>Costa Rica</t>
        </is>
      </c>
      <c r="B39" s="15" t="inlineStr">
        <is>
          <t>Formación técnica pública</t>
        </is>
      </c>
      <c r="C39" s="73" t="inlineStr">
        <is>
          <t>Instituto Nacional de Aprendizaje</t>
        </is>
      </c>
      <c r="D39" s="73" t="inlineStr">
        <is>
          <t>CENTRO DE FORMACIÓN PROFESIONAL PAVAS</t>
        </is>
      </c>
      <c r="E39" s="73" t="n"/>
      <c r="F39" s="138" t="inlineStr">
        <is>
          <t>CENTRO DE FORMACIÓN PROFESIONAL PAVAS</t>
        </is>
      </c>
      <c r="G39" s="18" t="inlineStr">
        <is>
          <t>https://www.ina.ac.cr/SiteAssets/docs/PDF/Regionales_Centros_Formacion_INA.pdf</t>
        </is>
      </c>
      <c r="H39" s="138" t="inlineStr">
        <is>
          <t>Vanessa Ávalos Román (Jefatura)</t>
        </is>
      </c>
      <c r="I39" s="138" t="inlineStr">
        <is>
          <t>2231-4620</t>
        </is>
      </c>
      <c r="J39" s="138" t="inlineStr">
        <is>
          <t>vavalosroman@ina.ac.cr</t>
        </is>
      </c>
      <c r="K39" s="18" t="inlineStr">
        <is>
          <t>https://www.ina.ac.cr/SiteAssets/docs/PDF/Regionales_Centros_Formacion_INA.pdf</t>
        </is>
      </c>
      <c r="L39" s="51" t="inlineStr">
        <is>
          <t>CONFIRMADO</t>
        </is>
      </c>
      <c r="M39" s="30" t="inlineStr">
        <is>
          <t xml:space="preserve">Datos exactos del PDF adjuntado en detalles y fuentes </t>
        </is>
      </c>
    </row>
    <row r="40" ht="30" customHeight="1" s="182">
      <c r="A40" s="42" t="inlineStr">
        <is>
          <t>Costa Rica</t>
        </is>
      </c>
      <c r="B40" s="15" t="inlineStr">
        <is>
          <t>Formación técnica pública</t>
        </is>
      </c>
      <c r="C40" s="73" t="inlineStr">
        <is>
          <t>Instituto Nacional de Aprendizaje</t>
        </is>
      </c>
      <c r="D40" s="73" t="inlineStr">
        <is>
          <t>CENTRO DE FORMACIÓN PROFESIONAL PURISCAL</t>
        </is>
      </c>
      <c r="E40" s="73" t="n"/>
      <c r="F40" s="138" t="inlineStr">
        <is>
          <t>CENTRO DE FORMACIÓN PROFESIONAL PURISCAL</t>
        </is>
      </c>
      <c r="G40" s="18" t="inlineStr">
        <is>
          <t>https://www.ina.ac.cr/SiteAssets/docs/PDF/Regionales_Centros_Formacion_INA.pdf</t>
        </is>
      </c>
      <c r="H40" s="138" t="inlineStr">
        <is>
          <t>Alberto Sánchez Espinoza (Jefatura a.i.)</t>
        </is>
      </c>
      <c r="I40" s="138" t="inlineStr">
        <is>
          <t>2416-4628</t>
        </is>
      </c>
      <c r="J40" s="138" t="inlineStr">
        <is>
          <t>asanchezespinoza@ina.ac.cr</t>
        </is>
      </c>
      <c r="K40" s="18" t="inlineStr">
        <is>
          <t>https://www.ina.ac.cr/SiteAssets/docs/PDF/Regionales_Centros_Formacion_INA.pdf</t>
        </is>
      </c>
      <c r="L40" s="51" t="inlineStr">
        <is>
          <t>CONFIRMADO</t>
        </is>
      </c>
      <c r="M40" s="30" t="inlineStr">
        <is>
          <t xml:space="preserve">Datos exactos del PDF adjuntado en detalles y fuentes </t>
        </is>
      </c>
    </row>
    <row r="41" ht="30" customHeight="1" s="182">
      <c r="A41" s="42" t="inlineStr">
        <is>
          <t>Costa Rica</t>
        </is>
      </c>
      <c r="B41" s="15" t="inlineStr">
        <is>
          <t>Formación técnica pública</t>
        </is>
      </c>
      <c r="C41" s="73" t="inlineStr">
        <is>
          <t>Instituto Nacional de Aprendizaje</t>
        </is>
      </c>
      <c r="D41" s="73" t="inlineStr">
        <is>
          <t>CENTRO DE FORMACIÓN PROFESIONAL LEON XIII</t>
        </is>
      </c>
      <c r="E41" s="73" t="n"/>
      <c r="F41" s="138" t="inlineStr">
        <is>
          <t>CENTRO DE FORMACIÓN PROFESIONAL LEON XIII</t>
        </is>
      </c>
      <c r="G41" s="18" t="inlineStr">
        <is>
          <t>https://www.ina.ac.cr/SiteAssets/docs/PDF/Regionales_Centros_Formacion_INA.pdf</t>
        </is>
      </c>
      <c r="H41" s="73" t="inlineStr">
        <is>
          <t>Isayana Guadamuz Muñoz (Jefatura)</t>
        </is>
      </c>
      <c r="I41" s="73" t="inlineStr">
        <is>
          <t>2547-5655</t>
        </is>
      </c>
      <c r="J41" s="73" t="inlineStr">
        <is>
          <t>lguadamuzmunoz@ina.ac.cr</t>
        </is>
      </c>
      <c r="K41" s="18" t="inlineStr">
        <is>
          <t>https://www.ina.ac.cr/SiteAssets/docs/PDF/Regionales_Centros_Formacion_INA.pdf</t>
        </is>
      </c>
      <c r="L41" s="51" t="inlineStr">
        <is>
          <t>CONFIRMADO</t>
        </is>
      </c>
      <c r="M41" s="30" t="inlineStr">
        <is>
          <t xml:space="preserve">Datos exactos del PDF adjuntado en detalles y fuentes </t>
        </is>
      </c>
    </row>
    <row r="42" ht="30" customHeight="1" s="182">
      <c r="A42" s="42" t="inlineStr">
        <is>
          <t>Costa Rica</t>
        </is>
      </c>
      <c r="B42" s="15" t="inlineStr">
        <is>
          <t>Formación técnica pública</t>
        </is>
      </c>
      <c r="C42" s="73" t="inlineStr">
        <is>
          <t>Instituto Nacional de Aprendizaje</t>
        </is>
      </c>
      <c r="D42" s="73" t="inlineStr">
        <is>
          <t>CENTRO DE FORMACIÓN PROFESIONAL MORA</t>
        </is>
      </c>
      <c r="E42" s="73" t="n"/>
      <c r="F42" s="138" t="inlineStr">
        <is>
          <t>CENTRO DE FORMACIÓN PROFESIONAL MORA</t>
        </is>
      </c>
      <c r="G42" s="18" t="inlineStr">
        <is>
          <t>https://www.ina.ac.cr/SiteAssets/docs/PDF/Regionales_Centros_Formacion_INA.pdf</t>
        </is>
      </c>
      <c r="H42" s="138" t="inlineStr">
        <is>
          <t>Maricela Rojas Jiménez (Jefatura)</t>
        </is>
      </c>
      <c r="I42" s="138" t="inlineStr">
        <is>
          <t>2249-1703</t>
        </is>
      </c>
      <c r="J42" s="138" t="inlineStr">
        <is>
          <t>mrojasjimenez@ina.ac.cr</t>
        </is>
      </c>
      <c r="K42" s="18" t="inlineStr">
        <is>
          <t>https://www.ina.ac.cr/SiteAssets/docs/PDF/Regionales_Centros_Formacion_INA.pdf</t>
        </is>
      </c>
      <c r="L42" s="51" t="inlineStr">
        <is>
          <t>CONFIRMADO</t>
        </is>
      </c>
      <c r="M42" s="30" t="inlineStr">
        <is>
          <t xml:space="preserve">Datos exactos del PDF adjuntado en detalles y fuentes </t>
        </is>
      </c>
    </row>
    <row r="43" ht="30" customHeight="1" s="182">
      <c r="A43" s="42" t="inlineStr">
        <is>
          <t>Costa Rica</t>
        </is>
      </c>
      <c r="B43" s="15" t="inlineStr">
        <is>
          <t>Formación técnica pública</t>
        </is>
      </c>
      <c r="C43" s="73" t="inlineStr">
        <is>
          <t>Instituto Nacional de Aprendizaje</t>
        </is>
      </c>
      <c r="D43" s="73" t="inlineStr">
        <is>
          <t>CENTRO DE FORMACIÓN PROFESIONAL ZETILLAL</t>
        </is>
      </c>
      <c r="E43" s="73" t="n"/>
      <c r="F43" s="138" t="inlineStr">
        <is>
          <t>CENTRO DE FORMACIÓN PROFESIONAL ZETILLAL</t>
        </is>
      </c>
      <c r="G43" s="18" t="inlineStr">
        <is>
          <t>https://www.ina.ac.cr/SiteAssets/docs/PDF/Regionales_Centros_Formacion_INA.pdf</t>
        </is>
      </c>
      <c r="H43" s="138" t="inlineStr">
        <is>
          <t>Yamileth Cerda Rodríguez (Jefatura)</t>
        </is>
      </c>
      <c r="I43" s="89" t="inlineStr">
        <is>
          <t>2229-1392</t>
        </is>
      </c>
      <c r="J43" s="138" t="inlineStr">
        <is>
          <t>ycerdarodriguez@ina.ac.cr</t>
        </is>
      </c>
      <c r="K43" s="18" t="inlineStr">
        <is>
          <t>https://www.ina.ac.cr/SiteAssets/docs/PDF/Regionales_Centros_Formacion_INA.pdf</t>
        </is>
      </c>
      <c r="L43" s="51" t="inlineStr">
        <is>
          <t>CONFIRMADO</t>
        </is>
      </c>
      <c r="M43" s="30" t="inlineStr">
        <is>
          <t xml:space="preserve">Datos exactos del PDF adjuntado en detalles y fuentes </t>
        </is>
      </c>
    </row>
    <row r="44" ht="30" customHeight="1" s="182">
      <c r="A44" s="42" t="inlineStr">
        <is>
          <t>Costa Rica</t>
        </is>
      </c>
      <c r="B44" s="15" t="inlineStr">
        <is>
          <t>Formación técnica pública</t>
        </is>
      </c>
      <c r="C44" s="73" t="inlineStr">
        <is>
          <t>Instituto Nacional de Aprendizaje</t>
        </is>
      </c>
      <c r="D44" s="73" t="inlineStr">
        <is>
          <t>CENTRO NACIONAL ESPECIALIZADO EN COMERCIO Y SERVICIOS</t>
        </is>
      </c>
      <c r="E44" s="73" t="n"/>
      <c r="F44" s="138" t="inlineStr">
        <is>
          <t>CENTRO NACIONAL ESPECIALIZADO EN COMERCIO Y SERVICIOS</t>
        </is>
      </c>
      <c r="G44" s="18" t="inlineStr">
        <is>
          <t>https://www.ina.ac.cr/SiteAssets/docs/PDF/Regionales_Centros_Formacion_INA.pdf</t>
        </is>
      </c>
      <c r="H44" s="138" t="inlineStr">
        <is>
          <t>Jorge Eduardo Alpízar Segura (Jefatura)</t>
        </is>
      </c>
      <c r="I44" s="73" t="inlineStr">
        <is>
          <t>2547-5381</t>
        </is>
      </c>
      <c r="J44" s="73" t="inlineStr">
        <is>
          <t>crjalpizarsegura@ina.ac.cr</t>
        </is>
      </c>
      <c r="K44" s="18" t="inlineStr">
        <is>
          <t>https://www.ina.ac.cr/SiteAssets/docs/PDF/Regionales_Centros_Formacion_INA.pdf</t>
        </is>
      </c>
      <c r="L44" s="51" t="inlineStr">
        <is>
          <t>CONFIRMADO</t>
        </is>
      </c>
      <c r="M44" s="30" t="inlineStr">
        <is>
          <t xml:space="preserve">Datos exactos del PDF adjuntado en detalles y fuentes </t>
        </is>
      </c>
    </row>
    <row r="45" ht="30" customHeight="1" s="182">
      <c r="A45" s="42" t="inlineStr">
        <is>
          <t>Costa Rica</t>
        </is>
      </c>
      <c r="B45" s="15" t="inlineStr">
        <is>
          <t>Formación técnica pública</t>
        </is>
      </c>
      <c r="C45" s="73" t="inlineStr">
        <is>
          <t>Instituto Nacional de Aprendizaje</t>
        </is>
      </c>
      <c r="D45" s="73" t="inlineStr">
        <is>
          <t>CENTRO NACIONAL ESPECIALIZADO DE LA INDUSTRIA GRÁFICA Y PLÁSTICO</t>
        </is>
      </c>
      <c r="E45" s="73" t="n"/>
      <c r="F45" s="73" t="inlineStr">
        <is>
          <t>CENTRO NACIONAL ESPECIALIZADO DE LA INDUSTRIA GRÁFICA Y PLÁSTICO</t>
        </is>
      </c>
      <c r="G45" s="18" t="inlineStr">
        <is>
          <t>https://www.ina.ac.cr/SiteAssets/docs/PDF/Regionales_Centros_Formacion_INA.pdf</t>
        </is>
      </c>
      <c r="H45" s="73" t="inlineStr">
        <is>
          <t>Margarita Martínez Meléndez (Jefatura)</t>
        </is>
      </c>
      <c r="I45" s="73" t="inlineStr">
        <is>
          <t>2210-6659</t>
        </is>
      </c>
      <c r="J45" s="138" t="inlineStr">
        <is>
          <t>mmartinezmelendez@ina.ac.cr</t>
        </is>
      </c>
      <c r="K45" s="18" t="inlineStr">
        <is>
          <t>https://www.ina.ac.cr/SiteAssets/docs/PDF/Regionales_Centros_Formacion_INA.pdf</t>
        </is>
      </c>
      <c r="L45" s="51" t="inlineStr">
        <is>
          <t>CONFIRMADO</t>
        </is>
      </c>
      <c r="M45" s="30" t="inlineStr">
        <is>
          <t xml:space="preserve">Datos exactos del PDF adjuntado en detalles y fuentes </t>
        </is>
      </c>
    </row>
    <row r="46" ht="30" customHeight="1" s="182">
      <c r="A46" s="42" t="inlineStr">
        <is>
          <t>Costa Rica</t>
        </is>
      </c>
      <c r="B46" s="15" t="inlineStr">
        <is>
          <t>Formación técnica pública</t>
        </is>
      </c>
      <c r="C46" s="73" t="inlineStr">
        <is>
          <t>Instituto Nacional de Aprendizaje</t>
        </is>
      </c>
      <c r="D46" s="73" t="inlineStr">
        <is>
          <t>CENTRO NACIONAL ESPECIALIZADO EN PROCESOS ARTESANALES</t>
        </is>
      </c>
      <c r="E46" s="73" t="n"/>
      <c r="F46" s="73" t="inlineStr">
        <is>
          <t>CENTRO NACIONAL ESPECIALIZADO EN PROCESOS ARTESANALES</t>
        </is>
      </c>
      <c r="G46" s="18" t="inlineStr">
        <is>
          <t>https://www.ina.ac.cr/SiteAssets/docs/PDF/Regionales_Centros_Formacion_INA.pdf</t>
        </is>
      </c>
      <c r="H46" s="73" t="inlineStr">
        <is>
          <t>Ana Jansen Solano González (Jefatura)</t>
        </is>
      </c>
      <c r="I46" s="73" t="inlineStr">
        <is>
          <t>2252-0428</t>
        </is>
      </c>
      <c r="J46" s="138" t="inlineStr">
        <is>
          <t>asolanogonzalez@ina.ac.cr</t>
        </is>
      </c>
      <c r="K46" s="18" t="inlineStr">
        <is>
          <t>https://www.ina.ac.cr/SiteAssets/docs/PDF/Regionales_Centros_Formacion_INA.pdf</t>
        </is>
      </c>
      <c r="L46" s="51" t="inlineStr">
        <is>
          <t>CONFIRMADO</t>
        </is>
      </c>
      <c r="M46" s="30" t="inlineStr">
        <is>
          <t xml:space="preserve">Datos exactos del PDF adjuntado en detalles y fuentes </t>
        </is>
      </c>
    </row>
    <row r="47" ht="30" customHeight="1" s="182">
      <c r="A47" s="42" t="inlineStr">
        <is>
          <t>Costa Rica</t>
        </is>
      </c>
      <c r="B47" s="15" t="inlineStr">
        <is>
          <t>Formación técnica pública</t>
        </is>
      </c>
      <c r="C47" s="73" t="inlineStr">
        <is>
          <t>Instituto Nacional de Aprendizaje</t>
        </is>
      </c>
      <c r="D47" s="73" t="inlineStr">
        <is>
          <t>CENTRO NACIONAL ESPECIALIZADO EN TURISMO</t>
        </is>
      </c>
      <c r="E47" s="73" t="n"/>
      <c r="F47" s="73" t="inlineStr">
        <is>
          <t>CENTRO NACIONAL ESPECIALIZADO EN TURISMO</t>
        </is>
      </c>
      <c r="G47" s="18" t="inlineStr">
        <is>
          <t>https://www.ina.ac.cr/SiteAssets/docs/PDF/Regionales_Centros_Formacion_INA.pdf</t>
        </is>
      </c>
      <c r="H47" s="73" t="inlineStr">
        <is>
          <t>Norem Rojas Morales (Jefatura)</t>
        </is>
      </c>
      <c r="I47" s="73" t="inlineStr">
        <is>
          <t>2255-3196</t>
        </is>
      </c>
      <c r="J47" s="73" t="inlineStr">
        <is>
          <t>nrojasmorales@ina.ac.cr</t>
        </is>
      </c>
      <c r="K47" s="18" t="inlineStr">
        <is>
          <t>https://www.ina.ac.cr/SiteAssets/docs/PDF/Regionales_Centros_Formacion_INA.pdf</t>
        </is>
      </c>
      <c r="L47" s="51" t="inlineStr">
        <is>
          <t>CONFIRMADO</t>
        </is>
      </c>
      <c r="M47" s="30" t="inlineStr">
        <is>
          <t xml:space="preserve">Datos exactos del PDF adjuntado en detalles y fuentes </t>
        </is>
      </c>
    </row>
    <row r="48" ht="30" customHeight="1" s="182">
      <c r="A48" s="42" t="inlineStr">
        <is>
          <t>Costa Rica</t>
        </is>
      </c>
      <c r="B48" s="15" t="inlineStr">
        <is>
          <t>Formación técnica pública</t>
        </is>
      </c>
      <c r="C48" s="73" t="inlineStr">
        <is>
          <t>Instituto Nacional de Aprendizaje</t>
        </is>
      </c>
      <c r="D48" s="73" t="inlineStr">
        <is>
          <t>CENTRO NACIONAL ESPECIALIZADO GRANJA MODELO</t>
        </is>
      </c>
      <c r="E48" s="73" t="n"/>
      <c r="F48" s="73" t="inlineStr">
        <is>
          <t>CENTRO NACIONAL ESPECIALIZADO GRANJA MODELO</t>
        </is>
      </c>
      <c r="G48" s="18" t="inlineStr">
        <is>
          <t>https://www.ina.ac.cr/SiteAssets/docs/PDF/Regionales_Centros_Formacion_INA.pdf</t>
        </is>
      </c>
      <c r="H48" s="73" t="inlineStr">
        <is>
          <t>Benigno Matarrita Gutiérrez (Jefatura)</t>
        </is>
      </c>
      <c r="I48" s="89" t="inlineStr">
        <is>
          <t>2547-5473</t>
        </is>
      </c>
      <c r="J48" s="138" t="inlineStr">
        <is>
          <t>bmatarritahernandez@ina.ac.cr</t>
        </is>
      </c>
      <c r="K48" s="18" t="inlineStr">
        <is>
          <t>https://www.ina.ac.cr/SiteAssets/docs/PDF/Regionales_Centros_Formacion_INA.pdf</t>
        </is>
      </c>
      <c r="L48" s="51" t="inlineStr">
        <is>
          <t>CONFIRMADO</t>
        </is>
      </c>
      <c r="M48" s="30" t="inlineStr">
        <is>
          <t xml:space="preserve">Datos exactos del PDF adjuntado en detalles y fuentes </t>
        </is>
      </c>
    </row>
    <row r="49" ht="30" customHeight="1" s="182">
      <c r="A49" s="42" t="inlineStr">
        <is>
          <t>Costa Rica</t>
        </is>
      </c>
      <c r="B49" s="15" t="inlineStr">
        <is>
          <t>Formación técnica pública</t>
        </is>
      </c>
      <c r="C49" s="73" t="inlineStr">
        <is>
          <t>Instituto Nacional de Aprendizaje</t>
        </is>
      </c>
      <c r="D49" s="73" t="inlineStr">
        <is>
          <t>CENTRO NACIONAL ESPECIALIZADO DE LA INDUSTRIA TEXTIL</t>
        </is>
      </c>
      <c r="E49" s="73" t="n"/>
      <c r="F49" s="73" t="inlineStr">
        <is>
          <t>CENTRO NACIONAL ESPECIALIZADO DE LA INDUSTRIA TEXTIL</t>
        </is>
      </c>
      <c r="G49" s="18" t="inlineStr">
        <is>
          <t>https://www.ina.ac.cr/SiteAssets/docs/PDF/Regionales_Centros_Formacion_INA.pdf</t>
        </is>
      </c>
      <c r="H49" s="89" t="inlineStr">
        <is>
          <t>Nelly Izquierdo Candiotti (Jefatura)</t>
        </is>
      </c>
      <c r="I49" s="73" t="inlineStr">
        <is>
          <t>2210-6513</t>
        </is>
      </c>
      <c r="J49" s="73" t="inlineStr">
        <is>
          <t>nizquierdocandiotti@ina.ac.cr</t>
        </is>
      </c>
      <c r="K49" s="18" t="inlineStr">
        <is>
          <t>https://www.ina.ac.cr/SiteAssets/docs/PDF/Regionales_Centros_Formacion_INA.pdf</t>
        </is>
      </c>
      <c r="L49" s="51" t="inlineStr">
        <is>
          <t>CONFIRMADO</t>
        </is>
      </c>
      <c r="M49" s="30" t="inlineStr">
        <is>
          <t xml:space="preserve">Datos exactos del PDF adjuntado en detalles y fuentes </t>
        </is>
      </c>
    </row>
    <row r="50" ht="30" customHeight="1" s="182">
      <c r="A50" s="42" t="inlineStr">
        <is>
          <t>Costa Rica</t>
        </is>
      </c>
      <c r="B50" s="15" t="inlineStr">
        <is>
          <t>Formación técnica pública</t>
        </is>
      </c>
      <c r="C50" s="73" t="inlineStr">
        <is>
          <t>Instituto Nacional de Aprendizaje</t>
        </is>
      </c>
      <c r="D50" s="73" t="inlineStr">
        <is>
          <t>UNIDAD REGIONAL CHOROTEGA</t>
        </is>
      </c>
      <c r="E50" s="73" t="n"/>
      <c r="F50" s="73" t="inlineStr">
        <is>
          <t>UNIDAD REGIONAL CHOROTEGA</t>
        </is>
      </c>
      <c r="G50" s="18" t="inlineStr">
        <is>
          <t>https://www.ina.ac.cr/SiteAssets/docs/PDF/Regionales_Centros_Formacion_INA.pdf</t>
        </is>
      </c>
      <c r="H50" s="138" t="inlineStr">
        <is>
          <t>José Luis Rodríguez Junes (Jefatura)</t>
        </is>
      </c>
      <c r="I50" s="73" t="n"/>
      <c r="J50" s="73" t="inlineStr">
        <is>
          <t>jrodriguezjunez@ina.ac.cr</t>
        </is>
      </c>
      <c r="K50" s="18" t="inlineStr">
        <is>
          <t>https://www.ina.ac.cr/SiteAssets/docs/PDF/Regionales_Centros_Formacion_INA.pdf</t>
        </is>
      </c>
      <c r="L50" s="51" t="inlineStr">
        <is>
          <t>CONFIRMADO</t>
        </is>
      </c>
      <c r="M50" s="30" t="inlineStr">
        <is>
          <t xml:space="preserve">Datos exactos del PDF adjuntado en detalles y fuentes </t>
        </is>
      </c>
    </row>
    <row r="51" ht="30" customHeight="1" s="182">
      <c r="A51" s="42" t="inlineStr">
        <is>
          <t>Costa Rica</t>
        </is>
      </c>
      <c r="B51" s="15" t="inlineStr">
        <is>
          <t>Formación técnica pública</t>
        </is>
      </c>
      <c r="C51" s="73" t="inlineStr">
        <is>
          <t>Instituto Nacional de Aprendizaje</t>
        </is>
      </c>
      <c r="D51" s="73" t="inlineStr">
        <is>
          <t>CENTRO DE FORMACIÓN PROFESIONAL NICOYA</t>
        </is>
      </c>
      <c r="E51" s="73" t="n"/>
      <c r="F51" s="73" t="inlineStr">
        <is>
          <t>CENTRO DE FORMACIÓN PROFESIONAL NICOYA</t>
        </is>
      </c>
      <c r="G51" s="18" t="inlineStr">
        <is>
          <t>https://www.ina.ac.cr/SiteAssets/docs/PDF/Regionales_Centros_Formacion_INA.pdf</t>
        </is>
      </c>
      <c r="H51" s="73" t="inlineStr">
        <is>
          <t>Elineth Ortiz Zúñiga (Jefatura)</t>
        </is>
      </c>
      <c r="I51" s="73" t="inlineStr">
        <is>
          <t>2103-9576</t>
        </is>
      </c>
      <c r="J51" s="73" t="inlineStr">
        <is>
          <t>eortizzuniga@ina.ac.cr</t>
        </is>
      </c>
      <c r="K51" s="18" t="inlineStr">
        <is>
          <t>https://www.ina.ac.cr/SiteAssets/docs/PDF/Regionales_Centros_Formacion_INA.pdf</t>
        </is>
      </c>
      <c r="L51" s="51" t="inlineStr">
        <is>
          <t>CONFIRMADO</t>
        </is>
      </c>
      <c r="M51" s="30" t="inlineStr">
        <is>
          <t xml:space="preserve">Datos exactos del PDF adjuntado en detalles y fuentes </t>
        </is>
      </c>
    </row>
    <row r="52" ht="30" customHeight="1" s="182">
      <c r="A52" s="42" t="inlineStr">
        <is>
          <t>Costa Rica</t>
        </is>
      </c>
      <c r="B52" s="15" t="inlineStr">
        <is>
          <t>Formación técnica pública</t>
        </is>
      </c>
      <c r="C52" s="73" t="inlineStr">
        <is>
          <t>Instituto Nacional de Aprendizaje</t>
        </is>
      </c>
      <c r="D52" s="73" t="inlineStr">
        <is>
          <t>CENTRO REGIONAL POLIVALENTE SANTA CRUZ</t>
        </is>
      </c>
      <c r="E52" s="73" t="n"/>
      <c r="F52" s="73" t="inlineStr">
        <is>
          <t>CENTRO REGIONAL POLIVALENTE SANTA CRUZ</t>
        </is>
      </c>
      <c r="G52" s="18" t="inlineStr">
        <is>
          <t>https://www.ina.ac.cr/SiteAssets/docs/PDF/Regionales_Centros_Formacion_INA.pdf</t>
        </is>
      </c>
      <c r="H52" s="73" t="inlineStr">
        <is>
          <t>vacante</t>
        </is>
      </c>
      <c r="I52" s="73" t="inlineStr">
        <is>
          <t>2103-9560</t>
        </is>
      </c>
      <c r="J52" s="73" t="n"/>
      <c r="K52" s="18" t="inlineStr">
        <is>
          <t>https://www.ina.ac.cr/SiteAssets/docs/PDF/Regionales_Centros_Formacion_INA.pdf</t>
        </is>
      </c>
      <c r="L52" s="51" t="inlineStr">
        <is>
          <t>CONFIRMADO</t>
        </is>
      </c>
      <c r="M52" s="30" t="inlineStr">
        <is>
          <t xml:space="preserve">Datos exactos del PDF adjuntado en detalles y fuentes </t>
        </is>
      </c>
    </row>
    <row r="53" ht="30" customHeight="1" s="182">
      <c r="A53" s="42" t="inlineStr">
        <is>
          <t>Costa Rica</t>
        </is>
      </c>
      <c r="B53" s="15" t="inlineStr">
        <is>
          <t>Formación técnica pública</t>
        </is>
      </c>
      <c r="C53" s="73" t="inlineStr">
        <is>
          <t>Instituto Nacional de Aprendizaje</t>
        </is>
      </c>
      <c r="D53" s="73" t="inlineStr">
        <is>
          <t>CENTRO REGIONAL POLIVALENTE DE LIBERIA</t>
        </is>
      </c>
      <c r="E53" s="73" t="n"/>
      <c r="F53" s="73" t="inlineStr">
        <is>
          <t>CENTRO REGIONAL POLIVALENTE DE LIBERIA</t>
        </is>
      </c>
      <c r="G53" s="18" t="inlineStr">
        <is>
          <t>https://www.ina.ac.cr/SiteAssets/docs/PDF/Regionales_Centros_Formacion_INA.pdf</t>
        </is>
      </c>
      <c r="H53" s="89" t="inlineStr">
        <is>
          <t>Carlos Villegas Rodríguez (Jefatura)</t>
        </is>
      </c>
      <c r="I53" s="89" t="inlineStr">
        <is>
          <t>2103-9300</t>
        </is>
      </c>
      <c r="J53" s="89" t="inlineStr">
        <is>
          <t>cvillegasrodriguez@ina.ac.cr</t>
        </is>
      </c>
      <c r="K53" s="18" t="inlineStr">
        <is>
          <t>https://www.ina.ac.cr/SiteAssets/docs/PDF/Regionales_Centros_Formacion_INA.pdf</t>
        </is>
      </c>
      <c r="L53" s="51" t="inlineStr">
        <is>
          <t>CONFIRMADO</t>
        </is>
      </c>
      <c r="M53" s="30" t="inlineStr">
        <is>
          <t xml:space="preserve">Datos exactos del PDF adjuntado en detalles y fuentes </t>
        </is>
      </c>
    </row>
    <row r="54" ht="30" customHeight="1" s="182">
      <c r="A54" s="42" t="inlineStr">
        <is>
          <t>Costa Rica</t>
        </is>
      </c>
      <c r="B54" s="15" t="inlineStr">
        <is>
          <t>Formación técnica pública</t>
        </is>
      </c>
      <c r="C54" s="73" t="inlineStr">
        <is>
          <t>Instituto Nacional de Aprendizaje</t>
        </is>
      </c>
      <c r="D54" s="73" t="inlineStr">
        <is>
          <t>CENTRO NACIONAL ESPECIALIZADO EN AGRICULTURA BAJO RIEGO</t>
        </is>
      </c>
      <c r="E54" s="73" t="n"/>
      <c r="F54" s="73" t="inlineStr">
        <is>
          <t>CENTRO NACIONAL ESPECIALIZADO EN AGRICULTURA BAJO RIEGO</t>
        </is>
      </c>
      <c r="G54" s="18" t="inlineStr">
        <is>
          <t>https://www.ina.ac.cr/SiteAssets/docs/PDF/Regionales_Centros_Formacion_INA.pdf</t>
        </is>
      </c>
      <c r="H54" s="89" t="inlineStr">
        <is>
          <t>Mainor Arguedas Rodríguez (Jefatura)</t>
        </is>
      </c>
      <c r="I54" s="89" t="inlineStr">
        <is>
          <t>2103-9503</t>
        </is>
      </c>
      <c r="J54" s="89" t="inlineStr">
        <is>
          <t>marguedasrodriguez@ina.ac.cr</t>
        </is>
      </c>
      <c r="K54" s="18" t="inlineStr">
        <is>
          <t>https://www.ina.ac.cr/SiteAssets/docs/PDF/Regionales_Centros_Formacion_INA.pdf</t>
        </is>
      </c>
      <c r="L54" s="51" t="inlineStr">
        <is>
          <t>CONFIRMADO</t>
        </is>
      </c>
      <c r="M54" s="30" t="inlineStr">
        <is>
          <t xml:space="preserve">Datos exactos del PDF adjuntado en detalles y fuentes </t>
        </is>
      </c>
    </row>
    <row r="55" ht="30" customHeight="1" s="182">
      <c r="A55" s="42" t="inlineStr">
        <is>
          <t>Costa Rica</t>
        </is>
      </c>
      <c r="B55" s="15" t="inlineStr">
        <is>
          <t>Formación técnica pública</t>
        </is>
      </c>
      <c r="C55" s="73" t="inlineStr">
        <is>
          <t>Instituto Nacional de Aprendizaje</t>
        </is>
      </c>
      <c r="D55" s="73" t="inlineStr">
        <is>
          <t>UNIDAD REGIONAL HEREDIA</t>
        </is>
      </c>
      <c r="E55" s="73" t="n"/>
      <c r="F55" s="73" t="inlineStr">
        <is>
          <t>UNIDAD REGIONAL HEREDIA</t>
        </is>
      </c>
      <c r="G55" s="18" t="inlineStr">
        <is>
          <t>https://www.ina.ac.cr/SiteAssets/docs/PDF/Regionales_Centros_Formacion_INA.pdf</t>
        </is>
      </c>
      <c r="H55" s="138" t="inlineStr">
        <is>
          <t>Ana Gabriela González Solís (Jefatura)</t>
        </is>
      </c>
      <c r="I55" s="138" t="inlineStr">
        <is>
          <t>2261-0261</t>
        </is>
      </c>
      <c r="J55" s="138" t="inlineStr">
        <is>
          <t>agonzalezsolis@ina.ac.cr</t>
        </is>
      </c>
      <c r="K55" s="18" t="inlineStr">
        <is>
          <t>https://www.ina.ac.cr/SiteAssets/docs/PDF/Regionales_Centros_Formacion_INA.pdf</t>
        </is>
      </c>
      <c r="L55" s="51" t="inlineStr">
        <is>
          <t>CONFIRMADO</t>
        </is>
      </c>
      <c r="M55" s="30" t="inlineStr">
        <is>
          <t xml:space="preserve">Datos exactos del PDF adjuntado en detalles y fuentes </t>
        </is>
      </c>
    </row>
    <row r="56" ht="30" customHeight="1" s="182">
      <c r="A56" s="42" t="inlineStr">
        <is>
          <t>Costa Rica</t>
        </is>
      </c>
      <c r="B56" s="15" t="inlineStr">
        <is>
          <t>Formación técnica pública</t>
        </is>
      </c>
      <c r="C56" s="73" t="inlineStr">
        <is>
          <t>Instituto Nacional de Aprendizaje</t>
        </is>
      </c>
      <c r="D56" s="73" t="inlineStr">
        <is>
          <t>CENTRO DE FORMACIÓN PLURISECTORIAL HEREDIA</t>
        </is>
      </c>
      <c r="E56" s="73" t="n"/>
      <c r="F56" s="73" t="inlineStr">
        <is>
          <t>CENTRO DE FORMACIÓN PLURISECTORIAL HEREDIA</t>
        </is>
      </c>
      <c r="G56" s="18" t="inlineStr">
        <is>
          <t>https://www.ina.ac.cr/SiteAssets/docs/PDF/Regionales_Centros_Formacion_INA.pdf</t>
        </is>
      </c>
      <c r="H56" s="138" t="inlineStr">
        <is>
          <t>William Alvarado Bogantes (Jefatura)</t>
        </is>
      </c>
      <c r="I56" s="138" t="inlineStr">
        <is>
          <t>2260-9427</t>
        </is>
      </c>
      <c r="J56" s="138" t="inlineStr">
        <is>
          <t>walvaradobogantes@ina.ac.cr</t>
        </is>
      </c>
      <c r="K56" s="18" t="inlineStr">
        <is>
          <t>https://www.ina.ac.cr/SiteAssets/docs/PDF/Regionales_Centros_Formacion_INA.pdf</t>
        </is>
      </c>
      <c r="L56" s="51" t="inlineStr">
        <is>
          <t>CONFIRMADO</t>
        </is>
      </c>
      <c r="M56" s="30" t="inlineStr">
        <is>
          <t xml:space="preserve">Datos exactos del PDF adjuntado en detalles y fuentes </t>
        </is>
      </c>
    </row>
    <row r="57" ht="30" customHeight="1" s="182">
      <c r="A57" s="42" t="inlineStr">
        <is>
          <t>Costa Rica</t>
        </is>
      </c>
      <c r="B57" s="15" t="inlineStr">
        <is>
          <t>Formación técnica pública</t>
        </is>
      </c>
      <c r="C57" s="73" t="inlineStr">
        <is>
          <t>Instituto Nacional de Aprendizaje</t>
        </is>
      </c>
      <c r="D57" s="73" t="inlineStr">
        <is>
          <t>CENTRO NACIONAL ESPECIALIZADO EN ELECTRÓNICA</t>
        </is>
      </c>
      <c r="E57" s="73" t="n"/>
      <c r="F57" s="73" t="inlineStr">
        <is>
          <t>CENTRO NACIONAL ESPECIALIZADO EN ELECTRÓNICA</t>
        </is>
      </c>
      <c r="G57" s="18" t="inlineStr">
        <is>
          <t>https://www.ina.ac.cr/SiteAssets/docs/PDF/Regionales_Centros_Formacion_INA.pdf</t>
        </is>
      </c>
      <c r="H57" s="138" t="inlineStr">
        <is>
          <t>Ricardo Rivas Salguero (Jefatura)</t>
        </is>
      </c>
      <c r="I57" s="138" t="inlineStr">
        <is>
          <t>2262-7613</t>
        </is>
      </c>
      <c r="J57" s="138" t="inlineStr">
        <is>
          <t>rrivassalguero@ina.ac.cr</t>
        </is>
      </c>
      <c r="K57" s="18" t="inlineStr">
        <is>
          <t>https://www.ina.ac.cr/SiteAssets/docs/PDF/Regionales_Centros_Formacion_INA.pdf</t>
        </is>
      </c>
      <c r="L57" s="51" t="inlineStr">
        <is>
          <t>CONFIRMADO</t>
        </is>
      </c>
      <c r="M57" s="30" t="inlineStr">
        <is>
          <t xml:space="preserve">Datos exactos del PDF adjuntado en detalles y fuentes </t>
        </is>
      </c>
    </row>
    <row r="58" ht="30" customHeight="1" s="182">
      <c r="A58" s="42" t="inlineStr">
        <is>
          <t>Costa Rica</t>
        </is>
      </c>
      <c r="B58" s="15" t="inlineStr">
        <is>
          <t>Formación técnica pública</t>
        </is>
      </c>
      <c r="C58" s="73" t="inlineStr">
        <is>
          <t>Instituto Nacional de Aprendizaje</t>
        </is>
      </c>
      <c r="D58" s="73" t="inlineStr">
        <is>
          <t>CENTRO DE FORMACIÓN PROFESIONAL TALLER PÚBLICO DE HEREDIA</t>
        </is>
      </c>
      <c r="E58" s="73" t="n"/>
      <c r="F58" s="73" t="inlineStr">
        <is>
          <t>CENTRO DE FORMACIÓN PROFESIONAL TALLER PÚBLICO DE HEREDIA</t>
        </is>
      </c>
      <c r="G58" s="18" t="inlineStr">
        <is>
          <t>https://www.ina.ac.cr/SiteAssets/docs/PDF/Regionales_Centros_Formacion_INA.pdf</t>
        </is>
      </c>
      <c r="H58" s="138" t="inlineStr">
        <is>
          <t>Alejandra Rodríguez Núñez (Jefatura)</t>
        </is>
      </c>
      <c r="I58" s="138" t="inlineStr">
        <is>
          <t>2220-7182</t>
        </is>
      </c>
      <c r="J58" s="138" t="inlineStr">
        <is>
          <t>arodrigueznunez@ina.ac.cr</t>
        </is>
      </c>
      <c r="K58" s="18" t="inlineStr">
        <is>
          <t>https://www.ina.ac.cr/SiteAssets/docs/PDF/Regionales_Centros_Formacion_INA.pdf</t>
        </is>
      </c>
      <c r="L58" s="51" t="inlineStr">
        <is>
          <t>CONFIRMADO</t>
        </is>
      </c>
      <c r="M58" s="30" t="inlineStr">
        <is>
          <t xml:space="preserve">Datos exactos del PDF adjuntado en detalles y fuentes </t>
        </is>
      </c>
    </row>
    <row r="59" ht="30" customHeight="1" s="182">
      <c r="A59" s="42" t="inlineStr">
        <is>
          <t>Costa Rica</t>
        </is>
      </c>
      <c r="B59" s="15" t="inlineStr">
        <is>
          <t>Formación técnica pública</t>
        </is>
      </c>
      <c r="C59" s="73" t="inlineStr">
        <is>
          <t>Instituto Nacional de Aprendizaje</t>
        </is>
      </c>
      <c r="D59" s="73" t="inlineStr">
        <is>
          <t>UNIDAD REGIONAL HUETAR CARIBE</t>
        </is>
      </c>
      <c r="E59" s="73" t="n"/>
      <c r="F59" s="73" t="inlineStr">
        <is>
          <t>UNIDAD REGIONAL HUETAR CARIBE</t>
        </is>
      </c>
      <c r="G59" s="18" t="inlineStr">
        <is>
          <t>https://www.ina.ac.cr/SiteAssets/docs/PDF/Regionales_Centros_Formacion_INA.pdf</t>
        </is>
      </c>
      <c r="H59" s="138" t="inlineStr">
        <is>
          <t>Mario Azofeifa Yen (Jefatura)</t>
        </is>
      </c>
      <c r="I59" s="138" t="inlineStr">
        <is>
          <t>2758-0112</t>
        </is>
      </c>
      <c r="J59" s="138" t="inlineStr">
        <is>
          <t>mzofeifayen@ina.ac.cr</t>
        </is>
      </c>
      <c r="K59" s="18" t="inlineStr">
        <is>
          <t>https://www.ina.ac.cr/SiteAssets/docs/PDF/Regionales_Centros_Formacion_INA.pdf</t>
        </is>
      </c>
      <c r="L59" s="51" t="inlineStr">
        <is>
          <t>CONFIRMADO</t>
        </is>
      </c>
      <c r="M59" s="30" t="inlineStr">
        <is>
          <t xml:space="preserve">Datos exactos del PDF adjuntado en detalles y fuentes </t>
        </is>
      </c>
    </row>
    <row r="60" ht="30" customHeight="1" s="182">
      <c r="A60" s="42" t="inlineStr">
        <is>
          <t>Costa Rica</t>
        </is>
      </c>
      <c r="B60" s="15" t="inlineStr">
        <is>
          <t>Formación técnica pública</t>
        </is>
      </c>
      <c r="C60" s="73" t="inlineStr">
        <is>
          <t>Instituto Nacional de Aprendizaje</t>
        </is>
      </c>
      <c r="D60" s="73" t="inlineStr">
        <is>
          <t>CENTRO DE FORMACIÓN PROFESIONAL TALAMANCA</t>
        </is>
      </c>
      <c r="E60" s="73" t="n"/>
      <c r="F60" s="73" t="inlineStr">
        <is>
          <t>CENTRO DE FORMACIÓN PROFESIONAL TALAMANCA</t>
        </is>
      </c>
      <c r="G60" s="18" t="inlineStr">
        <is>
          <t>https://www.ina.ac.cr/SiteAssets/docs/PDF/Regionales_Centros_Formacion_INA.pdf</t>
        </is>
      </c>
      <c r="H60" s="73" t="inlineStr">
        <is>
          <t>Luis Montero Aguilar (Jefatura)</t>
        </is>
      </c>
      <c r="I60" s="73" t="inlineStr">
        <is>
          <t>2751-0546</t>
        </is>
      </c>
      <c r="J60" s="73" t="inlineStr">
        <is>
          <t>lmonteroaguilar@ina.ac.cr</t>
        </is>
      </c>
      <c r="K60" s="18" t="inlineStr">
        <is>
          <t>https://www.ina.ac.cr/SiteAssets/docs/PDF/Regionales_Centros_Formacion_INA.pdf</t>
        </is>
      </c>
      <c r="L60" s="51" t="inlineStr">
        <is>
          <t>CONFIRMADO</t>
        </is>
      </c>
      <c r="M60" s="30" t="inlineStr">
        <is>
          <t xml:space="preserve">Datos exactos del PDF adjuntado en detalles y fuentes </t>
        </is>
      </c>
    </row>
    <row r="61" ht="30" customHeight="1" s="182">
      <c r="A61" s="42" t="inlineStr">
        <is>
          <t>Costa Rica</t>
        </is>
      </c>
      <c r="B61" s="15" t="inlineStr">
        <is>
          <t>Formación técnica pública</t>
        </is>
      </c>
      <c r="C61" s="73" t="inlineStr">
        <is>
          <t>Instituto Nacional de Aprendizaje</t>
        </is>
      </c>
      <c r="D61" s="73" t="inlineStr">
        <is>
          <t>CENTRO DE FORMACIÓN PROFESIONAL LIMÓN</t>
        </is>
      </c>
      <c r="E61" s="73" t="n"/>
      <c r="F61" s="73" t="inlineStr">
        <is>
          <t>CENTRO DE FORMACIÓN PROFESIONAL LIMÓN</t>
        </is>
      </c>
      <c r="G61" s="18" t="inlineStr">
        <is>
          <t>https://www.ina.ac.cr/SiteAssets/docs/PDF/Regionales_Centros_Formacion_INA.pdf</t>
        </is>
      </c>
      <c r="H61" s="73" t="inlineStr">
        <is>
          <t>Omar Wrigth Grant (Jefatura)</t>
        </is>
      </c>
      <c r="I61" s="73" t="inlineStr">
        <is>
          <t>2758-1587</t>
        </is>
      </c>
      <c r="J61" s="73" t="inlineStr">
        <is>
          <t>owrightgrant@ina.ac.cr</t>
        </is>
      </c>
      <c r="K61" s="18" t="inlineStr">
        <is>
          <t>https://www.ina.ac.cr/SiteAssets/docs/PDF/Regionales_Centros_Formacion_INA.pdf</t>
        </is>
      </c>
      <c r="L61" s="51" t="inlineStr">
        <is>
          <t>CONFIRMADO</t>
        </is>
      </c>
      <c r="M61" s="30" t="inlineStr">
        <is>
          <t xml:space="preserve">Datos exactos del PDF adjuntado en detalles y fuentes </t>
        </is>
      </c>
    </row>
    <row r="62" ht="30" customHeight="1" s="182">
      <c r="A62" s="42" t="inlineStr">
        <is>
          <t>Costa Rica</t>
        </is>
      </c>
      <c r="B62" s="15" t="inlineStr">
        <is>
          <t>Formación técnica pública</t>
        </is>
      </c>
      <c r="C62" s="73" t="inlineStr">
        <is>
          <t>Instituto Nacional de Aprendizaje</t>
        </is>
      </c>
      <c r="D62" s="73" t="inlineStr">
        <is>
          <t>CENTRO REGIONAL POLIVALENTE DE GUÁCIMO</t>
        </is>
      </c>
      <c r="E62" s="73" t="n"/>
      <c r="F62" s="73" t="inlineStr">
        <is>
          <t>CENTRO REGIONAL POLIVALENTE DE GUÁCIMO</t>
        </is>
      </c>
      <c r="G62" s="18" t="inlineStr">
        <is>
          <t>https://www.ina.ac.cr/SiteAssets/docs/PDF/Regionales_Centros_Formacion_INA.pdf</t>
        </is>
      </c>
      <c r="H62" s="73" t="inlineStr">
        <is>
          <t>Guisbel Fernández García (Jefatura)</t>
        </is>
      </c>
      <c r="I62" s="73" t="inlineStr">
        <is>
          <t>2459-0400</t>
        </is>
      </c>
      <c r="J62" s="73" t="inlineStr">
        <is>
          <t>gfernandezgarcia@ina.ac.cr</t>
        </is>
      </c>
      <c r="K62" s="18" t="inlineStr">
        <is>
          <t>https://www.ina.ac.cr/SiteAssets/docs/PDF/Regionales_Centros_Formacion_INA.pdf</t>
        </is>
      </c>
      <c r="L62" s="51" t="inlineStr">
        <is>
          <t>CONFIRMADO</t>
        </is>
      </c>
      <c r="M62" s="30" t="inlineStr">
        <is>
          <t xml:space="preserve">Datos exactos del PDF adjuntado en detalles y fuentes </t>
        </is>
      </c>
    </row>
    <row r="63" ht="30" customHeight="1" s="182">
      <c r="A63" s="42" t="inlineStr">
        <is>
          <t>Costa Rica</t>
        </is>
      </c>
      <c r="B63" s="15" t="inlineStr">
        <is>
          <t>Formación técnica pública</t>
        </is>
      </c>
      <c r="C63" s="73" t="inlineStr">
        <is>
          <t>Instituto Nacional de Aprendizaje</t>
        </is>
      </c>
      <c r="D63" s="73" t="inlineStr">
        <is>
          <t>CENTRO REGIONAL POLIVALENTE DE LIMÓN</t>
        </is>
      </c>
      <c r="E63" s="73" t="n"/>
      <c r="F63" s="73" t="inlineStr">
        <is>
          <t>CENTRO REGIONAL POLIVALENTE DE LIMÓN</t>
        </is>
      </c>
      <c r="G63" s="18" t="inlineStr">
        <is>
          <t>https://www.ina.ac.cr/SiteAssets/docs/PDF/Regionales_Centros_Formacion_INA.pdf</t>
        </is>
      </c>
      <c r="H63" s="73" t="inlineStr">
        <is>
          <t>Alicia Eltrhinjham Fonseca (Jefatura)</t>
        </is>
      </c>
      <c r="I63" s="73" t="inlineStr">
        <is>
          <t>2758-2106</t>
        </is>
      </c>
      <c r="J63" s="73" t="inlineStr">
        <is>
          <t>aeltrhinjhamfonseca@ina.ac.cr</t>
        </is>
      </c>
      <c r="K63" s="18" t="inlineStr">
        <is>
          <t>https://www.ina.ac.cr/SiteAssets/docs/PDF/Regionales_Centros_Formacion_INA.pdf</t>
        </is>
      </c>
      <c r="L63" s="51" t="inlineStr">
        <is>
          <t>CONFIRMADO</t>
        </is>
      </c>
      <c r="M63" s="30" t="inlineStr">
        <is>
          <t xml:space="preserve">Datos exactos del PDF adjuntado en detalles y fuentes </t>
        </is>
      </c>
    </row>
    <row r="64" ht="30" customHeight="1" s="182">
      <c r="A64" s="42" t="inlineStr">
        <is>
          <t>Costa Rica</t>
        </is>
      </c>
      <c r="B64" s="15" t="inlineStr">
        <is>
          <t>Formación técnica pública</t>
        </is>
      </c>
      <c r="C64" s="73" t="inlineStr">
        <is>
          <t>Instituto Nacional de Aprendizaje</t>
        </is>
      </c>
      <c r="D64" s="73" t="inlineStr">
        <is>
          <t>UNIDAD REGIONAL HUETAR NORTE</t>
        </is>
      </c>
      <c r="E64" s="73" t="n"/>
      <c r="F64" s="73" t="inlineStr">
        <is>
          <t>UNIDAD REGIONAL HUETAR NORTE</t>
        </is>
      </c>
      <c r="G64" s="18" t="inlineStr">
        <is>
          <t>https://www.ina.ac.cr/SiteAssets/docs/PDF/Regionales_Centros_Formacion_INA.pdf</t>
        </is>
      </c>
      <c r="H64" s="73" t="inlineStr">
        <is>
          <t>Rocío Arias Soto (Jefatura)</t>
        </is>
      </c>
      <c r="I64" s="73" t="inlineStr">
        <is>
          <t>2401-4600</t>
        </is>
      </c>
      <c r="J64" s="73" t="inlineStr">
        <is>
          <t>rariassoto@ina.ac.cr</t>
        </is>
      </c>
      <c r="K64" s="18" t="inlineStr">
        <is>
          <t>https://www.ina.ac.cr/SiteAssets/docs/PDF/Regionales_Centros_Formacion_INA.pdf</t>
        </is>
      </c>
      <c r="L64" s="51" t="inlineStr">
        <is>
          <t>CONFIRMADO</t>
        </is>
      </c>
      <c r="M64" s="30" t="inlineStr">
        <is>
          <t xml:space="preserve">Datos exactos del PDF adjuntado en detalles y fuentes </t>
        </is>
      </c>
    </row>
    <row r="65" ht="30" customHeight="1" s="182">
      <c r="A65" s="42" t="inlineStr">
        <is>
          <t>Costa Rica</t>
        </is>
      </c>
      <c r="B65" s="15" t="inlineStr">
        <is>
          <t>Formación técnica pública</t>
        </is>
      </c>
      <c r="C65" s="73" t="inlineStr">
        <is>
          <t>Instituto Nacional de Aprendizaje</t>
        </is>
      </c>
      <c r="D65" s="73" t="inlineStr">
        <is>
          <t>CENTRO DE FORMACIÓN PROFESIONAL UPALA</t>
        </is>
      </c>
      <c r="E65" s="73" t="n"/>
      <c r="F65" s="73" t="inlineStr">
        <is>
          <t>CENTRO DE FORMACIÓN PROFESIONAL UPALA</t>
        </is>
      </c>
      <c r="G65" s="18" t="inlineStr">
        <is>
          <t>https://www.ina.ac.cr/SiteAssets/docs/PDF/Regionales_Centros_Formacion_INA.pdf</t>
        </is>
      </c>
      <c r="H65" s="73" t="inlineStr">
        <is>
          <t>Dario Cruz Solano (Jefatura)</t>
        </is>
      </c>
      <c r="I65" s="73" t="inlineStr">
        <is>
          <t>2401-4840</t>
        </is>
      </c>
      <c r="J65" s="73" t="inlineStr">
        <is>
          <t>rcruzsolano@ina.ac.cr</t>
        </is>
      </c>
      <c r="K65" s="18" t="inlineStr">
        <is>
          <t>https://www.ina.ac.cr/SiteAssets/docs/PDF/Regionales_Centros_Formacion_INA.pdf</t>
        </is>
      </c>
      <c r="L65" s="51" t="inlineStr">
        <is>
          <t>CONFIRMADO</t>
        </is>
      </c>
      <c r="M65" s="30" t="inlineStr">
        <is>
          <t xml:space="preserve">Datos exactos del PDF adjuntado en detalles y fuentes </t>
        </is>
      </c>
    </row>
    <row r="66" ht="30" customHeight="1" s="182">
      <c r="A66" s="42" t="inlineStr">
        <is>
          <t>Costa Rica</t>
        </is>
      </c>
      <c r="B66" s="15" t="inlineStr">
        <is>
          <t>Formación técnica pública</t>
        </is>
      </c>
      <c r="C66" s="73" t="inlineStr">
        <is>
          <t>Instituto Nacional de Aprendizaje</t>
        </is>
      </c>
      <c r="D66" s="73" t="inlineStr">
        <is>
          <t>CENTRO REGIONAL POLIVALENTE DE SAN CARLOS</t>
        </is>
      </c>
      <c r="E66" s="73" t="n"/>
      <c r="F66" s="73" t="inlineStr">
        <is>
          <t>CENTRO REGIONAL POLIVALENTE DE SAN CARLOS</t>
        </is>
      </c>
      <c r="G66" s="18" t="inlineStr">
        <is>
          <t>https://www.ina.ac.cr/SiteAssets/docs/PDF/Regionales_Centros_Formacion_INA.pdf</t>
        </is>
      </c>
      <c r="H66" s="73" t="inlineStr">
        <is>
          <t>Enrique Román Calderón (Jefatura)</t>
        </is>
      </c>
      <c r="I66" s="73" t="inlineStr">
        <is>
          <t>2401-4802</t>
        </is>
      </c>
      <c r="J66" s="73" t="inlineStr">
        <is>
          <t>fromancalderon@ina.ac.cr</t>
        </is>
      </c>
      <c r="K66" s="18" t="inlineStr">
        <is>
          <t>https://www.ina.ac.cr/SiteAssets/docs/PDF/Regionales_Centros_Formacion_INA.pdf</t>
        </is>
      </c>
      <c r="L66" s="51" t="inlineStr">
        <is>
          <t>CONFIRMADO</t>
        </is>
      </c>
      <c r="M66" s="30" t="inlineStr">
        <is>
          <t xml:space="preserve">Datos exactos del PDF adjuntado en detalles y fuentes </t>
        </is>
      </c>
    </row>
    <row r="67" ht="30" customHeight="1" s="182">
      <c r="A67" s="42" t="inlineStr">
        <is>
          <t>Costa Rica</t>
        </is>
      </c>
      <c r="B67" s="15" t="inlineStr">
        <is>
          <t>Formación técnica pública</t>
        </is>
      </c>
      <c r="C67" s="73" t="inlineStr">
        <is>
          <t>Instituto Nacional de Aprendizaje</t>
        </is>
      </c>
      <c r="D67" s="73" t="inlineStr">
        <is>
          <t>CENTRO REGIONAL POLIVALENTE LA MARINA</t>
        </is>
      </c>
      <c r="E67" s="73" t="n"/>
      <c r="F67" s="73" t="inlineStr">
        <is>
          <t>CENTRO REGIONAL POLIVALENTE LA MARINA</t>
        </is>
      </c>
      <c r="G67" s="18" t="inlineStr">
        <is>
          <t>https://www.ina.ac.cr/SiteAssets/docs/PDF/Regionales_Centros_Formacion_INA.pdf</t>
        </is>
      </c>
      <c r="H67" s="73" t="inlineStr">
        <is>
          <t>Yalitza Torres Pérez (Jefatura)</t>
        </is>
      </c>
      <c r="I67" s="73" t="inlineStr">
        <is>
          <t>2401-4636</t>
        </is>
      </c>
      <c r="J67" s="73" t="inlineStr">
        <is>
          <t>ytorresperez@ina.ac.cr</t>
        </is>
      </c>
      <c r="K67" s="18" t="inlineStr">
        <is>
          <t>https://www.ina.ac.cr/SiteAssets/docs/PDF/Regionales_Centros_Formacion_INA.pdf</t>
        </is>
      </c>
      <c r="L67" s="51" t="inlineStr">
        <is>
          <t>CONFIRMADO</t>
        </is>
      </c>
      <c r="M67" s="30" t="inlineStr">
        <is>
          <t xml:space="preserve">Datos exactos del PDF adjuntado en detalles y fuentes </t>
        </is>
      </c>
    </row>
    <row r="68" ht="30" customHeight="1" s="182">
      <c r="A68" s="42" t="inlineStr">
        <is>
          <t>Costa Rica</t>
        </is>
      </c>
      <c r="B68" s="15" t="inlineStr">
        <is>
          <t>Formación técnica pública</t>
        </is>
      </c>
      <c r="C68" s="73" t="inlineStr">
        <is>
          <t>Instituto Nacional de Aprendizaje</t>
        </is>
      </c>
      <c r="D68" s="73" t="inlineStr">
        <is>
          <t>CENTRO DE FORMACIÓN PROFESIONAL SARAPIQUÍ</t>
        </is>
      </c>
      <c r="E68" s="73" t="n"/>
      <c r="F68" s="73" t="inlineStr">
        <is>
          <t>CENTRO DE FORMACIÓN PROFESIONAL SARAPIQUÍ</t>
        </is>
      </c>
      <c r="G68" s="18" t="inlineStr">
        <is>
          <t>https://www.ina.ac.cr/SiteAssets/docs/PDF/Regionales_Centros_Formacion_INA.pdf</t>
        </is>
      </c>
      <c r="H68" s="73" t="inlineStr">
        <is>
          <t>Randall Lobo Córdoba (Jefatura)</t>
        </is>
      </c>
      <c r="I68" s="28" t="inlineStr">
        <is>
          <t>2401-4903</t>
        </is>
      </c>
      <c r="J68" s="73" t="inlineStr">
        <is>
          <t>rlobocordoba@ina.ac.cr</t>
        </is>
      </c>
      <c r="K68" s="18" t="inlineStr">
        <is>
          <t>https://www.ina.ac.cr/SiteAssets/docs/PDF/Regionales_Centros_Formacion_INA.pdf</t>
        </is>
      </c>
      <c r="L68" s="51" t="inlineStr">
        <is>
          <t>CONFIRMADO</t>
        </is>
      </c>
      <c r="M68" s="30" t="inlineStr">
        <is>
          <t xml:space="preserve">Datos exactos del PDF adjuntado en detalles y fuentes </t>
        </is>
      </c>
    </row>
    <row r="69" ht="30" customHeight="1" s="182">
      <c r="A69" s="42" t="inlineStr">
        <is>
          <t>Costa Rica</t>
        </is>
      </c>
      <c r="B69" s="15" t="inlineStr">
        <is>
          <t>Formación técnica pública</t>
        </is>
      </c>
      <c r="C69" s="73" t="inlineStr">
        <is>
          <t>Instituto Nacional de Aprendizaje</t>
        </is>
      </c>
      <c r="D69" s="73" t="inlineStr">
        <is>
          <t>UNIDAD REGIONAL PACÍFICO CENTRAL</t>
        </is>
      </c>
      <c r="E69" s="73" t="n"/>
      <c r="F69" s="73" t="inlineStr">
        <is>
          <t>UNIDAD REGIONAL PACÍFICO CENTRAL</t>
        </is>
      </c>
      <c r="G69" s="18" t="inlineStr">
        <is>
          <t>https://www.ina.ac.cr/SiteAssets/docs/PDF/Regionales_Centros_Formacion_INA.pdf</t>
        </is>
      </c>
      <c r="H69" s="73" t="inlineStr">
        <is>
          <t>Hayrroll Moraga Martínez (Jefatura)</t>
        </is>
      </c>
      <c r="I69" s="73" t="inlineStr">
        <is>
          <t>2105-9102</t>
        </is>
      </c>
      <c r="J69" s="73" t="inlineStr">
        <is>
          <t>hmoragamartinez@ina.ac.cr</t>
        </is>
      </c>
      <c r="K69" s="18" t="inlineStr">
        <is>
          <t>https://www.ina.ac.cr/SiteAssets/docs/PDF/Regionales_Centros_Formacion_INA.pdf</t>
        </is>
      </c>
      <c r="L69" s="51" t="inlineStr">
        <is>
          <t>CONFIRMADO</t>
        </is>
      </c>
      <c r="M69" s="30" t="inlineStr">
        <is>
          <t xml:space="preserve">Datos exactos del PDF adjuntado en detalles y fuentes </t>
        </is>
      </c>
    </row>
    <row r="70" ht="30" customHeight="1" s="182">
      <c r="A70" s="42" t="inlineStr">
        <is>
          <t>Costa Rica</t>
        </is>
      </c>
      <c r="B70" s="15" t="inlineStr">
        <is>
          <t>Formación técnica pública</t>
        </is>
      </c>
      <c r="C70" s="73" t="inlineStr">
        <is>
          <t>Instituto Nacional de Aprendizaje</t>
        </is>
      </c>
      <c r="D70" s="73" t="inlineStr">
        <is>
          <t>CENTRO DE FORMACIÓN PROFESIONAL OROTINA</t>
        </is>
      </c>
      <c r="E70" s="73" t="n"/>
      <c r="F70" s="73" t="inlineStr">
        <is>
          <t>CENTRO DE FORMACIÓN PROFESIONAL OROTINA</t>
        </is>
      </c>
      <c r="G70" s="18" t="inlineStr">
        <is>
          <t>https://www.ina.ac.cr/SiteAssets/docs/PDF/Regionales_Centros_Formacion_INA.pdf</t>
        </is>
      </c>
      <c r="H70" s="138" t="inlineStr">
        <is>
          <t>Mailen Acuña Manzanares (Jefatura)</t>
        </is>
      </c>
      <c r="I70" s="138" t="inlineStr">
        <is>
          <t>2105-9194</t>
        </is>
      </c>
      <c r="J70" s="138" t="inlineStr">
        <is>
          <t>macunamanzanares@ina.ac.cr</t>
        </is>
      </c>
      <c r="K70" s="18" t="inlineStr">
        <is>
          <t>https://www.ina.ac.cr/SiteAssets/docs/PDF/Regionales_Centros_Formacion_INA.pdf</t>
        </is>
      </c>
      <c r="L70" s="51" t="inlineStr">
        <is>
          <t>CONFIRMADO</t>
        </is>
      </c>
      <c r="M70" s="30" t="inlineStr">
        <is>
          <t xml:space="preserve">Datos exactos del PDF adjuntado en detalles y fuentes </t>
        </is>
      </c>
    </row>
    <row r="71" ht="30" customHeight="1" s="182">
      <c r="A71" s="42" t="inlineStr">
        <is>
          <t>Costa Rica</t>
        </is>
      </c>
      <c r="B71" s="15" t="inlineStr">
        <is>
          <t>Formación técnica pública</t>
        </is>
      </c>
      <c r="C71" s="73" t="inlineStr">
        <is>
          <t>Instituto Nacional de Aprendizaje</t>
        </is>
      </c>
      <c r="D71" s="73" t="inlineStr">
        <is>
          <t>CENTRO DE FORMACIÓN PROFESIONAL DE PUNTARENAS</t>
        </is>
      </c>
      <c r="E71" s="73" t="n"/>
      <c r="F71" s="73" t="inlineStr">
        <is>
          <t>CENTRO DE FORMACIÓN PROFESIONAL DE PUNTARENAS</t>
        </is>
      </c>
      <c r="G71" s="18" t="inlineStr">
        <is>
          <t>https://www.ina.ac.cr/SiteAssets/docs/PDF/Regionales_Centros_Formacion_INA.pdf</t>
        </is>
      </c>
      <c r="H71" s="138" t="inlineStr">
        <is>
          <t>Yeudi Franklin Peraza Porras (Jefatura)</t>
        </is>
      </c>
      <c r="I71" s="138" t="inlineStr">
        <is>
          <t>2505-1519</t>
        </is>
      </c>
      <c r="J71" s="138" t="inlineStr">
        <is>
          <t>yperazaporras@ina.ac.cr</t>
        </is>
      </c>
      <c r="K71" s="18" t="inlineStr">
        <is>
          <t>https://www.ina.ac.cr/SiteAssets/docs/PDF/Regionales_Centros_Formacion_INA.pdf</t>
        </is>
      </c>
      <c r="L71" s="51" t="inlineStr">
        <is>
          <t>CONFIRMADO</t>
        </is>
      </c>
      <c r="M71" s="30" t="inlineStr">
        <is>
          <t xml:space="preserve">Datos exactos del PDF adjuntado en detalles y fuentes </t>
        </is>
      </c>
    </row>
    <row r="72" ht="30" customHeight="1" s="182">
      <c r="A72" s="42" t="inlineStr">
        <is>
          <t>Costa Rica</t>
        </is>
      </c>
      <c r="B72" s="15" t="inlineStr">
        <is>
          <t>Formación técnica pública</t>
        </is>
      </c>
      <c r="C72" s="73" t="inlineStr">
        <is>
          <t>Instituto Nacional de Aprendizaje</t>
        </is>
      </c>
      <c r="D72" s="73" t="inlineStr">
        <is>
          <t>CENTRO NACIONAL ESPECIALIZADO NAÚTICO PESQUERO</t>
        </is>
      </c>
      <c r="E72" s="73" t="n"/>
      <c r="F72" s="73" t="inlineStr">
        <is>
          <t>CENTRO NACIONAL ESPECIALIZADO NAÚTICO PESQUERO</t>
        </is>
      </c>
      <c r="G72" s="18" t="inlineStr">
        <is>
          <t>https://www.ina.ac.cr/SiteAssets/docs/PDF/Regionales_Centros_Formacion_INA.pdf</t>
        </is>
      </c>
      <c r="H72" s="138" t="inlineStr">
        <is>
          <t>vacante</t>
        </is>
      </c>
      <c r="I72" s="138" t="inlineStr">
        <is>
          <t>2505-1519</t>
        </is>
      </c>
      <c r="J72" s="138" t="inlineStr">
        <is>
          <t>vacante@ina.ac.cr</t>
        </is>
      </c>
      <c r="K72" s="18" t="inlineStr">
        <is>
          <t>https://www.ina.ac.cr/SiteAssets/docs/PDF/Regionales_Centros_Formacion_INA.pdf</t>
        </is>
      </c>
      <c r="L72" s="51" t="inlineStr">
        <is>
          <t>CONFIRMADO</t>
        </is>
      </c>
      <c r="M72" s="30" t="inlineStr">
        <is>
          <t xml:space="preserve">Datos exactos del PDF adjuntado en detalles y fuentes </t>
        </is>
      </c>
    </row>
    <row r="73" ht="15.75" customHeight="1" s="182">
      <c r="A73" s="42" t="inlineStr">
        <is>
          <t>Costa Rica</t>
        </is>
      </c>
      <c r="B73" s="15" t="inlineStr">
        <is>
          <t>Formación técnica pública</t>
        </is>
      </c>
      <c r="C73" s="73" t="inlineStr">
        <is>
          <t>Instituto Nacional de Aprendizaje</t>
        </is>
      </c>
      <c r="D73" s="73" t="inlineStr">
        <is>
          <t>CENTRO REGIONAL POLIVALENTE DE PUNTARENAS</t>
        </is>
      </c>
      <c r="E73" s="73" t="n"/>
      <c r="F73" s="73" t="inlineStr">
        <is>
          <t>CENTRO REGIONAL POLIVALENTE DE PUNTARENAS</t>
        </is>
      </c>
      <c r="G73" s="18" t="inlineStr">
        <is>
          <t>https://www.ina.ac.cr/SiteAssets/docs/PDF/Regionales_Centros_Formacion_INA.pdf</t>
        </is>
      </c>
      <c r="H73" s="138" t="inlineStr">
        <is>
          <t>Christian José Quesada Zeledón (Jefatura)</t>
        </is>
      </c>
      <c r="I73" s="138" t="inlineStr">
        <is>
          <t>2105-9276</t>
        </is>
      </c>
      <c r="J73" s="138" t="inlineStr">
        <is>
          <t>CQuesadazeledon@ina.ac.cr</t>
        </is>
      </c>
      <c r="K73" s="18" t="inlineStr">
        <is>
          <t>https://www.ina.ac.cr/SiteAssets/docs/PDF/Regionales_Centros_Formacion_INA.pdf</t>
        </is>
      </c>
      <c r="L73" s="51" t="inlineStr">
        <is>
          <t>CONFIRMADO</t>
        </is>
      </c>
      <c r="M73" s="30" t="inlineStr">
        <is>
          <t xml:space="preserve">Datos exactos del PDF adjuntado en detalles y fuentes </t>
        </is>
      </c>
    </row>
    <row r="74" ht="15.75" customHeight="1" s="182">
      <c r="A74" s="42" t="inlineStr">
        <is>
          <t>Costa Rica</t>
        </is>
      </c>
      <c r="B74" s="15" t="inlineStr">
        <is>
          <t>Universidades públicas</t>
        </is>
      </c>
      <c r="C74" s="73" t="inlineStr">
        <is>
          <t>Universidad Estatal Tradicional</t>
        </is>
      </c>
      <c r="D74" s="73" t="inlineStr">
        <is>
          <t>UNIVERSIDAD DE COSTA RICA (UCR)</t>
        </is>
      </c>
      <c r="E74" s="73" t="n"/>
      <c r="F74" s="73" t="inlineStr">
        <is>
          <t>Rectoría / Oficina de Orientación</t>
        </is>
      </c>
      <c r="G74" s="18" t="inlineStr">
        <is>
          <t>https://www.ucr.ac.cr</t>
        </is>
      </c>
      <c r="H74" s="73" t="inlineStr">
        <is>
          <t>Dr. Carlos Araya Leandro (Rector)</t>
        </is>
      </c>
      <c r="I74" s="73" t="inlineStr">
        <is>
          <t>2511-1970</t>
        </is>
      </c>
      <c r="J74" s="73" t="inlineStr">
        <is>
          <t>covo@ucr.ac.cr</t>
        </is>
      </c>
      <c r="K74" s="73" t="inlineStr">
        <is>
          <t>https://www.ucr.ac.cr</t>
        </is>
      </c>
      <c r="L74" s="58" t="inlineStr">
        <is>
          <t>CONFIRMADO</t>
        </is>
      </c>
      <c r="M74" s="30" t="inlineStr">
        <is>
          <t>Sin observaciones</t>
        </is>
      </c>
    </row>
    <row r="75" ht="15.75" customHeight="1" s="182">
      <c r="A75" s="42" t="inlineStr">
        <is>
          <t>Costa Rica</t>
        </is>
      </c>
      <c r="B75" s="56" t="inlineStr">
        <is>
          <t>Universidades públicas</t>
        </is>
      </c>
      <c r="C75" s="80" t="inlineStr">
        <is>
          <t>Universidad Estatal Especializada en Tecnología</t>
        </is>
      </c>
      <c r="D75" s="80" t="inlineStr">
        <is>
          <t>INSTITUTO TECNOLÓGICO DE COSTA RICA (TEC)</t>
        </is>
      </c>
      <c r="E75" s="80" t="n"/>
      <c r="F75" s="80" t="inlineStr">
        <is>
          <t>Rectoría / Departamento de Orientación y Psicología</t>
        </is>
      </c>
      <c r="G75" s="95" t="inlineStr">
        <is>
          <t>https://www.tec.ac.cr</t>
        </is>
      </c>
      <c r="H75" s="113" t="inlineStr">
        <is>
          <t>Ing. María Estrada Sánchez (Rectora)</t>
        </is>
      </c>
      <c r="I75" s="113" t="inlineStr">
        <is>
          <t>2550-2280</t>
        </is>
      </c>
      <c r="J75" s="80" t="inlineStr">
        <is>
          <t>infodop@tec.ac.cr</t>
        </is>
      </c>
      <c r="K75" s="80" t="inlineStr">
        <is>
          <t>https://www.tec.ac.cr</t>
        </is>
      </c>
      <c r="L75" s="58" t="inlineStr">
        <is>
          <t>CONFIRMADO</t>
        </is>
      </c>
      <c r="M75" s="30" t="inlineStr">
        <is>
          <t>Sin observaciones</t>
        </is>
      </c>
    </row>
    <row r="76" ht="15.75" customHeight="1" s="182">
      <c r="A76" s="42" t="inlineStr">
        <is>
          <t>Costa Rica</t>
        </is>
      </c>
      <c r="B76" s="56" t="inlineStr">
        <is>
          <t>Universidades públicas</t>
        </is>
      </c>
      <c r="C76" s="98" t="inlineStr">
        <is>
          <t>Universidad Estatal Tradicional</t>
        </is>
      </c>
      <c r="D76" s="98" t="inlineStr">
        <is>
          <t>UNIVERSIDAD NACIONAL (UNA)</t>
        </is>
      </c>
      <c r="E76" s="98" t="n"/>
      <c r="F76" s="98" t="inlineStr">
        <is>
          <t>Rectoría / Departamento de Orientación y Psicología</t>
        </is>
      </c>
      <c r="G76" s="100" t="inlineStr">
        <is>
          <t>https://www.una.ac.cr</t>
        </is>
      </c>
      <c r="H76" s="177" t="inlineStr">
        <is>
          <t>Dr. Jorge Herrera Murillo (Rector)</t>
        </is>
      </c>
      <c r="I76" s="177" t="inlineStr">
        <is>
          <t>2277-3199</t>
        </is>
      </c>
      <c r="J76" s="98" t="inlineStr">
        <is>
          <t>dopuna@una.ac.cr</t>
        </is>
      </c>
      <c r="K76" s="98" t="inlineStr">
        <is>
          <t>https://www.una.ac.cr</t>
        </is>
      </c>
      <c r="L76" s="58" t="inlineStr">
        <is>
          <t>CONFIRMADO</t>
        </is>
      </c>
      <c r="M76" s="30" t="inlineStr">
        <is>
          <t>Sin observaciones</t>
        </is>
      </c>
    </row>
    <row r="77" ht="15.75" customHeight="1" s="182">
      <c r="A77" s="42" t="inlineStr">
        <is>
          <t>Costa Rica</t>
        </is>
      </c>
      <c r="B77" s="56" t="inlineStr">
        <is>
          <t>Universidades públicas</t>
        </is>
      </c>
      <c r="C77" s="98" t="inlineStr">
        <is>
          <t>Universidad Estatal de Educación a Distancia</t>
        </is>
      </c>
      <c r="D77" s="98" t="inlineStr">
        <is>
          <t>UNIVERSIDAD ESTATAL A DISTANCIA (UNED)</t>
        </is>
      </c>
      <c r="E77" s="98" t="n"/>
      <c r="F77" s="98" t="inlineStr">
        <is>
          <t>Rectoría / Dirección de Vida Estudiantil</t>
        </is>
      </c>
      <c r="G77" s="100" t="inlineStr">
        <is>
          <t>https://www.uned.ac.cr</t>
        </is>
      </c>
      <c r="H77" s="177" t="inlineStr">
        <is>
          <t>Sr. Rodrigo Arias Camacho (Rector)</t>
        </is>
      </c>
      <c r="I77" s="177" t="inlineStr">
        <is>
          <t>2527-2000</t>
        </is>
      </c>
      <c r="J77" s="98" t="inlineStr">
        <is>
          <t>contacto@uned.ac.cr</t>
        </is>
      </c>
      <c r="K77" s="98" t="inlineStr">
        <is>
          <t>https://www.uned.ac.cr</t>
        </is>
      </c>
      <c r="L77" s="58" t="inlineStr">
        <is>
          <t>CONFIRMADO</t>
        </is>
      </c>
      <c r="M77" s="30" t="inlineStr">
        <is>
          <t>Sin observaciones</t>
        </is>
      </c>
    </row>
    <row r="78" ht="15.75" customHeight="1" s="182">
      <c r="A78" s="42" t="inlineStr">
        <is>
          <t>Costa Rica</t>
        </is>
      </c>
      <c r="B78" s="56" t="inlineStr">
        <is>
          <t>Universidades públicas</t>
        </is>
      </c>
      <c r="C78" s="98" t="inlineStr">
        <is>
          <t>Universidad Estatal de Reciente Creación / Educación Técnica</t>
        </is>
      </c>
      <c r="D78" s="98" t="inlineStr">
        <is>
          <t>UNIVERSIDAD TÉCNICA NACIONAL (UTN)</t>
        </is>
      </c>
      <c r="E78" s="98" t="n"/>
      <c r="F78" s="98" t="inlineStr">
        <is>
          <t>Rectoría / Dirección de Comunicación / Bienestar Estudiantil</t>
        </is>
      </c>
      <c r="G78" s="100" t="inlineStr">
        <is>
          <t>https://www.utn.ac.cr</t>
        </is>
      </c>
      <c r="H78" s="177" t="inlineStr">
        <is>
          <t>M.Sc. William Rojas Meléndez (Rector)</t>
        </is>
      </c>
      <c r="I78" s="177" t="inlineStr">
        <is>
          <t>2435-5000</t>
        </is>
      </c>
      <c r="J78" s="98" t="inlineStr">
        <is>
          <t>info@utn.ac.cr</t>
        </is>
      </c>
      <c r="K78" s="98" t="inlineStr">
        <is>
          <t>https://www.utn.ac.cr</t>
        </is>
      </c>
      <c r="L78" s="58" t="inlineStr">
        <is>
          <t>CONFIRMADO</t>
        </is>
      </c>
      <c r="M78" s="30" t="inlineStr">
        <is>
          <t>Sin observaciones</t>
        </is>
      </c>
    </row>
    <row r="79" ht="15.75" customHeight="1" s="182">
      <c r="A79" s="42" t="inlineStr">
        <is>
          <t>Costa Rica</t>
        </is>
      </c>
      <c r="B79" s="15" t="inlineStr">
        <is>
          <t>Sindicatos y confederaciones de trabajadores</t>
        </is>
      </c>
      <c r="C79" s="98" t="inlineStr">
        <is>
          <t>Central Sindical / Confederación</t>
        </is>
      </c>
      <c r="D79" s="98" t="inlineStr">
        <is>
          <t>CONFEDERACIÓN DE TRABAJADORES RERUM NOVARUM (CTRN)</t>
        </is>
      </c>
      <c r="E79" s="98" t="n"/>
      <c r="F79" s="98" t="inlineStr">
        <is>
          <t>Secretaría General / Comité Ejecutivo</t>
        </is>
      </c>
      <c r="G79" s="100" t="inlineStr">
        <is>
          <t>https://www.mtss.go.cr/tramites-servicios/catalogo-tramites/sindicatos.html</t>
        </is>
      </c>
      <c r="H79" s="177" t="inlineStr">
        <is>
          <t>Secretaría General CTRN</t>
        </is>
      </c>
      <c r="I79" s="177" t="inlineStr">
        <is>
          <t>506 2283 2647</t>
        </is>
      </c>
      <c r="J79" s="98" t="inlineStr">
        <is>
          <t>ctrn.costarica@gmail.com</t>
        </is>
      </c>
      <c r="K79" s="100" t="inlineStr">
        <is>
          <t>https://rerumnovarumcr.com/contact-page/</t>
        </is>
      </c>
      <c r="L79" s="22" t="inlineStr">
        <is>
          <t>CORREGIDO</t>
        </is>
      </c>
      <c r="M79" s="86" t="n"/>
    </row>
    <row r="80" ht="15.75" customHeight="1" s="182">
      <c r="A80" s="42" t="inlineStr">
        <is>
          <t>Costa Rica</t>
        </is>
      </c>
      <c r="B80" s="15" t="inlineStr">
        <is>
          <t>Sindicatos y confederaciones de trabajadores</t>
        </is>
      </c>
      <c r="C80" s="98" t="inlineStr">
        <is>
          <t>Central Sindical / Confederación</t>
        </is>
      </c>
      <c r="D80" s="98" t="inlineStr">
        <is>
          <t>CENTRAL DEL MOVIMIENTO DE TRABAJADORES COSTARRICENSES (CMTC)</t>
        </is>
      </c>
      <c r="E80" s="98" t="n"/>
      <c r="F80" s="98" t="inlineStr">
        <is>
          <t>Secretaría General / Comité Ejecutivo Central</t>
        </is>
      </c>
      <c r="G80" s="100" t="inlineStr">
        <is>
          <t>https://www.mtss.go.cr/tramites-servicios/catalogo-tramites/sindicatos.html</t>
        </is>
      </c>
      <c r="H80" s="177" t="inlineStr">
        <is>
          <t>Secretaría General CMTC</t>
        </is>
      </c>
      <c r="I80" s="177" t="n">
        <v>22904885</v>
      </c>
      <c r="J80" s="98" t="inlineStr">
        <is>
          <t>cmtccr1@ice.co.cr</t>
        </is>
      </c>
      <c r="K80" s="100" t="inlineStr">
        <is>
          <t>https://cmtccr.org/</t>
        </is>
      </c>
      <c r="L80" s="22" t="inlineStr">
        <is>
          <t>CORREGIDO</t>
        </is>
      </c>
      <c r="M80" s="86" t="n"/>
    </row>
    <row r="81" ht="15.75" customHeight="1" s="182">
      <c r="A81" s="42" t="inlineStr">
        <is>
          <t>Costa Rica</t>
        </is>
      </c>
      <c r="B81" s="15" t="inlineStr">
        <is>
          <t>Sindicatos y confederaciones de trabajadores</t>
        </is>
      </c>
      <c r="C81" s="98" t="inlineStr">
        <is>
          <t>Central Sindical / Coordinadora Unitarias</t>
        </is>
      </c>
      <c r="D81" s="98" t="inlineStr">
        <is>
          <t>BLOQUE UNITARIO SINDICAL Y SOCIAL COSTARRICENSE (BUS-SM)</t>
        </is>
      </c>
      <c r="E81" s="98" t="n"/>
      <c r="F81" s="98" t="inlineStr">
        <is>
          <t>Coordinación General / Asambleas de Gremios</t>
        </is>
      </c>
      <c r="G81" s="100" t="inlineStr">
        <is>
          <t>https://www.mtss.go.cr/tramites-servicios/catalogo-tramites/sindicatos.html</t>
        </is>
      </c>
      <c r="H81" s="177" t="n"/>
      <c r="I81" s="177" t="inlineStr">
        <is>
          <t>2257-0150</t>
        </is>
      </c>
      <c r="J81" s="98" t="n"/>
      <c r="K81" s="100" t="inlineStr">
        <is>
          <t>https://www.govern1.com/CR/San-Jos%C3%A9/1766865323545184/BUSSCO-COSTA-RICA</t>
        </is>
      </c>
      <c r="L81" s="186" t="inlineStr">
        <is>
          <t>VERIFICADO CON OBSERVACIONES</t>
        </is>
      </c>
      <c r="M81" s="86" t="inlineStr">
        <is>
          <t>No cuenta con correo y una página no propia, más que nada un directorio</t>
        </is>
      </c>
    </row>
    <row r="82" ht="15.75" customHeight="1" s="182">
      <c r="A82" s="42" t="inlineStr">
        <is>
          <t>Costa Rica</t>
        </is>
      </c>
      <c r="B82" s="15" t="inlineStr">
        <is>
          <t>Sindicatos y confederaciones de trabajadores</t>
        </is>
      </c>
      <c r="C82" s="98" t="inlineStr">
        <is>
          <t>Central Sindical / Confederación (Histórica)</t>
        </is>
      </c>
      <c r="D82" s="98" t="inlineStr">
        <is>
          <t>CONFEDERACIÓN DE TRABAJADORES DE COSTA RICA (CTCR)</t>
        </is>
      </c>
      <c r="E82" s="98" t="n"/>
      <c r="F82" s="98" t="inlineStr">
        <is>
          <t>Comité Ejecutivo Nacional</t>
        </is>
      </c>
      <c r="G82" s="100" t="inlineStr">
        <is>
          <t>https://www.mtss.go.cr/tramites-servicios/catalogo-tramites/sindicatos.html</t>
        </is>
      </c>
      <c r="H82" s="177" t="inlineStr">
        <is>
          <t>Secretaría General CTCR</t>
        </is>
      </c>
      <c r="I82" s="181" t="inlineStr">
        <is>
          <t>no disponible públicamente</t>
        </is>
      </c>
      <c r="J82" s="181" t="inlineStr">
        <is>
          <t>no disponible públicamente</t>
        </is>
      </c>
      <c r="K82" s="181" t="inlineStr">
        <is>
          <t>no disponible públicamente</t>
        </is>
      </c>
      <c r="L82" s="186" t="inlineStr">
        <is>
          <t>VERIFICADO CON OBSERVACIONES</t>
        </is>
      </c>
      <c r="M82" s="86" t="inlineStr">
        <is>
          <t xml:space="preserve">No tiene página web </t>
        </is>
      </c>
    </row>
    <row r="83" ht="15.75" customHeight="1" s="182">
      <c r="A83" s="42" t="inlineStr">
        <is>
          <t>Costa Rica</t>
        </is>
      </c>
      <c r="B83" s="15" t="inlineStr">
        <is>
          <t>Sindicatos y confederaciones de trabajadores</t>
        </is>
      </c>
      <c r="C83" s="98" t="inlineStr">
        <is>
          <t>Sindicato de Sector Educación</t>
        </is>
      </c>
      <c r="D83" s="98" t="inlineStr">
        <is>
          <t>ASOCIACIÓN NACIONAL DE EDUCADORES (ANDE - SINDICATO)</t>
        </is>
      </c>
      <c r="E83" s="98" t="n"/>
      <c r="F83" s="98" t="inlineStr">
        <is>
          <t>Consejo Nacional / Junta Directiva Central</t>
        </is>
      </c>
      <c r="G83" s="100" t="inlineStr">
        <is>
          <t>https://www.ande.cr/</t>
        </is>
      </c>
      <c r="H83" s="177" t="inlineStr">
        <is>
          <t>Presidencia y Secretaría General ANDE</t>
        </is>
      </c>
      <c r="I83" s="177" t="inlineStr">
        <is>
          <t>2243-0000</t>
        </is>
      </c>
      <c r="J83" s="98" t="inlineStr">
        <is>
          <t>ande@ande.cr</t>
        </is>
      </c>
      <c r="K83" s="100" t="inlineStr">
        <is>
          <t>https://www.globgov.com/CR/San-Jos%C3%A9/474129352674244/ANDE---Asociaci%C3%B3n-Nacional-de-Educadores-y-Educadoras</t>
        </is>
      </c>
      <c r="L83" s="186" t="inlineStr">
        <is>
          <t>VERIFICADO CON OBSERVACIONES</t>
        </is>
      </c>
      <c r="M83" s="86" t="inlineStr">
        <is>
          <t xml:space="preserve">Página caida </t>
        </is>
      </c>
    </row>
    <row r="84" ht="15.75" customHeight="1" s="182">
      <c r="A84" s="42" t="inlineStr">
        <is>
          <t>Costa Rica</t>
        </is>
      </c>
      <c r="B84" s="15" t="inlineStr">
        <is>
          <t>Sindicatos y confederaciones de trabajadores</t>
        </is>
      </c>
      <c r="C84" s="98" t="inlineStr">
        <is>
          <t>Sindicato de Sector Educación</t>
        </is>
      </c>
      <c r="D84" s="98" t="inlineStr">
        <is>
          <t>ASOCIACIÓN DE PROFESORES DE SEGUNDA ENSEÑANZA (APSE)</t>
        </is>
      </c>
      <c r="E84" s="98" t="n"/>
      <c r="F84" s="98" t="inlineStr">
        <is>
          <t>Junta Directiva Central / Secretaría General</t>
        </is>
      </c>
      <c r="G84" s="100" t="inlineStr">
        <is>
          <t>https://apse.cr/</t>
        </is>
      </c>
      <c r="H84" s="177" t="inlineStr">
        <is>
          <t>SECRETARÍA DE FORMACIÓN Y DIVULGACIÓN</t>
        </is>
      </c>
      <c r="I84" s="177" t="inlineStr">
        <is>
          <t xml:space="preserve"> 2547-7858</t>
        </is>
      </c>
      <c r="J84" s="98" t="inlineStr">
        <is>
          <t>prensa@apse.cr</t>
        </is>
      </c>
      <c r="K84" s="100" t="inlineStr">
        <is>
          <t>https://apse.cr/contactos/</t>
        </is>
      </c>
      <c r="L84" s="22" t="inlineStr">
        <is>
          <t>CORREGIDO</t>
        </is>
      </c>
      <c r="M84" s="86" t="inlineStr">
        <is>
          <t xml:space="preserve">correo prensa </t>
        </is>
      </c>
    </row>
    <row r="85" ht="15.75" customHeight="1" s="182">
      <c r="A85" s="42" t="inlineStr">
        <is>
          <t>Costa Rica</t>
        </is>
      </c>
      <c r="B85" s="15" t="inlineStr">
        <is>
          <t>Sindicatos y confederaciones de trabajadores</t>
        </is>
      </c>
      <c r="C85" s="98" t="inlineStr">
        <is>
          <t>Sindicato de Sector Educación</t>
        </is>
      </c>
      <c r="D85" s="98" t="inlineStr">
        <is>
          <t>SINDICATO DE TRABAJADORES Y TRABAJADORAS DE LA EDUCACIÓN COSTARRICENSE (SEC)</t>
        </is>
      </c>
      <c r="E85" s="98" t="n"/>
      <c r="F85" s="98" t="inlineStr">
        <is>
          <t>Comité Ejecutivo Nacional</t>
        </is>
      </c>
      <c r="G85" s="100" t="inlineStr">
        <is>
          <t>https://seccr.org/</t>
        </is>
      </c>
      <c r="H85" s="177" t="inlineStr">
        <is>
          <t>Contacto</t>
        </is>
      </c>
      <c r="I85" s="177" t="inlineStr">
        <is>
          <t>(506) 2283-5360</t>
        </is>
      </c>
      <c r="J85" s="98" t="inlineStr">
        <is>
          <t>info@seccr.com</t>
        </is>
      </c>
      <c r="K85" s="100" t="inlineStr">
        <is>
          <t>https://seccr.org/contactenos/#</t>
        </is>
      </c>
      <c r="L85" s="22" t="inlineStr">
        <is>
          <t>CORREGIDO</t>
        </is>
      </c>
      <c r="M85" s="86" t="n"/>
    </row>
    <row r="86" ht="15.75" customHeight="1" s="182">
      <c r="A86" s="42" t="inlineStr">
        <is>
          <t>Costa Rica</t>
        </is>
      </c>
      <c r="B86" s="15" t="inlineStr">
        <is>
          <t>Sindicatos y confederaciones de trabajadores</t>
        </is>
      </c>
      <c r="C86" s="98" t="inlineStr">
        <is>
          <t>Sindicato Educación Superior / Universidad</t>
        </is>
      </c>
      <c r="D86" s="98" t="inlineStr">
        <is>
          <t>SINDICATO DE TRABAJADORES DE LA UNIVERSIDAD DE COSTA RICA (SINDEU)</t>
        </is>
      </c>
      <c r="E86" s="98" t="n"/>
      <c r="F86" s="98" t="inlineStr">
        <is>
          <t>Junta Directiva SINDEU</t>
        </is>
      </c>
      <c r="G86" s="100" t="inlineStr">
        <is>
          <t>https://www.mtss.go.cr/tramites-servicios/catalogo-tramites/sindicatos.html</t>
        </is>
      </c>
      <c r="H86" s="177" t="inlineStr">
        <is>
          <t>Secretaría General SINDEU</t>
        </is>
      </c>
      <c r="I86" s="177" t="inlineStr">
        <is>
          <t>506 2511 1690</t>
        </is>
      </c>
      <c r="J86" s="98" t="inlineStr">
        <is>
          <t>sindeu@ucr.ac.cr</t>
        </is>
      </c>
      <c r="K86" s="100" t="inlineStr">
        <is>
          <t>https://sindeu.ucr.ac.cr/contactenos/</t>
        </is>
      </c>
      <c r="L86" s="51" t="inlineStr">
        <is>
          <t>CONFIRMADO</t>
        </is>
      </c>
      <c r="M86" s="86" t="n"/>
    </row>
    <row r="87" ht="15.75" customHeight="1" s="182">
      <c r="A87" s="42" t="inlineStr">
        <is>
          <t>Costa Rica</t>
        </is>
      </c>
      <c r="B87" s="15" t="inlineStr">
        <is>
          <t>Sindicatos y confederaciones de trabajadores</t>
        </is>
      </c>
      <c r="C87" s="98" t="inlineStr">
        <is>
          <t>Sindicato Educación Superior / Universidad</t>
        </is>
      </c>
      <c r="D87" s="98" t="inlineStr">
        <is>
          <t>SINDICATO DE TRABAJADORES DE LA UNIVERSIDAD NACIONAL (SITUN)</t>
        </is>
      </c>
      <c r="E87" s="98" t="n"/>
      <c r="F87" s="98" t="inlineStr">
        <is>
          <t>Junta Directiva SITUN</t>
        </is>
      </c>
      <c r="G87" s="100" t="inlineStr">
        <is>
          <t>https://www.mtss.go.cr/tramites-servicios/catalogo-tramites/sindicatos.html</t>
        </is>
      </c>
      <c r="H87" s="177" t="inlineStr">
        <is>
          <t>Secretaría General SITUN</t>
        </is>
      </c>
      <c r="I87" s="177" t="inlineStr">
        <is>
          <t xml:space="preserve"> (506) 2277-3446 / (506) 2261-9018</t>
        </is>
      </c>
      <c r="J87" s="98" t="inlineStr">
        <is>
          <t>situn@una.cr</t>
        </is>
      </c>
      <c r="K87" s="100" t="inlineStr">
        <is>
          <t>https://www.situn.una.ac.cr/</t>
        </is>
      </c>
      <c r="L87" s="51" t="inlineStr">
        <is>
          <t>CONFIRMADO</t>
        </is>
      </c>
      <c r="M87" s="86" t="n"/>
    </row>
    <row r="88" ht="15.75" customHeight="1" s="182">
      <c r="A88" s="42" t="inlineStr">
        <is>
          <t>Costa Rica</t>
        </is>
      </c>
      <c r="B88" s="15" t="inlineStr">
        <is>
          <t>Sindicatos y confederaciones de trabajadores</t>
        </is>
      </c>
      <c r="C88" s="98" t="inlineStr">
        <is>
          <t>Sindicato Sector Salud y CCSS</t>
        </is>
      </c>
      <c r="D88" s="98" t="inlineStr">
        <is>
          <t>UNIÓN NACIONAL DE EMPLEADOS DE LA CAJA Y LA SEGURIDAD SOCIAL (UNDECA)</t>
        </is>
      </c>
      <c r="E88" s="98" t="n"/>
      <c r="F88" s="98" t="inlineStr">
        <is>
          <t>Junta Directiva Central / Secretaría de Organización</t>
        </is>
      </c>
      <c r="G88" s="100" t="inlineStr">
        <is>
          <t>https://www.mtss.go.cr/tramites-servicios/catalogo-tramites/sindicatos.html</t>
        </is>
      </c>
      <c r="H88" s="177" t="inlineStr">
        <is>
          <t>Luis Chavarría Vega (Secretaría General)</t>
        </is>
      </c>
      <c r="I88" s="177" t="inlineStr">
        <is>
          <t>(506) 2233-6538, (506) 2223-1413, (506) 2223-1232</t>
        </is>
      </c>
      <c r="J88" s="181" t="inlineStr">
        <is>
          <t>no disponible públicamente</t>
        </is>
      </c>
      <c r="K88" s="100" t="inlineStr">
        <is>
          <t>https://undeca.cr/2012/05/29/contacto-administracion-undeca/</t>
        </is>
      </c>
      <c r="L88" s="186" t="inlineStr">
        <is>
          <t>VERIFICADO CON OBSERVACIONES</t>
        </is>
      </c>
      <c r="M88" s="86" t="inlineStr">
        <is>
          <t>Correo no encontrado</t>
        </is>
      </c>
    </row>
    <row r="89" ht="15.75" customHeight="1" s="182">
      <c r="A89" s="42" t="inlineStr">
        <is>
          <t>Costa Rica</t>
        </is>
      </c>
      <c r="B89" s="15" t="inlineStr">
        <is>
          <t>Sindicatos y confederaciones de trabajadores</t>
        </is>
      </c>
      <c r="C89" s="98" t="inlineStr">
        <is>
          <t>Sindicato Sector Salud y Medicina</t>
        </is>
      </c>
      <c r="D89" s="98" t="inlineStr">
        <is>
          <t>UNIÓN MÉDICA NACIONAL (UMN)</t>
        </is>
      </c>
      <c r="E89" s="98" t="n"/>
      <c r="F89" s="98" t="inlineStr">
        <is>
          <t>Junta Directiva Nacional / Fiscalía</t>
        </is>
      </c>
      <c r="G89" s="100" t="inlineStr">
        <is>
          <t>https://www.unionmedica.com/</t>
        </is>
      </c>
      <c r="H89" s="177" t="inlineStr">
        <is>
          <t>Dra. Janice Sandí (Presidencia / Sec. General)</t>
        </is>
      </c>
      <c r="I89" s="177" t="inlineStr">
        <is>
          <t>(506) 2290-5490</t>
        </is>
      </c>
      <c r="J89" s="98" t="inlineStr">
        <is>
          <t>unmedica@unionmedica.com</t>
        </is>
      </c>
      <c r="K89" s="100" t="inlineStr">
        <is>
          <t>https://unionmedica.com/contacto/</t>
        </is>
      </c>
      <c r="L89" s="22" t="inlineStr">
        <is>
          <t>CORREGIDO</t>
        </is>
      </c>
      <c r="M89" s="86" t="n"/>
    </row>
    <row r="90" ht="15.75" customHeight="1" s="182">
      <c r="A90" s="42" t="inlineStr">
        <is>
          <t>Costa Rica</t>
        </is>
      </c>
      <c r="B90" s="15" t="inlineStr">
        <is>
          <t>Sindicatos y confederaciones de trabajadores</t>
        </is>
      </c>
      <c r="C90" s="98" t="inlineStr">
        <is>
          <t>Sindicato Sector Salud / Enfermería</t>
        </is>
      </c>
      <c r="D90" s="98" t="inlineStr">
        <is>
          <t>SINDICATO DE ENFERMERÍA Y AFINES (SINAE AFINES)</t>
        </is>
      </c>
      <c r="E90" s="98" t="n"/>
      <c r="F90" s="98" t="inlineStr">
        <is>
          <t>Junta Directiva Central</t>
        </is>
      </c>
      <c r="G90" s="100" t="inlineStr">
        <is>
          <t>https://sinaecr.com/category/noticias/sinae-afines/</t>
        </is>
      </c>
      <c r="H90" s="177" t="inlineStr">
        <is>
          <t>Lenín Hernández Navas (Sec. General)</t>
        </is>
      </c>
      <c r="I90" s="177" t="inlineStr">
        <is>
          <t>2233-0450 / 2233-0380</t>
        </is>
      </c>
      <c r="J90" s="98" t="inlineStr">
        <is>
          <t>sinaecr@ice.co.cr</t>
        </is>
      </c>
      <c r="K90" s="100" t="inlineStr">
        <is>
          <t>https://www.sinaeafinesvirtual.com/</t>
        </is>
      </c>
      <c r="L90" s="22" t="inlineStr">
        <is>
          <t>CORREGIDO</t>
        </is>
      </c>
      <c r="M90" s="86" t="n"/>
    </row>
    <row r="91" ht="15.75" customHeight="1" s="182">
      <c r="A91" s="42" t="inlineStr">
        <is>
          <t>Costa Rica</t>
        </is>
      </c>
      <c r="B91" s="15" t="inlineStr">
        <is>
          <t>Sindicatos y confederaciones de trabajadores</t>
        </is>
      </c>
      <c r="C91" s="98" t="inlineStr">
        <is>
          <t>Sindicato Multisectorial / Público y Privado</t>
        </is>
      </c>
      <c r="D91" s="98" t="inlineStr">
        <is>
          <t>ASOCIACIÓN NACIONAL DE EMPLEADOS PÚBLICOS Y PRIVADOS (ANEP)</t>
        </is>
      </c>
      <c r="E91" s="98" t="n"/>
      <c r="F91" s="98" t="inlineStr">
        <is>
          <t>Junta Directiva Nacional / Secretaría General</t>
        </is>
      </c>
      <c r="G91" s="100" t="inlineStr">
        <is>
          <t>https://anep.cr/</t>
        </is>
      </c>
      <c r="H91" s="177" t="inlineStr">
        <is>
          <t>Albino Vargas Barrantes (Secretaría General)</t>
        </is>
      </c>
      <c r="I91" s="177" t="inlineStr">
        <is>
          <t>2257-8233</t>
        </is>
      </c>
      <c r="J91" s="98" t="inlineStr">
        <is>
          <t>info@anep.or.cr</t>
        </is>
      </c>
      <c r="K91" s="100" t="inlineStr">
        <is>
          <t>https://anep.cr/contacto/</t>
        </is>
      </c>
      <c r="L91" s="51" t="inlineStr">
        <is>
          <t>CONFIRMADO</t>
        </is>
      </c>
      <c r="M91" s="86" t="n"/>
    </row>
    <row r="92" ht="15.75" customHeight="1" s="182">
      <c r="A92" s="42" t="inlineStr">
        <is>
          <t>Costa Rica</t>
        </is>
      </c>
      <c r="B92" s="15" t="inlineStr">
        <is>
          <t>Sindicatos y confederaciones de trabajadores</t>
        </is>
      </c>
      <c r="C92" s="98" t="inlineStr">
        <is>
          <t>Sindicato Agroindustrial / Bananero y Privado</t>
        </is>
      </c>
      <c r="D92" s="98" t="inlineStr">
        <is>
          <t>SINDICATO DE TRABAJADORES DE LA PLANTACIÓN AGRÍCOLA (SITRAP)</t>
        </is>
      </c>
      <c r="E92" s="98" t="n"/>
      <c r="F92" s="98" t="inlineStr">
        <is>
          <t>Junta Directiva SITRAP</t>
        </is>
      </c>
      <c r="G92" s="100" t="inlineStr">
        <is>
          <t>https://www.mtss.go.cr/tramites-servicios/catalogo-tramites/sindicatos.html</t>
        </is>
      </c>
      <c r="H92" s="177" t="inlineStr">
        <is>
          <t>Didier Leitón (Secretaría General)</t>
        </is>
      </c>
      <c r="I92" s="177" t="inlineStr">
        <is>
          <t>5062768-8845/ +50683090994</t>
        </is>
      </c>
      <c r="J92" s="98" t="inlineStr">
        <is>
          <t>sitrap@sitrap.net</t>
        </is>
      </c>
      <c r="K92" s="100" t="inlineStr">
        <is>
          <t>https://sitrap.net/contacto/</t>
        </is>
      </c>
      <c r="L92" s="22" t="inlineStr">
        <is>
          <t>CORREGIDO</t>
        </is>
      </c>
      <c r="M92" s="86" t="n"/>
    </row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  <row r="962" ht="15.75" customHeight="1" s="182"/>
    <row r="963" ht="15.75" customHeight="1" s="182"/>
    <row r="964" ht="15.75" customHeight="1" s="182"/>
    <row r="965" ht="15.75" customHeight="1" s="182"/>
    <row r="966" ht="15.75" customHeight="1" s="182"/>
    <row r="967" ht="15.75" customHeight="1" s="182"/>
    <row r="968" ht="15.75" customHeight="1" s="182"/>
    <row r="969" ht="15.75" customHeight="1" s="182"/>
    <row r="970" ht="15.75" customHeight="1" s="182"/>
    <row r="971" ht="15.75" customHeight="1" s="182"/>
    <row r="972" ht="15.75" customHeight="1" s="182"/>
    <row r="973" ht="15.75" customHeight="1" s="182"/>
    <row r="974" ht="15.75" customHeight="1" s="182"/>
    <row r="975" ht="15.75" customHeight="1" s="182"/>
    <row r="976" ht="15.75" customHeight="1" s="182"/>
    <row r="977" ht="15.75" customHeight="1" s="182"/>
    <row r="978" ht="15.75" customHeight="1" s="182"/>
    <row r="979" ht="15.75" customHeight="1" s="182"/>
    <row r="980" ht="15.75" customHeight="1" s="182"/>
    <row r="981" ht="15.75" customHeight="1" s="182"/>
    <row r="982" ht="15.75" customHeight="1" s="182"/>
    <row r="983" ht="15.75" customHeight="1" s="182"/>
    <row r="984" ht="15.75" customHeight="1" s="182"/>
    <row r="985" ht="15.75" customHeight="1" s="182"/>
    <row r="986" ht="15.75" customHeight="1" s="182"/>
  </sheetData>
  <autoFilter ref="$A$1:$M$92"/>
  <dataValidations count="1">
    <dataValidation sqref="E2:E92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G4" r:id="rId4"/>
    <hyperlink xmlns:r="http://schemas.openxmlformats.org/officeDocument/2006/relationships" ref="K4" r:id="rId5"/>
    <hyperlink xmlns:r="http://schemas.openxmlformats.org/officeDocument/2006/relationships" ref="G5" r:id="rId6"/>
    <hyperlink xmlns:r="http://schemas.openxmlformats.org/officeDocument/2006/relationships" ref="G6" r:id="rId7"/>
    <hyperlink xmlns:r="http://schemas.openxmlformats.org/officeDocument/2006/relationships" ref="G7" r:id="rId8"/>
    <hyperlink xmlns:r="http://schemas.openxmlformats.org/officeDocument/2006/relationships" ref="K7" r:id="rId9"/>
    <hyperlink xmlns:r="http://schemas.openxmlformats.org/officeDocument/2006/relationships" ref="G8" r:id="rId10"/>
    <hyperlink xmlns:r="http://schemas.openxmlformats.org/officeDocument/2006/relationships" ref="G9" r:id="rId11"/>
    <hyperlink xmlns:r="http://schemas.openxmlformats.org/officeDocument/2006/relationships" ref="K9" r:id="rId12"/>
    <hyperlink xmlns:r="http://schemas.openxmlformats.org/officeDocument/2006/relationships" ref="G10" r:id="rId13"/>
    <hyperlink xmlns:r="http://schemas.openxmlformats.org/officeDocument/2006/relationships" ref="K10" r:id="rId14"/>
    <hyperlink xmlns:r="http://schemas.openxmlformats.org/officeDocument/2006/relationships" ref="G11" r:id="rId15"/>
    <hyperlink xmlns:r="http://schemas.openxmlformats.org/officeDocument/2006/relationships" ref="K11" r:id="rId16"/>
    <hyperlink xmlns:r="http://schemas.openxmlformats.org/officeDocument/2006/relationships" ref="G12" r:id="rId17"/>
    <hyperlink xmlns:r="http://schemas.openxmlformats.org/officeDocument/2006/relationships" ref="K12" r:id="rId18"/>
    <hyperlink xmlns:r="http://schemas.openxmlformats.org/officeDocument/2006/relationships" ref="G13" r:id="rId19"/>
    <hyperlink xmlns:r="http://schemas.openxmlformats.org/officeDocument/2006/relationships" ref="K13" r:id="rId20"/>
    <hyperlink xmlns:r="http://schemas.openxmlformats.org/officeDocument/2006/relationships" ref="G14" r:id="rId21"/>
    <hyperlink xmlns:r="http://schemas.openxmlformats.org/officeDocument/2006/relationships" ref="K14" r:id="rId22"/>
    <hyperlink xmlns:r="http://schemas.openxmlformats.org/officeDocument/2006/relationships" ref="G15" r:id="rId23"/>
    <hyperlink xmlns:r="http://schemas.openxmlformats.org/officeDocument/2006/relationships" ref="K15" r:id="rId24"/>
    <hyperlink xmlns:r="http://schemas.openxmlformats.org/officeDocument/2006/relationships" ref="G16" r:id="rId25"/>
    <hyperlink xmlns:r="http://schemas.openxmlformats.org/officeDocument/2006/relationships" ref="K16" r:id="rId26"/>
    <hyperlink xmlns:r="http://schemas.openxmlformats.org/officeDocument/2006/relationships" ref="G17" r:id="rId27"/>
    <hyperlink xmlns:r="http://schemas.openxmlformats.org/officeDocument/2006/relationships" ref="K17" r:id="rId28"/>
    <hyperlink xmlns:r="http://schemas.openxmlformats.org/officeDocument/2006/relationships" ref="G18" r:id="rId29"/>
    <hyperlink xmlns:r="http://schemas.openxmlformats.org/officeDocument/2006/relationships" ref="K18" r:id="rId30"/>
    <hyperlink xmlns:r="http://schemas.openxmlformats.org/officeDocument/2006/relationships" ref="G19" r:id="rId31"/>
    <hyperlink xmlns:r="http://schemas.openxmlformats.org/officeDocument/2006/relationships" ref="K19" r:id="rId32"/>
    <hyperlink xmlns:r="http://schemas.openxmlformats.org/officeDocument/2006/relationships" ref="G20" r:id="rId33"/>
    <hyperlink xmlns:r="http://schemas.openxmlformats.org/officeDocument/2006/relationships" ref="K20" r:id="rId34"/>
    <hyperlink xmlns:r="http://schemas.openxmlformats.org/officeDocument/2006/relationships" ref="G21" r:id="rId35"/>
    <hyperlink xmlns:r="http://schemas.openxmlformats.org/officeDocument/2006/relationships" ref="K21" r:id="rId36"/>
    <hyperlink xmlns:r="http://schemas.openxmlformats.org/officeDocument/2006/relationships" ref="G22" r:id="rId37"/>
    <hyperlink xmlns:r="http://schemas.openxmlformats.org/officeDocument/2006/relationships" ref="K22" r:id="rId38"/>
    <hyperlink xmlns:r="http://schemas.openxmlformats.org/officeDocument/2006/relationships" ref="G23" r:id="rId39"/>
    <hyperlink xmlns:r="http://schemas.openxmlformats.org/officeDocument/2006/relationships" ref="K23" r:id="rId40"/>
    <hyperlink xmlns:r="http://schemas.openxmlformats.org/officeDocument/2006/relationships" ref="G24" r:id="rId41"/>
    <hyperlink xmlns:r="http://schemas.openxmlformats.org/officeDocument/2006/relationships" ref="K24" r:id="rId42"/>
    <hyperlink xmlns:r="http://schemas.openxmlformats.org/officeDocument/2006/relationships" ref="G25" r:id="rId43"/>
    <hyperlink xmlns:r="http://schemas.openxmlformats.org/officeDocument/2006/relationships" ref="K25" r:id="rId44"/>
    <hyperlink xmlns:r="http://schemas.openxmlformats.org/officeDocument/2006/relationships" ref="G26" r:id="rId45"/>
    <hyperlink xmlns:r="http://schemas.openxmlformats.org/officeDocument/2006/relationships" ref="K26" r:id="rId46"/>
    <hyperlink xmlns:r="http://schemas.openxmlformats.org/officeDocument/2006/relationships" ref="G27" r:id="rId47"/>
    <hyperlink xmlns:r="http://schemas.openxmlformats.org/officeDocument/2006/relationships" ref="K27" r:id="rId48"/>
    <hyperlink xmlns:r="http://schemas.openxmlformats.org/officeDocument/2006/relationships" ref="G28" r:id="rId49"/>
    <hyperlink xmlns:r="http://schemas.openxmlformats.org/officeDocument/2006/relationships" ref="K28" r:id="rId50"/>
    <hyperlink xmlns:r="http://schemas.openxmlformats.org/officeDocument/2006/relationships" ref="G29" r:id="rId51"/>
    <hyperlink xmlns:r="http://schemas.openxmlformats.org/officeDocument/2006/relationships" ref="K29" r:id="rId52"/>
    <hyperlink xmlns:r="http://schemas.openxmlformats.org/officeDocument/2006/relationships" ref="G30" r:id="rId53"/>
    <hyperlink xmlns:r="http://schemas.openxmlformats.org/officeDocument/2006/relationships" ref="K30" r:id="rId54"/>
    <hyperlink xmlns:r="http://schemas.openxmlformats.org/officeDocument/2006/relationships" ref="G31" r:id="rId55"/>
    <hyperlink xmlns:r="http://schemas.openxmlformats.org/officeDocument/2006/relationships" ref="K31" r:id="rId56"/>
    <hyperlink xmlns:r="http://schemas.openxmlformats.org/officeDocument/2006/relationships" ref="G32" r:id="rId57"/>
    <hyperlink xmlns:r="http://schemas.openxmlformats.org/officeDocument/2006/relationships" ref="K32" r:id="rId58"/>
    <hyperlink xmlns:r="http://schemas.openxmlformats.org/officeDocument/2006/relationships" ref="G33" r:id="rId59"/>
    <hyperlink xmlns:r="http://schemas.openxmlformats.org/officeDocument/2006/relationships" ref="K33" r:id="rId60"/>
    <hyperlink xmlns:r="http://schemas.openxmlformats.org/officeDocument/2006/relationships" ref="G34" r:id="rId61"/>
    <hyperlink xmlns:r="http://schemas.openxmlformats.org/officeDocument/2006/relationships" ref="K34" r:id="rId62"/>
    <hyperlink xmlns:r="http://schemas.openxmlformats.org/officeDocument/2006/relationships" ref="G35" r:id="rId63"/>
    <hyperlink xmlns:r="http://schemas.openxmlformats.org/officeDocument/2006/relationships" ref="K35" r:id="rId64"/>
    <hyperlink xmlns:r="http://schemas.openxmlformats.org/officeDocument/2006/relationships" ref="G36" r:id="rId65"/>
    <hyperlink xmlns:r="http://schemas.openxmlformats.org/officeDocument/2006/relationships" ref="K36" r:id="rId66"/>
    <hyperlink xmlns:r="http://schemas.openxmlformats.org/officeDocument/2006/relationships" ref="G37" r:id="rId67"/>
    <hyperlink xmlns:r="http://schemas.openxmlformats.org/officeDocument/2006/relationships" ref="K37" r:id="rId68"/>
    <hyperlink xmlns:r="http://schemas.openxmlformats.org/officeDocument/2006/relationships" ref="G38" r:id="rId69"/>
    <hyperlink xmlns:r="http://schemas.openxmlformats.org/officeDocument/2006/relationships" ref="K38" r:id="rId70"/>
    <hyperlink xmlns:r="http://schemas.openxmlformats.org/officeDocument/2006/relationships" ref="G39" r:id="rId71"/>
    <hyperlink xmlns:r="http://schemas.openxmlformats.org/officeDocument/2006/relationships" ref="K39" r:id="rId72"/>
    <hyperlink xmlns:r="http://schemas.openxmlformats.org/officeDocument/2006/relationships" ref="G40" r:id="rId73"/>
    <hyperlink xmlns:r="http://schemas.openxmlformats.org/officeDocument/2006/relationships" ref="K40" r:id="rId74"/>
    <hyperlink xmlns:r="http://schemas.openxmlformats.org/officeDocument/2006/relationships" ref="G41" r:id="rId75"/>
    <hyperlink xmlns:r="http://schemas.openxmlformats.org/officeDocument/2006/relationships" ref="K41" r:id="rId76"/>
    <hyperlink xmlns:r="http://schemas.openxmlformats.org/officeDocument/2006/relationships" ref="G42" r:id="rId77"/>
    <hyperlink xmlns:r="http://schemas.openxmlformats.org/officeDocument/2006/relationships" ref="K42" r:id="rId78"/>
    <hyperlink xmlns:r="http://schemas.openxmlformats.org/officeDocument/2006/relationships" ref="G43" r:id="rId79"/>
    <hyperlink xmlns:r="http://schemas.openxmlformats.org/officeDocument/2006/relationships" ref="K43" r:id="rId80"/>
    <hyperlink xmlns:r="http://schemas.openxmlformats.org/officeDocument/2006/relationships" ref="G44" r:id="rId81"/>
    <hyperlink xmlns:r="http://schemas.openxmlformats.org/officeDocument/2006/relationships" ref="K44" r:id="rId82"/>
    <hyperlink xmlns:r="http://schemas.openxmlformats.org/officeDocument/2006/relationships" ref="G45" r:id="rId83"/>
    <hyperlink xmlns:r="http://schemas.openxmlformats.org/officeDocument/2006/relationships" ref="K45" r:id="rId84"/>
    <hyperlink xmlns:r="http://schemas.openxmlformats.org/officeDocument/2006/relationships" ref="G46" r:id="rId85"/>
    <hyperlink xmlns:r="http://schemas.openxmlformats.org/officeDocument/2006/relationships" ref="K46" r:id="rId86"/>
    <hyperlink xmlns:r="http://schemas.openxmlformats.org/officeDocument/2006/relationships" ref="G47" r:id="rId87"/>
    <hyperlink xmlns:r="http://schemas.openxmlformats.org/officeDocument/2006/relationships" ref="K47" r:id="rId88"/>
    <hyperlink xmlns:r="http://schemas.openxmlformats.org/officeDocument/2006/relationships" ref="G48" r:id="rId89"/>
    <hyperlink xmlns:r="http://schemas.openxmlformats.org/officeDocument/2006/relationships" ref="K48" r:id="rId90"/>
    <hyperlink xmlns:r="http://schemas.openxmlformats.org/officeDocument/2006/relationships" ref="G49" r:id="rId91"/>
    <hyperlink xmlns:r="http://schemas.openxmlformats.org/officeDocument/2006/relationships" ref="K49" r:id="rId92"/>
    <hyperlink xmlns:r="http://schemas.openxmlformats.org/officeDocument/2006/relationships" ref="G50" r:id="rId93"/>
    <hyperlink xmlns:r="http://schemas.openxmlformats.org/officeDocument/2006/relationships" ref="K50" r:id="rId94"/>
    <hyperlink xmlns:r="http://schemas.openxmlformats.org/officeDocument/2006/relationships" ref="G51" r:id="rId95"/>
    <hyperlink xmlns:r="http://schemas.openxmlformats.org/officeDocument/2006/relationships" ref="K51" r:id="rId96"/>
    <hyperlink xmlns:r="http://schemas.openxmlformats.org/officeDocument/2006/relationships" ref="G52" r:id="rId97"/>
    <hyperlink xmlns:r="http://schemas.openxmlformats.org/officeDocument/2006/relationships" ref="K52" r:id="rId98"/>
    <hyperlink xmlns:r="http://schemas.openxmlformats.org/officeDocument/2006/relationships" ref="G53" r:id="rId99"/>
    <hyperlink xmlns:r="http://schemas.openxmlformats.org/officeDocument/2006/relationships" ref="K53" r:id="rId100"/>
    <hyperlink xmlns:r="http://schemas.openxmlformats.org/officeDocument/2006/relationships" ref="G54" r:id="rId101"/>
    <hyperlink xmlns:r="http://schemas.openxmlformats.org/officeDocument/2006/relationships" ref="K54" r:id="rId102"/>
    <hyperlink xmlns:r="http://schemas.openxmlformats.org/officeDocument/2006/relationships" ref="G55" r:id="rId103"/>
    <hyperlink xmlns:r="http://schemas.openxmlformats.org/officeDocument/2006/relationships" ref="K55" r:id="rId104"/>
    <hyperlink xmlns:r="http://schemas.openxmlformats.org/officeDocument/2006/relationships" ref="G56" r:id="rId105"/>
    <hyperlink xmlns:r="http://schemas.openxmlformats.org/officeDocument/2006/relationships" ref="K56" r:id="rId106"/>
    <hyperlink xmlns:r="http://schemas.openxmlformats.org/officeDocument/2006/relationships" ref="G57" r:id="rId107"/>
    <hyperlink xmlns:r="http://schemas.openxmlformats.org/officeDocument/2006/relationships" ref="K57" r:id="rId108"/>
    <hyperlink xmlns:r="http://schemas.openxmlformats.org/officeDocument/2006/relationships" ref="G58" r:id="rId109"/>
    <hyperlink xmlns:r="http://schemas.openxmlformats.org/officeDocument/2006/relationships" ref="K58" r:id="rId110"/>
    <hyperlink xmlns:r="http://schemas.openxmlformats.org/officeDocument/2006/relationships" ref="G59" r:id="rId111"/>
    <hyperlink xmlns:r="http://schemas.openxmlformats.org/officeDocument/2006/relationships" ref="K59" r:id="rId112"/>
    <hyperlink xmlns:r="http://schemas.openxmlformats.org/officeDocument/2006/relationships" ref="G60" r:id="rId113"/>
    <hyperlink xmlns:r="http://schemas.openxmlformats.org/officeDocument/2006/relationships" ref="K60" r:id="rId114"/>
    <hyperlink xmlns:r="http://schemas.openxmlformats.org/officeDocument/2006/relationships" ref="G61" r:id="rId115"/>
    <hyperlink xmlns:r="http://schemas.openxmlformats.org/officeDocument/2006/relationships" ref="K61" r:id="rId116"/>
    <hyperlink xmlns:r="http://schemas.openxmlformats.org/officeDocument/2006/relationships" ref="G62" r:id="rId117"/>
    <hyperlink xmlns:r="http://schemas.openxmlformats.org/officeDocument/2006/relationships" ref="K62" r:id="rId118"/>
    <hyperlink xmlns:r="http://schemas.openxmlformats.org/officeDocument/2006/relationships" ref="G63" r:id="rId119"/>
    <hyperlink xmlns:r="http://schemas.openxmlformats.org/officeDocument/2006/relationships" ref="K63" r:id="rId120"/>
    <hyperlink xmlns:r="http://schemas.openxmlformats.org/officeDocument/2006/relationships" ref="G64" r:id="rId121"/>
    <hyperlink xmlns:r="http://schemas.openxmlformats.org/officeDocument/2006/relationships" ref="K64" r:id="rId122"/>
    <hyperlink xmlns:r="http://schemas.openxmlformats.org/officeDocument/2006/relationships" ref="G65" r:id="rId123"/>
    <hyperlink xmlns:r="http://schemas.openxmlformats.org/officeDocument/2006/relationships" ref="K65" r:id="rId124"/>
    <hyperlink xmlns:r="http://schemas.openxmlformats.org/officeDocument/2006/relationships" ref="G66" r:id="rId125"/>
    <hyperlink xmlns:r="http://schemas.openxmlformats.org/officeDocument/2006/relationships" ref="K66" r:id="rId126"/>
    <hyperlink xmlns:r="http://schemas.openxmlformats.org/officeDocument/2006/relationships" ref="G67" r:id="rId127"/>
    <hyperlink xmlns:r="http://schemas.openxmlformats.org/officeDocument/2006/relationships" ref="K67" r:id="rId128"/>
    <hyperlink xmlns:r="http://schemas.openxmlformats.org/officeDocument/2006/relationships" ref="G68" r:id="rId129"/>
    <hyperlink xmlns:r="http://schemas.openxmlformats.org/officeDocument/2006/relationships" ref="K68" r:id="rId130"/>
    <hyperlink xmlns:r="http://schemas.openxmlformats.org/officeDocument/2006/relationships" ref="G69" r:id="rId131"/>
    <hyperlink xmlns:r="http://schemas.openxmlformats.org/officeDocument/2006/relationships" ref="K69" r:id="rId132"/>
    <hyperlink xmlns:r="http://schemas.openxmlformats.org/officeDocument/2006/relationships" ref="G70" r:id="rId133"/>
    <hyperlink xmlns:r="http://schemas.openxmlformats.org/officeDocument/2006/relationships" ref="K70" r:id="rId134"/>
    <hyperlink xmlns:r="http://schemas.openxmlformats.org/officeDocument/2006/relationships" ref="G71" r:id="rId135"/>
    <hyperlink xmlns:r="http://schemas.openxmlformats.org/officeDocument/2006/relationships" ref="K71" r:id="rId136"/>
    <hyperlink xmlns:r="http://schemas.openxmlformats.org/officeDocument/2006/relationships" ref="G72" r:id="rId137"/>
    <hyperlink xmlns:r="http://schemas.openxmlformats.org/officeDocument/2006/relationships" ref="K72" r:id="rId138"/>
    <hyperlink xmlns:r="http://schemas.openxmlformats.org/officeDocument/2006/relationships" ref="G73" r:id="rId139"/>
    <hyperlink xmlns:r="http://schemas.openxmlformats.org/officeDocument/2006/relationships" ref="K73" r:id="rId140"/>
    <hyperlink xmlns:r="http://schemas.openxmlformats.org/officeDocument/2006/relationships" ref="G74" r:id="rId141"/>
    <hyperlink xmlns:r="http://schemas.openxmlformats.org/officeDocument/2006/relationships" ref="G75" r:id="rId142"/>
    <hyperlink xmlns:r="http://schemas.openxmlformats.org/officeDocument/2006/relationships" ref="G76" r:id="rId143"/>
    <hyperlink xmlns:r="http://schemas.openxmlformats.org/officeDocument/2006/relationships" ref="G77" r:id="rId144"/>
    <hyperlink xmlns:r="http://schemas.openxmlformats.org/officeDocument/2006/relationships" ref="G78" r:id="rId145"/>
    <hyperlink xmlns:r="http://schemas.openxmlformats.org/officeDocument/2006/relationships" ref="G79" r:id="rId146"/>
    <hyperlink xmlns:r="http://schemas.openxmlformats.org/officeDocument/2006/relationships" ref="K79" r:id="rId147"/>
    <hyperlink xmlns:r="http://schemas.openxmlformats.org/officeDocument/2006/relationships" ref="G80" r:id="rId148"/>
    <hyperlink xmlns:r="http://schemas.openxmlformats.org/officeDocument/2006/relationships" ref="K80" r:id="rId149"/>
    <hyperlink xmlns:r="http://schemas.openxmlformats.org/officeDocument/2006/relationships" ref="G81" r:id="rId150"/>
    <hyperlink xmlns:r="http://schemas.openxmlformats.org/officeDocument/2006/relationships" ref="K81" r:id="rId151"/>
    <hyperlink xmlns:r="http://schemas.openxmlformats.org/officeDocument/2006/relationships" ref="G82" r:id="rId152"/>
    <hyperlink xmlns:r="http://schemas.openxmlformats.org/officeDocument/2006/relationships" ref="G83" r:id="rId153"/>
    <hyperlink xmlns:r="http://schemas.openxmlformats.org/officeDocument/2006/relationships" ref="K83" r:id="rId154"/>
    <hyperlink xmlns:r="http://schemas.openxmlformats.org/officeDocument/2006/relationships" ref="G84" r:id="rId155"/>
    <hyperlink xmlns:r="http://schemas.openxmlformats.org/officeDocument/2006/relationships" ref="K84" r:id="rId156"/>
    <hyperlink xmlns:r="http://schemas.openxmlformats.org/officeDocument/2006/relationships" ref="G85" r:id="rId157"/>
    <hyperlink xmlns:r="http://schemas.openxmlformats.org/officeDocument/2006/relationships" ref="K85" r:id="rId158"/>
    <hyperlink xmlns:r="http://schemas.openxmlformats.org/officeDocument/2006/relationships" ref="G86" r:id="rId159"/>
    <hyperlink xmlns:r="http://schemas.openxmlformats.org/officeDocument/2006/relationships" ref="K86" r:id="rId160"/>
    <hyperlink xmlns:r="http://schemas.openxmlformats.org/officeDocument/2006/relationships" ref="G87" r:id="rId161"/>
    <hyperlink xmlns:r="http://schemas.openxmlformats.org/officeDocument/2006/relationships" ref="K87" r:id="rId162"/>
    <hyperlink xmlns:r="http://schemas.openxmlformats.org/officeDocument/2006/relationships" ref="G88" r:id="rId163"/>
    <hyperlink xmlns:r="http://schemas.openxmlformats.org/officeDocument/2006/relationships" ref="K88" r:id="rId164"/>
    <hyperlink xmlns:r="http://schemas.openxmlformats.org/officeDocument/2006/relationships" ref="G89" r:id="rId165"/>
    <hyperlink xmlns:r="http://schemas.openxmlformats.org/officeDocument/2006/relationships" ref="K89" r:id="rId166"/>
    <hyperlink xmlns:r="http://schemas.openxmlformats.org/officeDocument/2006/relationships" ref="G90" r:id="rId167"/>
    <hyperlink xmlns:r="http://schemas.openxmlformats.org/officeDocument/2006/relationships" ref="K90" r:id="rId168"/>
    <hyperlink xmlns:r="http://schemas.openxmlformats.org/officeDocument/2006/relationships" ref="G91" r:id="rId169"/>
    <hyperlink xmlns:r="http://schemas.openxmlformats.org/officeDocument/2006/relationships" ref="K91" r:id="rId170"/>
    <hyperlink xmlns:r="http://schemas.openxmlformats.org/officeDocument/2006/relationships" ref="G92" r:id="rId171"/>
    <hyperlink xmlns:r="http://schemas.openxmlformats.org/officeDocument/2006/relationships" ref="K92" r:id="rId172"/>
  </hyperlinks>
  <pageMargins left="0.75" right="0.75" top="1" bottom="1" header="0" footer="0"/>
  <pageSetup orientation="landscape"/>
  <tableParts count="1">
    <tablePart xmlns:r="http://schemas.openxmlformats.org/officeDocument/2006/relationships" r:id="rId173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26.14" customWidth="1" style="182" min="3" max="3"/>
    <col width="31.86" customWidth="1" style="182" min="4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País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 ht="30" customHeight="1" s="182">
      <c r="A2" s="124" t="inlineStr">
        <is>
          <t>Argentina</t>
        </is>
      </c>
      <c r="B2" s="124" t="inlineStr">
        <is>
          <t>Universidades públicas</t>
        </is>
      </c>
      <c r="C2" s="124" t="inlineStr">
        <is>
          <t>Universidad Nacional</t>
        </is>
      </c>
      <c r="D2" s="124" t="inlineStr">
        <is>
          <t>Universidad de Buenos Aires</t>
        </is>
      </c>
      <c r="E2" s="73" t="n"/>
      <c r="F2" s="124" t="inlineStr">
        <is>
          <t>Secretaría General / Mesa de Entradas</t>
        </is>
      </c>
      <c r="G2" s="49" t="inlineStr">
        <is>
          <t>https://www.uba.ar</t>
        </is>
      </c>
      <c r="H2" s="124" t="inlineStr">
        <is>
          <t>Juan Alfonsín</t>
        </is>
      </c>
      <c r="I2" s="124" t="inlineStr">
        <is>
          <t>(+54 11)52855561</t>
        </is>
      </c>
      <c r="J2" s="124" t="inlineStr">
        <is>
          <t>secgral@uba.ar</t>
        </is>
      </c>
      <c r="K2" s="49" t="inlineStr">
        <is>
          <t>https://mapa.educacion.gob.ar/maps/mapa-navegable-de-las-universidades</t>
        </is>
      </c>
      <c r="L2" s="121" t="inlineStr">
        <is>
          <t>CONFIRMADO</t>
        </is>
      </c>
      <c r="M2" s="30" t="n"/>
    </row>
    <row r="3" ht="30" customHeight="1" s="182">
      <c r="A3" s="124" t="inlineStr">
        <is>
          <t>Argentina</t>
        </is>
      </c>
      <c r="B3" s="124" t="inlineStr">
        <is>
          <t>Universidades públicas</t>
        </is>
      </c>
      <c r="C3" s="124" t="inlineStr">
        <is>
          <t>Universidad Nacional</t>
        </is>
      </c>
      <c r="D3" s="124" t="inlineStr">
        <is>
          <t>Universidad Nacional de Córdoba</t>
        </is>
      </c>
      <c r="E3" s="73" t="n"/>
      <c r="F3" s="124" t="inlineStr">
        <is>
          <t>Secretaría General / Mesa de Entradas</t>
        </is>
      </c>
      <c r="G3" s="49" t="inlineStr">
        <is>
          <t>https://www.unc.edu.ar</t>
        </is>
      </c>
      <c r="H3" s="124" t="inlineStr">
        <is>
          <t>Daniel Lago</t>
        </is>
      </c>
      <c r="I3" s="124" t="inlineStr">
        <is>
          <t>(0351) 535-3720</t>
        </is>
      </c>
      <c r="J3" s="124" t="inlineStr">
        <is>
          <t>direccion.operativa@gestion.unc.edu.ar</t>
        </is>
      </c>
      <c r="K3" s="49" t="inlineStr">
        <is>
          <t>https://mapa.educacion.gob.ar/maps/mapa-navegable-de-las-universidades</t>
        </is>
      </c>
      <c r="L3" s="121" t="inlineStr">
        <is>
          <t>CORREGIDO</t>
        </is>
      </c>
      <c r="M3" s="30" t="n"/>
    </row>
    <row r="4" ht="30" customHeight="1" s="182">
      <c r="A4" s="124" t="inlineStr">
        <is>
          <t>Argentina</t>
        </is>
      </c>
      <c r="B4" s="124" t="inlineStr">
        <is>
          <t>Universidades públicas</t>
        </is>
      </c>
      <c r="C4" s="124" t="inlineStr">
        <is>
          <t>Universidad Nacional</t>
        </is>
      </c>
      <c r="D4" s="124" t="inlineStr">
        <is>
          <t>Universidad Nacional de La Plata</t>
        </is>
      </c>
      <c r="E4" s="73" t="n"/>
      <c r="F4" s="124" t="inlineStr">
        <is>
          <t>Secretaría General / Mesa de Entradas</t>
        </is>
      </c>
      <c r="G4" s="49" t="inlineStr">
        <is>
          <t>https://unlp.edu.ar</t>
        </is>
      </c>
      <c r="H4" s="124" t="inlineStr">
        <is>
          <t>Carlos José Giordano</t>
        </is>
      </c>
      <c r="I4" s="124" t="n">
        <v>6447005</v>
      </c>
      <c r="J4" s="124" t="inlineStr">
        <is>
          <t>secretaria.general@presi.unlp.edu.ar</t>
        </is>
      </c>
      <c r="K4" s="49" t="inlineStr">
        <is>
          <t>https://mapa.educacion.gob.ar/maps/mapa-navegable-de-las-universidades</t>
        </is>
      </c>
      <c r="L4" s="121" t="inlineStr">
        <is>
          <t>CONFIRMADO</t>
        </is>
      </c>
      <c r="M4" s="30" t="n"/>
    </row>
    <row r="5" ht="30" customHeight="1" s="182">
      <c r="A5" s="124" t="inlineStr">
        <is>
          <t>Argentina</t>
        </is>
      </c>
      <c r="B5" s="124" t="inlineStr">
        <is>
          <t>Universidades públicas</t>
        </is>
      </c>
      <c r="C5" s="124" t="inlineStr">
        <is>
          <t>Universidad Nacional</t>
        </is>
      </c>
      <c r="D5" s="124" t="inlineStr">
        <is>
          <t>Universidad Nacional de Tucumán</t>
        </is>
      </c>
      <c r="E5" s="73" t="n"/>
      <c r="F5" s="124" t="inlineStr">
        <is>
          <t>SECRETARÍA DE EXTENSIÓN UNIVERSITARIA</t>
        </is>
      </c>
      <c r="G5" s="49" t="inlineStr">
        <is>
          <t>https://www.unt.edu.ar</t>
        </is>
      </c>
      <c r="H5" s="124" t="inlineStr">
        <is>
          <t>Marcelo Adrián Mirkin</t>
        </is>
      </c>
      <c r="I5" s="203" t="inlineStr">
        <is>
          <t>+54 381 431 1430</t>
        </is>
      </c>
      <c r="J5" s="209" t="inlineStr">
        <is>
          <t>se@se.unt.edu.ar</t>
        </is>
      </c>
      <c r="K5" s="213" t="inlineStr">
        <is>
          <t>https://secretariaextension.unt.edu.ar/contacto/</t>
        </is>
      </c>
      <c r="L5" s="121" t="inlineStr">
        <is>
          <t>CORREGIDO</t>
        </is>
      </c>
      <c r="M5" s="184" t="inlineStr">
        <is>
          <t>Auditoría 08-oct-2026: Email anterior sin "@".</t>
        </is>
      </c>
    </row>
    <row r="6" ht="30" customHeight="1" s="182">
      <c r="A6" s="124" t="inlineStr">
        <is>
          <t>Argentina</t>
        </is>
      </c>
      <c r="B6" s="124" t="inlineStr">
        <is>
          <t>Universidades públicas</t>
        </is>
      </c>
      <c r="C6" s="124" t="inlineStr">
        <is>
          <t>Universidad Nacional</t>
        </is>
      </c>
      <c r="D6" s="124" t="inlineStr">
        <is>
          <t>Universidad Nacional de Rosario</t>
        </is>
      </c>
      <c r="E6" s="73" t="n"/>
      <c r="F6" s="124" t="inlineStr">
        <is>
          <t>Secretaría General / Mesa de Entradas</t>
        </is>
      </c>
      <c r="G6" s="49" t="inlineStr">
        <is>
          <t>https://unr.edu.ar</t>
        </is>
      </c>
      <c r="H6" s="124" t="inlineStr">
        <is>
          <t>Guillermo Montero</t>
        </is>
      </c>
      <c r="I6" s="124" t="inlineStr">
        <is>
          <t>(0341) 4201200, Interno 210</t>
        </is>
      </c>
      <c r="J6" s="124" t="inlineStr">
        <is>
          <t>secretariageneral@unr.edu.ar</t>
        </is>
      </c>
      <c r="K6" s="49" t="inlineStr">
        <is>
          <t>https://mapa.educacion.gob.ar/maps/mapa-navegable-de-las-universidades</t>
        </is>
      </c>
      <c r="L6" s="121" t="inlineStr">
        <is>
          <t>CONFIRMADO</t>
        </is>
      </c>
      <c r="M6" s="30" t="n"/>
    </row>
    <row r="7" ht="30" customHeight="1" s="182">
      <c r="A7" s="124" t="inlineStr">
        <is>
          <t>Argentina</t>
        </is>
      </c>
      <c r="B7" s="124" t="inlineStr">
        <is>
          <t>Universidades públicas</t>
        </is>
      </c>
      <c r="C7" s="124" t="inlineStr">
        <is>
          <t>Universidad Nacional</t>
        </is>
      </c>
      <c r="D7" s="124" t="inlineStr">
        <is>
          <t>Universidad Nacional de Cuyo</t>
        </is>
      </c>
      <c r="E7" s="73" t="n"/>
      <c r="F7" s="124" t="inlineStr">
        <is>
          <t>Secretaría General / Mesa de Entradas</t>
        </is>
      </c>
      <c r="G7" s="49" t="inlineStr">
        <is>
          <t>https://www.uncuyo.edu.ar</t>
        </is>
      </c>
      <c r="H7" s="124" t="inlineStr">
        <is>
          <t>Adolfo Cueto</t>
        </is>
      </c>
      <c r="I7" s="124" t="inlineStr">
        <is>
          <t xml:space="preserve">No disponible públicamente </t>
        </is>
      </c>
      <c r="J7" s="203" t="inlineStr">
        <is>
          <t>direccion.general.despacho_rectorado@uncuyo.edu.ar</t>
        </is>
      </c>
      <c r="K7" s="49" t="inlineStr">
        <is>
          <t>https://mapa.educacion.gob.ar/maps/mapa-navegable-de-las-universidades</t>
        </is>
      </c>
      <c r="L7" s="121" t="inlineStr">
        <is>
          <t>CONFIRMADO</t>
        </is>
      </c>
      <c r="M7" s="30" t="n"/>
    </row>
    <row r="8" ht="30" customHeight="1" s="182">
      <c r="A8" s="124" t="inlineStr">
        <is>
          <t>Argentina</t>
        </is>
      </c>
      <c r="B8" s="124" t="inlineStr">
        <is>
          <t>Universidades públicas</t>
        </is>
      </c>
      <c r="C8" s="124" t="inlineStr">
        <is>
          <t>Universidad Nacional</t>
        </is>
      </c>
      <c r="D8" s="124" t="inlineStr">
        <is>
          <t>Universidad Nacional del Litoral</t>
        </is>
      </c>
      <c r="E8" s="73" t="n"/>
      <c r="F8" s="124" t="inlineStr">
        <is>
          <t>Secretaría General / Mesa de Entradas</t>
        </is>
      </c>
      <c r="G8" s="49" t="inlineStr">
        <is>
          <t>https://www.unl.edu.ar</t>
        </is>
      </c>
      <c r="H8" s="124" t="inlineStr">
        <is>
          <t xml:space="preserve">Sergio COSENTINO
</t>
        </is>
      </c>
      <c r="I8" s="124" t="inlineStr">
        <is>
          <t xml:space="preserve">No disponible públicamente </t>
        </is>
      </c>
      <c r="J8" s="203" t="inlineStr">
        <is>
          <t>scosenti@unl.edu.ar</t>
        </is>
      </c>
      <c r="K8" s="49" t="inlineStr">
        <is>
          <t>https://mapa.educacion.gob.ar/maps/mapa-navegable-de-las-universidades</t>
        </is>
      </c>
      <c r="L8" s="121" t="inlineStr">
        <is>
          <t>CORREGIDO</t>
        </is>
      </c>
      <c r="M8" s="30" t="n"/>
    </row>
    <row r="9" ht="30" customHeight="1" s="182">
      <c r="A9" s="124" t="inlineStr">
        <is>
          <t>Argentina</t>
        </is>
      </c>
      <c r="B9" s="124" t="inlineStr">
        <is>
          <t>Universidades públicas</t>
        </is>
      </c>
      <c r="C9" s="124" t="inlineStr">
        <is>
          <t>Universidad Nacional</t>
        </is>
      </c>
      <c r="D9" s="124" t="inlineStr">
        <is>
          <t>Universidad Tecnológica Nacional</t>
        </is>
      </c>
      <c r="E9" s="73" t="n"/>
      <c r="F9" s="124" t="inlineStr">
        <is>
          <t>Secretaría Académica</t>
        </is>
      </c>
      <c r="G9" s="52" t="inlineStr">
        <is>
          <t>https://www.utn.edu.ar</t>
        </is>
      </c>
      <c r="H9" s="124" t="inlineStr">
        <is>
          <t>Marcelo Martín MARCISZACK</t>
        </is>
      </c>
      <c r="I9" s="124" t="inlineStr">
        <is>
          <t xml:space="preserve">No disponible públicamente </t>
        </is>
      </c>
      <c r="J9" s="124" t="inlineStr">
        <is>
          <t>sec-acad@utn.edu.ar</t>
        </is>
      </c>
      <c r="K9" s="49" t="inlineStr">
        <is>
          <t>https://mapa.educacion.gob.ar/maps/mapa-navegable-de-las-universidades</t>
        </is>
      </c>
      <c r="L9" s="121" t="inlineStr">
        <is>
          <t>CORREGIDO</t>
        </is>
      </c>
      <c r="M9" s="30" t="n"/>
    </row>
    <row r="10" ht="30" customHeight="1" s="182">
      <c r="A10" s="124" t="inlineStr">
        <is>
          <t>Argentina</t>
        </is>
      </c>
      <c r="B10" s="124" t="inlineStr">
        <is>
          <t>Universidades públicas</t>
        </is>
      </c>
      <c r="C10" s="124" t="inlineStr">
        <is>
          <t>Universidad Nacional</t>
        </is>
      </c>
      <c r="D10" s="124" t="inlineStr">
        <is>
          <t>Universidad Nacional del Nordeste</t>
        </is>
      </c>
      <c r="E10" s="73" t="n"/>
      <c r="F10" s="124" t="inlineStr">
        <is>
          <t>Secretaría Gral. de Extensión Universitaria</t>
        </is>
      </c>
      <c r="G10" s="49" t="inlineStr">
        <is>
          <t>https://www.unne.edu.ar</t>
        </is>
      </c>
      <c r="H10" s="124" t="inlineStr">
        <is>
          <t>Patricio Gonzalez</t>
        </is>
      </c>
      <c r="I10" s="124" t="n">
        <v>4425006</v>
      </c>
      <c r="J10" s="124" t="inlineStr">
        <is>
          <t>no disponible publicamente</t>
        </is>
      </c>
      <c r="K10" s="49" t="inlineStr">
        <is>
          <t>https://mapa.educacion.gob.ar/maps/mapa-navegable-de-las-universidades</t>
        </is>
      </c>
      <c r="L10" s="121" t="inlineStr">
        <is>
          <t>CORREGIDO</t>
        </is>
      </c>
      <c r="M10" s="30" t="n"/>
    </row>
    <row r="11" ht="30" customHeight="1" s="182">
      <c r="A11" s="124" t="inlineStr">
        <is>
          <t>Argentina</t>
        </is>
      </c>
      <c r="B11" s="124" t="inlineStr">
        <is>
          <t>Universidades públicas</t>
        </is>
      </c>
      <c r="C11" s="124" t="inlineStr">
        <is>
          <t>Universidad Nacional</t>
        </is>
      </c>
      <c r="D11" s="124" t="inlineStr">
        <is>
          <t>Universidad Nacional de Mar del Plata</t>
        </is>
      </c>
      <c r="E11" s="73" t="n"/>
      <c r="F11" s="124" t="inlineStr">
        <is>
          <t>Secretaria de Extension</t>
        </is>
      </c>
      <c r="G11" s="49" t="inlineStr">
        <is>
          <t>https://www.mdp.edu.ar</t>
        </is>
      </c>
      <c r="H11" s="124" t="inlineStr">
        <is>
          <t>Mariana BERBERIAN</t>
        </is>
      </c>
      <c r="I11" s="124" t="inlineStr">
        <is>
          <t xml:space="preserve">No disponible públicamente </t>
        </is>
      </c>
      <c r="J11" s="124" t="inlineStr">
        <is>
          <t>extenrec@mdp.edu.ar</t>
        </is>
      </c>
      <c r="K11" s="49" t="inlineStr">
        <is>
          <t>https://mapa.educacion.gob.ar/maps/mapa-navegable-de-las-universidades</t>
        </is>
      </c>
      <c r="L11" s="121" t="inlineStr">
        <is>
          <t>CORREGIDO</t>
        </is>
      </c>
      <c r="M11" s="30" t="n"/>
    </row>
    <row r="12" ht="30" customHeight="1" s="182">
      <c r="A12" s="124" t="inlineStr">
        <is>
          <t>Argentina</t>
        </is>
      </c>
      <c r="B12" s="124" t="inlineStr">
        <is>
          <t>Universidades públicas</t>
        </is>
      </c>
      <c r="C12" s="124" t="inlineStr">
        <is>
          <t>Universidad Nacional</t>
        </is>
      </c>
      <c r="D12" s="124" t="inlineStr">
        <is>
          <t>Universidad Nacional del Sur</t>
        </is>
      </c>
      <c r="E12" s="73" t="n"/>
      <c r="F12" s="124" t="inlineStr">
        <is>
          <t>Secretaria General de Cultura y Extensión Universitaria</t>
        </is>
      </c>
      <c r="G12" s="49" t="inlineStr">
        <is>
          <t>https://www.uns.edu.ar</t>
        </is>
      </c>
      <c r="H12" s="124" t="inlineStr">
        <is>
          <t>Laura Rosana Iriarte</t>
        </is>
      </c>
      <c r="I12" s="124" t="inlineStr">
        <is>
          <t xml:space="preserve">No disponible públicamente </t>
        </is>
      </c>
      <c r="J12" s="124" t="inlineStr">
        <is>
          <t>culturayextension@uns.edu.ar</t>
        </is>
      </c>
      <c r="K12" s="49" t="inlineStr">
        <is>
          <t>https://mapa.educacion.gob.ar/maps/mapa-navegable-de-las-universidades</t>
        </is>
      </c>
      <c r="L12" s="131" t="inlineStr">
        <is>
          <t>CONFIRMADO</t>
        </is>
      </c>
      <c r="M12" s="30" t="n"/>
    </row>
    <row r="13" ht="30" customHeight="1" s="182">
      <c r="A13" s="124" t="inlineStr">
        <is>
          <t>Argentina</t>
        </is>
      </c>
      <c r="B13" s="124" t="inlineStr">
        <is>
          <t>Universidades públicas</t>
        </is>
      </c>
      <c r="C13" s="124" t="inlineStr">
        <is>
          <t>Universidad Nacional</t>
        </is>
      </c>
      <c r="D13" s="124" t="inlineStr">
        <is>
          <t>Universidad Nacional de Río Cuarto</t>
        </is>
      </c>
      <c r="E13" s="73" t="n"/>
      <c r="F13" s="124" t="inlineStr">
        <is>
          <t>Secretaría General / Mesa de Entradas</t>
        </is>
      </c>
      <c r="G13" s="49" t="inlineStr">
        <is>
          <t>https://www.unrc.edu.ar</t>
        </is>
      </c>
      <c r="H13" s="124" t="inlineStr">
        <is>
          <t>Ezequiel Tardivo</t>
        </is>
      </c>
      <c r="I13" s="124" t="inlineStr">
        <is>
          <t xml:space="preserve">No disponible públicamente </t>
        </is>
      </c>
      <c r="J13" s="124" t="inlineStr">
        <is>
          <t>general@ac.unrc.edu.ar</t>
        </is>
      </c>
      <c r="K13" s="49" t="inlineStr">
        <is>
          <t>https://mapa.educacion.gob.ar/maps/mapa-navegable-de-las-universidades</t>
        </is>
      </c>
      <c r="L13" s="214" t="inlineStr">
        <is>
          <t>CONFIRMADO</t>
        </is>
      </c>
      <c r="M13" s="30" t="n"/>
    </row>
    <row r="14" ht="30" customHeight="1" s="182">
      <c r="A14" s="124" t="inlineStr">
        <is>
          <t>Argentina</t>
        </is>
      </c>
      <c r="B14" s="124" t="inlineStr">
        <is>
          <t>Universidades públicas</t>
        </is>
      </c>
      <c r="C14" s="124" t="inlineStr">
        <is>
          <t>Universidad Nacional</t>
        </is>
      </c>
      <c r="D14" s="124" t="inlineStr">
        <is>
          <t>Universidad Nacional del Comahue</t>
        </is>
      </c>
      <c r="E14" s="73" t="n"/>
      <c r="F14" s="124" t="inlineStr">
        <is>
          <t>Secretaría General / Mesa de Entradas</t>
        </is>
      </c>
      <c r="G14" s="49" t="inlineStr">
        <is>
          <t>https://www.uncoma.edu.ar</t>
        </is>
      </c>
      <c r="H14" s="124" t="inlineStr">
        <is>
          <t xml:space="preserve">María Micaela GOMIZ </t>
        </is>
      </c>
      <c r="I14" s="124" t="inlineStr">
        <is>
          <t>(0299) 4490374– 4490361</t>
        </is>
      </c>
      <c r="J14" s="124" t="inlineStr">
        <is>
          <t>secretaria.general@central.uncoma.edu.ar</t>
        </is>
      </c>
      <c r="K14" s="49" t="inlineStr">
        <is>
          <t>https://mapa.educacion.gob.ar/maps/mapa-navegable-de-las-universidades</t>
        </is>
      </c>
      <c r="L14" s="214" t="inlineStr">
        <is>
          <t>CONFIRMADO</t>
        </is>
      </c>
      <c r="M14" s="30" t="n"/>
    </row>
    <row r="15" ht="30" customHeight="1" s="182">
      <c r="A15" s="124" t="inlineStr">
        <is>
          <t>Argentina</t>
        </is>
      </c>
      <c r="B15" s="124" t="inlineStr">
        <is>
          <t>Universidades públicas</t>
        </is>
      </c>
      <c r="C15" s="124" t="inlineStr">
        <is>
          <t>Universidad Nacional</t>
        </is>
      </c>
      <c r="D15" s="124" t="inlineStr">
        <is>
          <t>Universidad Nacional de Salta</t>
        </is>
      </c>
      <c r="E15" s="73" t="n"/>
      <c r="F15" s="124" t="inlineStr">
        <is>
          <t>Secretaría General / Mesa de Entradas</t>
        </is>
      </c>
      <c r="G15" s="49" t="inlineStr">
        <is>
          <t>https://www.unsa.edu.ar</t>
        </is>
      </c>
      <c r="H15" s="124" t="inlineStr">
        <is>
          <t>Juan Alberto MARISCAL RIVERA</t>
        </is>
      </c>
      <c r="I15" s="124" t="inlineStr">
        <is>
          <t xml:space="preserve">No disponible públicamente </t>
        </is>
      </c>
      <c r="J15" s="124" t="inlineStr">
        <is>
          <t>admeco@unsa.edu.ar</t>
        </is>
      </c>
      <c r="K15" s="49" t="inlineStr">
        <is>
          <t>https://mapa.educacion.gob.ar/maps/mapa-navegable-de-las-universidades</t>
        </is>
      </c>
      <c r="L15" s="214" t="inlineStr">
        <is>
          <t>CORREGIDO</t>
        </is>
      </c>
      <c r="M15" s="30" t="n"/>
    </row>
    <row r="16" ht="30" customHeight="1" s="182">
      <c r="A16" s="124" t="inlineStr">
        <is>
          <t>Argentina</t>
        </is>
      </c>
      <c r="B16" s="124" t="inlineStr">
        <is>
          <t>Universidades públicas</t>
        </is>
      </c>
      <c r="C16" s="124" t="inlineStr">
        <is>
          <t>Universidad Nacional</t>
        </is>
      </c>
      <c r="D16" s="124" t="inlineStr">
        <is>
          <t>Universidad Nacional de Catamarca</t>
        </is>
      </c>
      <c r="E16" s="73" t="n"/>
      <c r="F16" s="124" t="inlineStr">
        <is>
          <t>Secretaría General / Mesa de Entradas</t>
        </is>
      </c>
      <c r="G16" s="49" t="inlineStr">
        <is>
          <t>https://www.unca.edu.ar</t>
        </is>
      </c>
      <c r="H16" s="124" t="inlineStr">
        <is>
          <t>Horacio Enrique Andrada</t>
        </is>
      </c>
      <c r="I16" s="124" t="inlineStr">
        <is>
          <t xml:space="preserve">No disponible públicamente </t>
        </is>
      </c>
      <c r="J16" s="124" t="inlineStr">
        <is>
          <t>handrada@unca.edu.ar</t>
        </is>
      </c>
      <c r="K16" s="49" t="inlineStr">
        <is>
          <t>https://mapa.educacion.gob.ar/maps/mapa-navegable-de-las-universidades</t>
        </is>
      </c>
      <c r="L16" s="214" t="inlineStr">
        <is>
          <t>CORREGIDO</t>
        </is>
      </c>
      <c r="M16" s="30" t="n"/>
    </row>
    <row r="17" ht="30" customHeight="1" s="182">
      <c r="A17" s="124" t="inlineStr">
        <is>
          <t>Argentina</t>
        </is>
      </c>
      <c r="B17" s="124" t="inlineStr">
        <is>
          <t>Universidades públicas</t>
        </is>
      </c>
      <c r="C17" s="124" t="inlineStr">
        <is>
          <t>Universidad Nacional</t>
        </is>
      </c>
      <c r="D17" s="124" t="inlineStr">
        <is>
          <t>Universidad Nacional de Jujuy</t>
        </is>
      </c>
      <c r="E17" s="73" t="n"/>
      <c r="F17" s="124" t="inlineStr">
        <is>
          <t>Secretaría General / Mesa de Entradas</t>
        </is>
      </c>
      <c r="G17" s="49" t="inlineStr">
        <is>
          <t>https://www.unju.edu.ar</t>
        </is>
      </c>
      <c r="H17" s="124" t="inlineStr">
        <is>
          <t>Ramón Fernando Torrejón.</t>
        </is>
      </c>
      <c r="I17" s="124" t="inlineStr">
        <is>
          <t xml:space="preserve">No disponible públicamente </t>
        </is>
      </c>
      <c r="J17" s="203" t="inlineStr">
        <is>
          <t>consultas@unju.edu.ar</t>
        </is>
      </c>
      <c r="K17" s="49" t="inlineStr">
        <is>
          <t>https://mapa.educacion.gob.ar/maps/mapa-navegable-de-las-universidades</t>
        </is>
      </c>
      <c r="L17" s="215" t="inlineStr">
        <is>
          <t>VERIFICADO CON OBSERVACIONES</t>
        </is>
      </c>
      <c r="M17" s="30" t="inlineStr">
        <is>
          <t>no son publicos los contactos de autoridades, solo correo general de atención</t>
        </is>
      </c>
    </row>
    <row r="18" ht="30" customHeight="1" s="182">
      <c r="A18" s="124" t="inlineStr">
        <is>
          <t>Argentina</t>
        </is>
      </c>
      <c r="B18" s="124" t="inlineStr">
        <is>
          <t>Universidades públicas</t>
        </is>
      </c>
      <c r="C18" s="124" t="inlineStr">
        <is>
          <t>Universidad Nacional</t>
        </is>
      </c>
      <c r="D18" s="124" t="inlineStr">
        <is>
          <t>Universidad Nacional de Misiones</t>
        </is>
      </c>
      <c r="E18" s="73" t="n"/>
      <c r="F18" s="124" t="inlineStr">
        <is>
          <t>Secretaria de Extension</t>
        </is>
      </c>
      <c r="G18" s="49" t="inlineStr">
        <is>
          <t>https://www.unam.edu.ar</t>
        </is>
      </c>
      <c r="H18" s="124" t="inlineStr">
        <is>
          <t>CRISTIAN FLORES</t>
        </is>
      </c>
      <c r="I18" s="124" t="inlineStr">
        <is>
          <t xml:space="preserve">No disponible públicamente </t>
        </is>
      </c>
      <c r="J18" s="124" t="inlineStr">
        <is>
          <t>cristian.flores@unam.edu.ar</t>
        </is>
      </c>
      <c r="K18" s="49" t="inlineStr">
        <is>
          <t>https://mapa.educacion.gob.ar/maps/mapa-navegable-de-las-universidades</t>
        </is>
      </c>
      <c r="L18" s="205" t="inlineStr">
        <is>
          <t>CORREGIDO</t>
        </is>
      </c>
      <c r="M18" s="30" t="n"/>
    </row>
    <row r="19" ht="30" customHeight="1" s="182">
      <c r="A19" s="124" t="inlineStr">
        <is>
          <t>Argentina</t>
        </is>
      </c>
      <c r="B19" s="124" t="inlineStr">
        <is>
          <t>Universidades públicas</t>
        </is>
      </c>
      <c r="C19" s="124" t="inlineStr">
        <is>
          <t>Universidad Nacional</t>
        </is>
      </c>
      <c r="D19" s="124" t="inlineStr">
        <is>
          <t>Universidad Nacional de Santiago del Estero</t>
        </is>
      </c>
      <c r="E19" s="73" t="n"/>
      <c r="F19" s="124" t="inlineStr">
        <is>
          <t>Secretaría General / Mesa de Entradas</t>
        </is>
      </c>
      <c r="G19" s="49" t="inlineStr">
        <is>
          <t>https://www.unse.edu.ar</t>
        </is>
      </c>
      <c r="H19" s="124" t="inlineStr">
        <is>
          <t>Ana María Maud</t>
        </is>
      </c>
      <c r="I19" s="124" t="inlineStr">
        <is>
          <t xml:space="preserve">No disponible públicamente </t>
        </is>
      </c>
      <c r="J19" s="203" t="inlineStr">
        <is>
          <t>secgral@unse.edu.ar</t>
        </is>
      </c>
      <c r="K19" s="49" t="inlineStr">
        <is>
          <t>https://mapa.educacion.gob.ar/maps/mapa-navegable-de-las-universidades</t>
        </is>
      </c>
      <c r="L19" s="205" t="inlineStr">
        <is>
          <t>CORREGIDO</t>
        </is>
      </c>
      <c r="M19" s="30" t="n"/>
    </row>
    <row r="20" ht="30" customHeight="1" s="182">
      <c r="A20" s="124" t="inlineStr">
        <is>
          <t>Argentina</t>
        </is>
      </c>
      <c r="B20" s="124" t="inlineStr">
        <is>
          <t>Universidades públicas</t>
        </is>
      </c>
      <c r="C20" s="124" t="inlineStr">
        <is>
          <t>Universidad Nacional</t>
        </is>
      </c>
      <c r="D20" s="124" t="inlineStr">
        <is>
          <t>Universidad Nacional de San Juan</t>
        </is>
      </c>
      <c r="E20" s="73" t="n"/>
      <c r="F20" s="124" t="inlineStr">
        <is>
          <t>Secretaría General / Mesa de Entradas</t>
        </is>
      </c>
      <c r="G20" s="49" t="inlineStr">
        <is>
          <t>https://www.unsj.edu.ar</t>
        </is>
      </c>
      <c r="H20" s="124" t="inlineStr">
        <is>
          <t>No disponible públicamente / Correspondencia Interna</t>
        </is>
      </c>
      <c r="I20" s="124" t="inlineStr">
        <is>
          <t xml:space="preserve">No disponible públicamente </t>
        </is>
      </c>
      <c r="J20" s="124" t="inlineStr">
        <is>
          <t>secgeneral@unsj.edu.ar</t>
        </is>
      </c>
      <c r="K20" s="49" t="inlineStr">
        <is>
          <t>https://mapa.educacion.gob.ar/maps/mapa-navegable-de-las-universidades</t>
        </is>
      </c>
      <c r="L20" s="216" t="inlineStr">
        <is>
          <t>PENDIENTE DE REVISION</t>
        </is>
      </c>
      <c r="M20" s="30" t="inlineStr">
        <is>
          <t>´pagina caida</t>
        </is>
      </c>
    </row>
    <row r="21" ht="30" customHeight="1" s="182">
      <c r="A21" s="124" t="inlineStr">
        <is>
          <t>Argentina</t>
        </is>
      </c>
      <c r="B21" s="124" t="inlineStr">
        <is>
          <t>Universidades públicas</t>
        </is>
      </c>
      <c r="C21" s="124" t="inlineStr">
        <is>
          <t>Universidad Nacional</t>
        </is>
      </c>
      <c r="D21" s="124" t="inlineStr">
        <is>
          <t>Universidad Nacional de San Luis</t>
        </is>
      </c>
      <c r="E21" s="73" t="n"/>
      <c r="F21" s="124" t="inlineStr">
        <is>
          <t>Secretaría General / Mesa de Entradas</t>
        </is>
      </c>
      <c r="G21" s="49" t="inlineStr">
        <is>
          <t>https://www.unsl.edu.ar</t>
        </is>
      </c>
      <c r="H21" s="124" t="inlineStr">
        <is>
          <t>Emiliano Daniel MUCH GHIGLIONE</t>
        </is>
      </c>
      <c r="I21" s="124" t="inlineStr">
        <is>
          <t xml:space="preserve">No disponible públicamente </t>
        </is>
      </c>
      <c r="J21" s="124" t="inlineStr">
        <is>
          <t>secgral@unsl.edu.ar</t>
        </is>
      </c>
      <c r="K21" s="49" t="inlineStr">
        <is>
          <t>https://mapa.educacion.gob.ar/maps/mapa-navegable-de-las-universidades</t>
        </is>
      </c>
      <c r="L21" s="205" t="inlineStr">
        <is>
          <t>CONFIRMADO</t>
        </is>
      </c>
      <c r="M21" s="30" t="n"/>
    </row>
    <row r="22" ht="30" customHeight="1" s="182">
      <c r="A22" s="124" t="inlineStr">
        <is>
          <t>Argentina</t>
        </is>
      </c>
      <c r="B22" s="124" t="inlineStr">
        <is>
          <t>Universidades públicas</t>
        </is>
      </c>
      <c r="C22" s="124" t="inlineStr">
        <is>
          <t>Universidad Nacional</t>
        </is>
      </c>
      <c r="D22" s="124" t="inlineStr">
        <is>
          <t>Universidad Nacional de Entre Ríos</t>
        </is>
      </c>
      <c r="E22" s="73" t="n"/>
      <c r="F22" s="124" t="inlineStr">
        <is>
          <t>SEC. DE EXTENSIÓN UNIVERSITARIA Y CULTURA</t>
        </is>
      </c>
      <c r="G22" s="49" t="inlineStr">
        <is>
          <t>https://www.uner.edu.ar</t>
        </is>
      </c>
      <c r="H22" s="124" t="inlineStr">
        <is>
          <t>Julieta CHICHIZOLA</t>
        </is>
      </c>
      <c r="I22" s="124" t="inlineStr">
        <is>
          <t xml:space="preserve">No disponible públicamente </t>
        </is>
      </c>
      <c r="J22" s="203" t="inlineStr">
        <is>
          <t>julieta.chichizola@uner.edu.ar</t>
        </is>
      </c>
      <c r="K22" s="49" t="inlineStr">
        <is>
          <t>https://mapa.educacion.gob.ar/maps/mapa-navegable-de-las-universidades</t>
        </is>
      </c>
      <c r="L22" s="205" t="inlineStr">
        <is>
          <t>CONFIRMADO</t>
        </is>
      </c>
      <c r="M22" s="30" t="n"/>
    </row>
    <row r="23" ht="30" customHeight="1" s="182">
      <c r="A23" s="124" t="inlineStr">
        <is>
          <t>Argentina</t>
        </is>
      </c>
      <c r="B23" s="124" t="inlineStr">
        <is>
          <t>Universidades públicas</t>
        </is>
      </c>
      <c r="C23" s="124" t="inlineStr">
        <is>
          <t>Universidad Nacional</t>
        </is>
      </c>
      <c r="D23" s="124" t="inlineStr">
        <is>
          <t>Universidad Nacional de Luján</t>
        </is>
      </c>
      <c r="E23" s="73" t="n"/>
      <c r="F23" s="124" t="inlineStr">
        <is>
          <t>Rectorado</t>
        </is>
      </c>
      <c r="G23" s="49" t="inlineStr">
        <is>
          <t>https://www.unlu.edu.ar</t>
        </is>
      </c>
      <c r="H23" s="124" t="inlineStr">
        <is>
          <t>Walter Fabián Panessi</t>
        </is>
      </c>
      <c r="I23" s="203" t="inlineStr">
        <is>
          <t>+54 2323 445100</t>
        </is>
      </c>
      <c r="J23" s="209" t="inlineStr">
        <is>
          <t>informes@unlu.edu.ar</t>
        </is>
      </c>
      <c r="K23" s="213" t="inlineStr">
        <is>
          <t>https://www.unlu.edu.ar/</t>
        </is>
      </c>
      <c r="L23" s="205" t="inlineStr">
        <is>
          <t>VERIFICAR</t>
        </is>
      </c>
      <c r="M23" s="184" t="inlineStr">
        <is>
          <t>Auditoría 08-oct-2026: Email anterior sin "@"; el rectorado no publica correo propio, se usa informes@ (pedir derivación).</t>
        </is>
      </c>
    </row>
    <row r="24" ht="30" customHeight="1" s="182">
      <c r="A24" s="124" t="inlineStr">
        <is>
          <t>Argentina</t>
        </is>
      </c>
      <c r="B24" s="124" t="inlineStr">
        <is>
          <t>Universidades públicas</t>
        </is>
      </c>
      <c r="C24" s="124" t="inlineStr">
        <is>
          <t>Universidad Nacional</t>
        </is>
      </c>
      <c r="D24" s="124" t="inlineStr">
        <is>
          <t>Universidad Nacional de la Patagonia San Juan Bosco</t>
        </is>
      </c>
      <c r="E24" s="73" t="n"/>
      <c r="F24" s="124" t="inlineStr">
        <is>
          <t>Secretaría General / Mesa de Entradas</t>
        </is>
      </c>
      <c r="G24" s="49" t="inlineStr">
        <is>
          <t>https://www.unp.edu.ar</t>
        </is>
      </c>
      <c r="H24" s="124" t="inlineStr">
        <is>
          <t>Liliana Barrionuevo</t>
        </is>
      </c>
      <c r="I24" s="124" t="inlineStr">
        <is>
          <t xml:space="preserve">No disponible públicamente </t>
        </is>
      </c>
      <c r="J24" s="124" t="inlineStr">
        <is>
          <t>secgral@unp.edu.ar</t>
        </is>
      </c>
      <c r="K24" s="49" t="inlineStr">
        <is>
          <t>https://mapa.educacion.gob.ar/maps/mapa-navegable-de-las-universidades</t>
        </is>
      </c>
      <c r="L24" s="205" t="inlineStr">
        <is>
          <t>CORREGIDO</t>
        </is>
      </c>
      <c r="M24" s="30" t="n"/>
    </row>
    <row r="25" ht="30" customHeight="1" s="182">
      <c r="A25" s="124" t="inlineStr">
        <is>
          <t>Argentina</t>
        </is>
      </c>
      <c r="B25" s="124" t="inlineStr">
        <is>
          <t>Universidades públicas</t>
        </is>
      </c>
      <c r="C25" s="124" t="inlineStr">
        <is>
          <t>Universidad Nacional</t>
        </is>
      </c>
      <c r="D25" s="124" t="inlineStr">
        <is>
          <t>Universidad Nacional de La Pampa</t>
        </is>
      </c>
      <c r="E25" s="73" t="n"/>
      <c r="F25" s="124" t="inlineStr">
        <is>
          <t>Secretaría Académica</t>
        </is>
      </c>
      <c r="G25" s="49" t="inlineStr">
        <is>
          <t>https://www.unlpam.edu.ar</t>
        </is>
      </c>
      <c r="H25" s="124" t="inlineStr">
        <is>
          <t xml:space="preserve">No disponible públicamente </t>
        </is>
      </c>
      <c r="I25" s="124" t="inlineStr">
        <is>
          <t>(02954) 451665</t>
        </is>
      </c>
      <c r="J25" s="124" t="inlineStr">
        <is>
          <t>secacademica@unlpam.edu.ar</t>
        </is>
      </c>
      <c r="K25" s="49" t="inlineStr">
        <is>
          <t>https://mapa.educacion.gob.ar/maps/mapa-navegable-de-las-universidades</t>
        </is>
      </c>
      <c r="L25" s="205" t="inlineStr">
        <is>
          <t>CORREGIDO</t>
        </is>
      </c>
      <c r="M25" s="30" t="n"/>
    </row>
    <row r="26" ht="30" customHeight="1" s="182">
      <c r="A26" s="124" t="inlineStr">
        <is>
          <t>Argentina</t>
        </is>
      </c>
      <c r="B26" s="124" t="inlineStr">
        <is>
          <t>Universidades públicas</t>
        </is>
      </c>
      <c r="C26" s="124" t="inlineStr">
        <is>
          <t>Universidad Nacional</t>
        </is>
      </c>
      <c r="D26" s="124" t="inlineStr">
        <is>
          <t>Universidad Nacional de Lomas de Zamora</t>
        </is>
      </c>
      <c r="E26" s="73" t="n"/>
      <c r="F26" s="124" t="inlineStr">
        <is>
          <t>Vicerrectoria Académica</t>
        </is>
      </c>
      <c r="G26" s="49" t="inlineStr">
        <is>
          <t>https://www.unlz.edu.ar</t>
        </is>
      </c>
      <c r="H26" s="124" t="inlineStr">
        <is>
          <t>Alejandro Kuruc</t>
        </is>
      </c>
      <c r="I26" s="124" t="inlineStr">
        <is>
          <t xml:space="preserve">No disponible públicamente </t>
        </is>
      </c>
      <c r="J26" s="124" t="inlineStr">
        <is>
          <t>viceacad@unlz.edu.ar</t>
        </is>
      </c>
      <c r="K26" s="49" t="inlineStr">
        <is>
          <t>https://mapa.educacion.gob.ar/maps/mapa-navegable-de-las-universidades</t>
        </is>
      </c>
      <c r="L26" s="214" t="inlineStr">
        <is>
          <t>CORREGIDO</t>
        </is>
      </c>
      <c r="M26" s="30" t="n"/>
    </row>
    <row r="27" ht="30" customHeight="1" s="182">
      <c r="A27" s="124" t="inlineStr">
        <is>
          <t>Argentina</t>
        </is>
      </c>
      <c r="B27" s="124" t="inlineStr">
        <is>
          <t>Universidades públicas</t>
        </is>
      </c>
      <c r="C27" s="124" t="inlineStr">
        <is>
          <t>Universidad Nacional</t>
        </is>
      </c>
      <c r="D27" s="124" t="inlineStr">
        <is>
          <t>Universidad Nacional de Quilmes</t>
        </is>
      </c>
      <c r="E27" s="73" t="n"/>
      <c r="F27" s="124" t="inlineStr">
        <is>
          <t>Secretaría General / Mesa de Entradas</t>
        </is>
      </c>
      <c r="G27" s="49" t="inlineStr">
        <is>
          <t>https://www.unq.edu.ar</t>
        </is>
      </c>
      <c r="H27" s="124" t="inlineStr">
        <is>
          <t>Néstor Daniel González</t>
        </is>
      </c>
      <c r="I27" s="124" t="inlineStr">
        <is>
          <t xml:space="preserve">No disponible públicamente </t>
        </is>
      </c>
      <c r="J27" s="124" t="inlineStr">
        <is>
          <t>secretaria.general@unq.edu.ar</t>
        </is>
      </c>
      <c r="K27" s="49" t="inlineStr">
        <is>
          <t>https://mapa.educacion.gob.ar/maps/mapa-navegable-de-las-universidades</t>
        </is>
      </c>
      <c r="L27" s="214" t="inlineStr">
        <is>
          <t>CONFIRMADO</t>
        </is>
      </c>
      <c r="M27" s="30" t="n"/>
    </row>
    <row r="28" ht="30" customHeight="1" s="182">
      <c r="A28" s="124" t="inlineStr">
        <is>
          <t>Argentina</t>
        </is>
      </c>
      <c r="B28" s="124" t="inlineStr">
        <is>
          <t>Universidades públicas</t>
        </is>
      </c>
      <c r="C28" s="124" t="inlineStr">
        <is>
          <t>Universidad Nacional</t>
        </is>
      </c>
      <c r="D28" s="124" t="inlineStr">
        <is>
          <t>Universidad Nacional de General San Martín</t>
        </is>
      </c>
      <c r="E28" s="73" t="n"/>
      <c r="F28" s="124" t="inlineStr">
        <is>
          <t>Secretaría General / Mesa de Entradas</t>
        </is>
      </c>
      <c r="G28" s="49" t="inlineStr">
        <is>
          <t>https://www.unsam.edu.ar</t>
        </is>
      </c>
      <c r="H28" s="124" t="inlineStr">
        <is>
          <t>Augusto Arístides Gálvez Vargas</t>
        </is>
      </c>
      <c r="I28" s="124" t="inlineStr">
        <is>
          <t xml:space="preserve">res, Argentina.
Teléfono: </t>
        </is>
      </c>
      <c r="J28" s="124" t="inlineStr">
        <is>
          <t>secretaria.coordgral@unsam.edu.ar</t>
        </is>
      </c>
      <c r="K28" s="49" t="inlineStr">
        <is>
          <t>https://mapa.educacion.gob.ar/maps/mapa-navegable-de-las-universidades</t>
        </is>
      </c>
      <c r="L28" s="214" t="inlineStr">
        <is>
          <t>CONFIRMADO</t>
        </is>
      </c>
      <c r="M28" s="30" t="n"/>
    </row>
    <row r="29" ht="30" customHeight="1" s="182">
      <c r="A29" s="124" t="inlineStr">
        <is>
          <t>Argentina</t>
        </is>
      </c>
      <c r="B29" s="124" t="inlineStr">
        <is>
          <t>Universidades públicas</t>
        </is>
      </c>
      <c r="C29" s="124" t="inlineStr">
        <is>
          <t>Universidad Nacional</t>
        </is>
      </c>
      <c r="D29" s="124" t="inlineStr">
        <is>
          <t>Universidad Nacional de General Sarmiento</t>
        </is>
      </c>
      <c r="E29" s="73" t="n"/>
      <c r="F29" s="124" t="inlineStr">
        <is>
          <t>Secretaría General / Mesa de Entradas</t>
        </is>
      </c>
      <c r="G29" s="49" t="inlineStr">
        <is>
          <t>https://www.ungs.edu.ar</t>
        </is>
      </c>
      <c r="H29" s="124" t="inlineStr">
        <is>
          <t>No disponible públicamente / Correspondencia Interna</t>
        </is>
      </c>
      <c r="I29" s="124" t="inlineStr">
        <is>
          <t xml:space="preserve">No disponible públicamente </t>
        </is>
      </c>
      <c r="J29" s="203" t="inlineStr">
        <is>
          <t>sec_gral@campus.ungs.edu.ar</t>
        </is>
      </c>
      <c r="K29" s="49" t="inlineStr">
        <is>
          <t>https://mapa.educacion.gob.ar/maps/mapa-navegable-de-las-universidades</t>
        </is>
      </c>
      <c r="L29" s="205" t="inlineStr">
        <is>
          <t>CONFIRMADO</t>
        </is>
      </c>
      <c r="M29" s="30" t="n"/>
    </row>
    <row r="30" ht="30" customHeight="1" s="182">
      <c r="A30" s="124" t="inlineStr">
        <is>
          <t>Argentina</t>
        </is>
      </c>
      <c r="B30" s="124" t="inlineStr">
        <is>
          <t>Universidades públicas</t>
        </is>
      </c>
      <c r="C30" s="124" t="inlineStr">
        <is>
          <t>Universidad Nacional</t>
        </is>
      </c>
      <c r="D30" s="124" t="inlineStr">
        <is>
          <t>Universidad Nacional de La Matanza</t>
        </is>
      </c>
      <c r="E30" s="73" t="n"/>
      <c r="F30" s="124" t="inlineStr">
        <is>
          <t>Secretaría General / Mesa de Entradas</t>
        </is>
      </c>
      <c r="G30" s="49" t="inlineStr">
        <is>
          <t>https://www.unlam.edu.ar</t>
        </is>
      </c>
      <c r="H30" s="124" t="inlineStr">
        <is>
          <t>Sergio Gustavo Vera</t>
        </is>
      </c>
      <c r="I30" s="124" t="inlineStr">
        <is>
          <t xml:space="preserve">No disponible públicamente </t>
        </is>
      </c>
      <c r="J30" s="124" t="inlineStr">
        <is>
          <t>secretariageneral@unlam.edu.ar</t>
        </is>
      </c>
      <c r="K30" s="49" t="inlineStr">
        <is>
          <t>https://mapa.educacion.gob.ar/maps/mapa-navegable-de-las-universidades</t>
        </is>
      </c>
      <c r="L30" s="205" t="inlineStr">
        <is>
          <t>CONFIRMADO</t>
        </is>
      </c>
      <c r="M30" s="30" t="n"/>
    </row>
    <row r="31" ht="30" customHeight="1" s="182">
      <c r="A31" s="124" t="inlineStr">
        <is>
          <t>Argentina</t>
        </is>
      </c>
      <c r="B31" s="124" t="inlineStr">
        <is>
          <t>Universidades públicas</t>
        </is>
      </c>
      <c r="C31" s="124" t="inlineStr">
        <is>
          <t>Universidad Nacional</t>
        </is>
      </c>
      <c r="D31" s="124" t="inlineStr">
        <is>
          <t>Universidad Nacional de Lanús</t>
        </is>
      </c>
      <c r="E31" s="73" t="n"/>
      <c r="F31" s="124" t="inlineStr">
        <is>
          <t>Secretaría General / Mesa de Entradas</t>
        </is>
      </c>
      <c r="G31" s="49" t="inlineStr">
        <is>
          <t>https://www.unla.edu.ar</t>
        </is>
      </c>
      <c r="H31" s="124" t="inlineStr">
        <is>
          <t xml:space="preserve"> Indalecio González Bergez</t>
        </is>
      </c>
      <c r="I31" s="124" t="inlineStr">
        <is>
          <t xml:space="preserve"> 5533-5600 Interno 5645</t>
        </is>
      </c>
      <c r="J31" s="124" t="inlineStr">
        <is>
          <t>mesaentradas@unla.edu.ar</t>
        </is>
      </c>
      <c r="K31" s="49" t="inlineStr">
        <is>
          <t>https://mapa.educacion.gob.ar/maps/mapa-navegable-de-las-universidades</t>
        </is>
      </c>
      <c r="L31" s="217" t="inlineStr">
        <is>
          <t>CORREGIDO CON OBSERVACIONES</t>
        </is>
      </c>
      <c r="M31" s="30" t="inlineStr">
        <is>
          <t>El correo de autoridades y secretarias no es publico, agregue el correo general de contacto</t>
        </is>
      </c>
    </row>
    <row r="32" ht="30" customHeight="1" s="182">
      <c r="A32" s="124" t="inlineStr">
        <is>
          <t>Argentina</t>
        </is>
      </c>
      <c r="B32" s="124" t="inlineStr">
        <is>
          <t>Universidades públicas</t>
        </is>
      </c>
      <c r="C32" s="124" t="inlineStr">
        <is>
          <t>Universidad Nacional</t>
        </is>
      </c>
      <c r="D32" s="124" t="inlineStr">
        <is>
          <t>Universidad Nacional de Tres de Febrero</t>
        </is>
      </c>
      <c r="E32" s="73" t="n"/>
      <c r="F32" s="124" t="inlineStr">
        <is>
          <t>Secretaría General / Mesa de Entradas</t>
        </is>
      </c>
      <c r="G32" s="49" t="inlineStr">
        <is>
          <t>https://www.untref.edu.ar</t>
        </is>
      </c>
      <c r="H32" s="124" t="inlineStr">
        <is>
          <t xml:space="preserve"> Martín Aiello</t>
        </is>
      </c>
      <c r="I32" s="124" t="inlineStr">
        <is>
          <t xml:space="preserve">No disponible públicamente </t>
        </is>
      </c>
      <c r="J32" s="124" t="inlineStr">
        <is>
          <t>ectorado@untref.edu.ar</t>
        </is>
      </c>
      <c r="K32" s="76" t="inlineStr">
        <is>
          <t>https://mapa.educacion.gob.ar/maps/mapa-navegable-de-las-universidades</t>
        </is>
      </c>
      <c r="L32" s="205" t="inlineStr">
        <is>
          <t>CONFIRMADO</t>
        </is>
      </c>
      <c r="M32" s="30" t="n"/>
    </row>
    <row r="33" ht="30" customHeight="1" s="182">
      <c r="A33" s="124" t="inlineStr">
        <is>
          <t>Argentina</t>
        </is>
      </c>
      <c r="B33" s="124" t="inlineStr">
        <is>
          <t>Universidades públicas</t>
        </is>
      </c>
      <c r="C33" s="124" t="inlineStr">
        <is>
          <t>Universidad Nacional</t>
        </is>
      </c>
      <c r="D33" s="124" t="inlineStr">
        <is>
          <t>Universidad Nacional de Formosa</t>
        </is>
      </c>
      <c r="E33" s="73" t="n"/>
      <c r="F33" s="124" t="inlineStr">
        <is>
          <t>Secretaría General / Mesa de Entradas</t>
        </is>
      </c>
      <c r="G33" s="49" t="inlineStr">
        <is>
          <t>https://www.unaf.edu.ar</t>
        </is>
      </c>
      <c r="H33" s="124" t="inlineStr">
        <is>
          <t>No disponible públicamente / Correspondencia Interna</t>
        </is>
      </c>
      <c r="I33" s="124" t="inlineStr">
        <is>
          <t xml:space="preserve">No disponible públicamente </t>
        </is>
      </c>
      <c r="J33" s="124" t="inlineStr">
        <is>
          <t>secgeneral@unaf.edu.ar</t>
        </is>
      </c>
      <c r="K33" s="49" t="inlineStr">
        <is>
          <t>https://mapa.educacion.gob.ar/maps/mapa-navegable-de-las-universidades</t>
        </is>
      </c>
      <c r="L33" s="216" t="inlineStr">
        <is>
          <t>PENDIENTE DE REVISION</t>
        </is>
      </c>
      <c r="M33" s="30" t="inlineStr">
        <is>
          <t>pagina caida</t>
        </is>
      </c>
    </row>
    <row r="34" ht="30" customHeight="1" s="182">
      <c r="A34" s="124" t="inlineStr">
        <is>
          <t>Argentina</t>
        </is>
      </c>
      <c r="B34" s="124" t="inlineStr">
        <is>
          <t>Universidades públicas</t>
        </is>
      </c>
      <c r="C34" s="124" t="inlineStr">
        <is>
          <t>Universidad Nacional</t>
        </is>
      </c>
      <c r="D34" s="124" t="inlineStr">
        <is>
          <t>Universidad Nacional de la Patagonia Austral</t>
        </is>
      </c>
      <c r="E34" s="73" t="n"/>
      <c r="F34" s="124" t="inlineStr">
        <is>
          <t>Secretaria de Extensión Universitaria</t>
        </is>
      </c>
      <c r="G34" s="49" t="inlineStr">
        <is>
          <t>https://www.unpa.edu.ar</t>
        </is>
      </c>
      <c r="H34" s="124" t="inlineStr">
        <is>
          <t xml:space="preserve">Romina Perrone Lutri </t>
        </is>
      </c>
      <c r="I34" s="124" t="inlineStr">
        <is>
          <t xml:space="preserve">No disponible públicamente </t>
        </is>
      </c>
      <c r="J34" s="203" t="inlineStr">
        <is>
          <t>rperrone@unpa.edu.ar</t>
        </is>
      </c>
      <c r="K34" s="49" t="inlineStr">
        <is>
          <t>https://mapa.educacion.gob.ar/maps/mapa-navegable-de-las-universidades</t>
        </is>
      </c>
      <c r="L34" s="205" t="inlineStr">
        <is>
          <t>CONFIRMADO</t>
        </is>
      </c>
      <c r="M34" s="30" t="n"/>
    </row>
    <row r="35" ht="30" customHeight="1" s="182">
      <c r="A35" s="124" t="inlineStr">
        <is>
          <t>Argentina</t>
        </is>
      </c>
      <c r="B35" s="124" t="inlineStr">
        <is>
          <t>Universidades públicas</t>
        </is>
      </c>
      <c r="C35" s="124" t="inlineStr">
        <is>
          <t>Universidad Nacional</t>
        </is>
      </c>
      <c r="D35" s="124" t="inlineStr">
        <is>
          <t>Universidad Nacional de Villa María</t>
        </is>
      </c>
      <c r="E35" s="73" t="n"/>
      <c r="F35" s="124" t="inlineStr">
        <is>
          <t>Secretaría General / Mesa de Entradas</t>
        </is>
      </c>
      <c r="G35" s="49" t="inlineStr">
        <is>
          <t>https://www.unvm.edu.ar</t>
        </is>
      </c>
      <c r="H35" s="124" t="inlineStr">
        <is>
          <t>Paula Miozzo</t>
        </is>
      </c>
      <c r="I35" s="124" t="inlineStr">
        <is>
          <t xml:space="preserve">No disponible públicamente </t>
        </is>
      </c>
      <c r="J35" s="124" t="inlineStr">
        <is>
          <t>paulamiozzo@gmail.com</t>
        </is>
      </c>
      <c r="K35" s="49" t="inlineStr">
        <is>
          <t>https://mapa.educacion.gob.ar/maps/mapa-navegable-de-las-universidades</t>
        </is>
      </c>
      <c r="L35" s="205" t="inlineStr">
        <is>
          <t>CONFIRMADO</t>
        </is>
      </c>
      <c r="M35" s="30" t="n"/>
    </row>
    <row r="36" ht="30" customHeight="1" s="182">
      <c r="A36" s="124" t="inlineStr">
        <is>
          <t>Argentina</t>
        </is>
      </c>
      <c r="B36" s="124" t="inlineStr">
        <is>
          <t>Universidades públicas</t>
        </is>
      </c>
      <c r="C36" s="124" t="inlineStr">
        <is>
          <t>Universidad Nacional</t>
        </is>
      </c>
      <c r="D36" s="124" t="inlineStr">
        <is>
          <t>Universidad Nacional del Centro de la Provincia de Buenos Aires</t>
        </is>
      </c>
      <c r="E36" s="73" t="n"/>
      <c r="F36" s="124" t="inlineStr">
        <is>
          <t>Secretaría General / Mesa de Entradas</t>
        </is>
      </c>
      <c r="G36" s="49" t="inlineStr">
        <is>
          <t>https://www.unicen.edu.ar</t>
        </is>
      </c>
      <c r="H36" s="124" t="inlineStr">
        <is>
          <t>Luciano Corres</t>
        </is>
      </c>
      <c r="I36" s="124" t="inlineStr">
        <is>
          <t xml:space="preserve">No disponible públicamente </t>
        </is>
      </c>
      <c r="J36" s="124" t="inlineStr">
        <is>
          <t>sgeneral@rec.unicen.edu.ar</t>
        </is>
      </c>
      <c r="K36" s="49" t="inlineStr">
        <is>
          <t>https://mapa.educacion.gob.ar/maps/mapa-navegable-de-las-universidades</t>
        </is>
      </c>
      <c r="L36" s="205" t="inlineStr">
        <is>
          <t>CONFIRMADO</t>
        </is>
      </c>
      <c r="M36" s="30" t="n"/>
    </row>
    <row r="37" ht="30" customHeight="1" s="182">
      <c r="A37" s="124" t="inlineStr">
        <is>
          <t>Argentina</t>
        </is>
      </c>
      <c r="B37" s="124" t="inlineStr">
        <is>
          <t>Universidades públicas</t>
        </is>
      </c>
      <c r="C37" s="124" t="inlineStr">
        <is>
          <t>Universidad Nacional</t>
        </is>
      </c>
      <c r="D37" s="124" t="inlineStr">
        <is>
          <t>Universidad Nacional de La Rioja</t>
        </is>
      </c>
      <c r="E37" s="73" t="n"/>
      <c r="F37" s="124" t="inlineStr">
        <is>
          <t>Secretaría General / Mesa de Entradas</t>
        </is>
      </c>
      <c r="G37" s="52" t="inlineStr">
        <is>
          <t>https://www.unlar.edu.ar</t>
        </is>
      </c>
      <c r="H37" s="124" t="inlineStr">
        <is>
          <t xml:space="preserve">Carlos Mediavilla </t>
        </is>
      </c>
      <c r="I37" s="124" t="inlineStr">
        <is>
          <t>(0380) 4457020/702</t>
        </is>
      </c>
      <c r="J37" s="203" t="inlineStr">
        <is>
          <t>secretariageneral@unlar.edu.ar</t>
        </is>
      </c>
      <c r="K37" s="49" t="inlineStr">
        <is>
          <t>https://mapa.educacion.gob.ar/maps/mapa-navegable-de-las-universidades</t>
        </is>
      </c>
      <c r="L37" s="205" t="inlineStr">
        <is>
          <t>CONFIRMADO</t>
        </is>
      </c>
      <c r="M37" s="30" t="n"/>
    </row>
    <row r="38" ht="30" customHeight="1" s="182">
      <c r="A38" s="124" t="inlineStr">
        <is>
          <t>Argentina</t>
        </is>
      </c>
      <c r="B38" s="124" t="inlineStr">
        <is>
          <t>Universidades públicas</t>
        </is>
      </c>
      <c r="C38" s="124" t="inlineStr">
        <is>
          <t>Universidad Nacional</t>
        </is>
      </c>
      <c r="D38" s="124" t="inlineStr">
        <is>
          <t>Universidad Nacional de Chilecito</t>
        </is>
      </c>
      <c r="E38" s="80" t="n"/>
      <c r="F38" s="124" t="inlineStr">
        <is>
          <t>Secretaría General / Mesa de Entradas</t>
        </is>
      </c>
      <c r="G38" s="49" t="inlineStr">
        <is>
          <t>https://www.undec.edu.ar</t>
        </is>
      </c>
      <c r="H38" s="124" t="inlineStr">
        <is>
          <t>No disponible públicamente / Correspondencia Interna</t>
        </is>
      </c>
      <c r="I38" s="124" t="inlineStr">
        <is>
          <t xml:space="preserve">No disponible públicamente </t>
        </is>
      </c>
      <c r="J38" s="203" t="inlineStr">
        <is>
          <t>coopinternac@undec.edu.ar</t>
        </is>
      </c>
      <c r="K38" s="52" t="inlineStr">
        <is>
          <t>https://www.grupolarabida.org/universidad/universidad-nacional-de-colombia-unal-colombia/</t>
        </is>
      </c>
      <c r="L38" s="217" t="inlineStr">
        <is>
          <t>CONFIRMADO CON OBSERVACIONES</t>
        </is>
      </c>
      <c r="M38" s="82" t="inlineStr">
        <is>
          <t>no hay información publica en su pagina sobre contactos, encontre en una pagina internacional un correo de contacto el cyal puse</t>
        </is>
      </c>
    </row>
    <row r="39" ht="30" customHeight="1" s="182">
      <c r="A39" s="124" t="inlineStr">
        <is>
          <t>Argentina</t>
        </is>
      </c>
      <c r="B39" s="124" t="inlineStr">
        <is>
          <t>Universidades públicas</t>
        </is>
      </c>
      <c r="C39" s="124" t="inlineStr">
        <is>
          <t>Universidad Nacional</t>
        </is>
      </c>
      <c r="D39" s="124" t="inlineStr">
        <is>
          <t>Universidad Nacional del Noroeste de la Provincia de Buenos Aires</t>
        </is>
      </c>
      <c r="E39" s="98" t="n"/>
      <c r="F39" s="124" t="inlineStr">
        <is>
          <t>Secretaria Académica</t>
        </is>
      </c>
      <c r="G39" s="49" t="inlineStr">
        <is>
          <t>https://www.unnoba.edu.ar</t>
        </is>
      </c>
      <c r="H39" s="124" t="inlineStr">
        <is>
          <t>PILAR TRAVERSO</t>
        </is>
      </c>
      <c r="I39" s="124" t="inlineStr">
        <is>
          <t xml:space="preserve">No disponible públicamente </t>
        </is>
      </c>
      <c r="J39" s="203" t="inlineStr">
        <is>
          <t>secretariaacademica@unnoba.edu.ar</t>
        </is>
      </c>
      <c r="K39" s="49" t="inlineStr">
        <is>
          <t>https://mapa.educacion.gob.ar/maps/mapa-navegable-de-las-universidades</t>
        </is>
      </c>
      <c r="L39" s="205" t="inlineStr">
        <is>
          <t>CONFIRMADO</t>
        </is>
      </c>
      <c r="M39" s="86" t="n"/>
    </row>
    <row r="40" ht="24" customHeight="1" s="182">
      <c r="A40" s="124" t="inlineStr">
        <is>
          <t>Argentina</t>
        </is>
      </c>
      <c r="B40" s="124" t="inlineStr">
        <is>
          <t>Universidades públicas</t>
        </is>
      </c>
      <c r="C40" s="124" t="inlineStr">
        <is>
          <t>Universidad Nacional</t>
        </is>
      </c>
      <c r="D40" s="124" t="inlineStr">
        <is>
          <t>Universidad Nacional de Río Negro</t>
        </is>
      </c>
      <c r="E40" s="98" t="n"/>
      <c r="F40" s="124" t="inlineStr">
        <is>
          <t>Secretaría General / Mesa de Entradas</t>
        </is>
      </c>
      <c r="G40" s="49" t="inlineStr">
        <is>
          <t>https://www.unrn.edu.ar</t>
        </is>
      </c>
      <c r="H40" s="124" t="inlineStr">
        <is>
          <t>Marcos Del Bello</t>
        </is>
      </c>
      <c r="I40" s="124" t="inlineStr">
        <is>
          <t xml:space="preserve">No disponible públicamente </t>
        </is>
      </c>
      <c r="J40" s="124" t="inlineStr">
        <is>
          <t>mjdelbello@unrn.edu.ar</t>
        </is>
      </c>
      <c r="K40" s="49" t="inlineStr">
        <is>
          <t>https://mapa.educacion.gob.ar/maps/mapa-navegable-de-las-universidades</t>
        </is>
      </c>
      <c r="L40" s="205" t="inlineStr">
        <is>
          <t>CONFIRMADO</t>
        </is>
      </c>
      <c r="M40" s="86" t="n"/>
    </row>
    <row r="41" ht="21.75" customHeight="1" s="182">
      <c r="A41" s="124" t="inlineStr">
        <is>
          <t>Argentina</t>
        </is>
      </c>
      <c r="B41" s="124" t="inlineStr">
        <is>
          <t>Universidades públicas</t>
        </is>
      </c>
      <c r="C41" s="124" t="inlineStr">
        <is>
          <t>Universidad Nacional</t>
        </is>
      </c>
      <c r="D41" s="124" t="inlineStr">
        <is>
          <t>Universidad Nacional de Tierra del Fuego, Antártida e Islas del Atlántico Sur</t>
        </is>
      </c>
      <c r="E41" s="98" t="n"/>
      <c r="F41" s="124" t="inlineStr">
        <is>
          <t>Secretaría de Extensión, Vinculación y Servicios</t>
        </is>
      </c>
      <c r="G41" s="49" t="inlineStr">
        <is>
          <t>https://www.untdf.edu.ar</t>
        </is>
      </c>
      <c r="H41" s="124" t="inlineStr">
        <is>
          <t>No disponible públicamente / Correspondencia Interna</t>
        </is>
      </c>
      <c r="I41" s="124" t="inlineStr">
        <is>
          <t>Natalia Graziano</t>
        </is>
      </c>
      <c r="J41" s="124" t="inlineStr">
        <is>
          <t>secretaria.extension.vinculacion.servicios@untdf.edu.ar</t>
        </is>
      </c>
      <c r="K41" s="49" t="inlineStr">
        <is>
          <t>https://mapa.educacion.gob.ar/maps/mapa-navegable-de-las-universidades</t>
        </is>
      </c>
      <c r="L41" s="205" t="inlineStr">
        <is>
          <t>CONFIRMADO</t>
        </is>
      </c>
      <c r="M41" s="86" t="n"/>
    </row>
    <row r="42" ht="25.5" customHeight="1" s="182">
      <c r="A42" s="124" t="inlineStr">
        <is>
          <t>Argentina</t>
        </is>
      </c>
      <c r="B42" s="124" t="inlineStr">
        <is>
          <t>Universidades públicas</t>
        </is>
      </c>
      <c r="C42" s="124" t="inlineStr">
        <is>
          <t>Universidad Nacional</t>
        </is>
      </c>
      <c r="D42" s="124" t="inlineStr">
        <is>
          <t>Universidad Nacional de las Artes</t>
        </is>
      </c>
      <c r="E42" s="98" t="n"/>
      <c r="F42" s="124" t="inlineStr">
        <is>
          <t>Secretaría General / Mesa de Entradas</t>
        </is>
      </c>
      <c r="G42" s="49" t="inlineStr">
        <is>
          <t>https://una.edu.ar</t>
        </is>
      </c>
      <c r="H42" s="124" t="inlineStr">
        <is>
          <t>Alejandro Ades</t>
        </is>
      </c>
      <c r="I42" s="124" t="inlineStr">
        <is>
          <t xml:space="preserve">No disponible públicamente </t>
        </is>
      </c>
      <c r="J42" s="124" t="inlineStr">
        <is>
          <t>secretaria.privada@una.edu.ar</t>
        </is>
      </c>
      <c r="K42" s="49" t="inlineStr">
        <is>
          <t>https://mapa.educacion.gob.ar/maps/mapa-navegable-de-las-universidades</t>
        </is>
      </c>
      <c r="L42" s="205" t="inlineStr">
        <is>
          <t>CONFIRMADO</t>
        </is>
      </c>
      <c r="M42" s="86" t="n"/>
    </row>
    <row r="43" ht="22.5" customHeight="1" s="182">
      <c r="A43" s="124" t="inlineStr">
        <is>
          <t>Argentina</t>
        </is>
      </c>
      <c r="B43" s="124" t="inlineStr">
        <is>
          <t>Universidades públicas</t>
        </is>
      </c>
      <c r="C43" s="124" t="inlineStr">
        <is>
          <t>Universidad Nacional</t>
        </is>
      </c>
      <c r="D43" s="124" t="inlineStr">
        <is>
          <t>Universidad Nacional de Avellaneda</t>
        </is>
      </c>
      <c r="E43" s="98" t="n"/>
      <c r="F43" s="124" t="inlineStr">
        <is>
          <t>Secretaria de Extensión Universitaria</t>
        </is>
      </c>
      <c r="G43" s="49" t="inlineStr">
        <is>
          <t>https://www.undav.edu.ar</t>
        </is>
      </c>
      <c r="H43" s="124" t="inlineStr">
        <is>
          <t>Liliana Elsegood</t>
        </is>
      </c>
      <c r="I43" s="124" t="inlineStr">
        <is>
          <t xml:space="preserve">No disponible públicamente </t>
        </is>
      </c>
      <c r="J43" s="124" t="inlineStr">
        <is>
          <t>extension@undav.edu.ar</t>
        </is>
      </c>
      <c r="K43" s="49" t="inlineStr">
        <is>
          <t>https://mapa.educacion.gob.ar/maps/mapa-navegable-de-las-universidades</t>
        </is>
      </c>
      <c r="L43" s="205" t="inlineStr">
        <is>
          <t>CONFIRMADO</t>
        </is>
      </c>
      <c r="M43" s="86" t="n"/>
    </row>
    <row r="44" ht="19.5" customHeight="1" s="182">
      <c r="A44" s="124" t="inlineStr">
        <is>
          <t>Argentina</t>
        </is>
      </c>
      <c r="B44" s="124" t="inlineStr">
        <is>
          <t>Universidades públicas</t>
        </is>
      </c>
      <c r="C44" s="124" t="inlineStr">
        <is>
          <t>Universidad Nacional</t>
        </is>
      </c>
      <c r="D44" s="124" t="inlineStr">
        <is>
          <t>Universidad Nacional de José C. Paz</t>
        </is>
      </c>
      <c r="E44" s="98" t="n"/>
      <c r="F44" s="124" t="inlineStr">
        <is>
          <t>Secretaría General / Mesa de Entradas</t>
        </is>
      </c>
      <c r="G44" s="49" t="inlineStr">
        <is>
          <t>https://www.unpaz.edu.ar</t>
        </is>
      </c>
      <c r="H44" s="124" t="inlineStr">
        <is>
          <t>María Soledad Cadierno</t>
        </is>
      </c>
      <c r="I44" s="124" t="inlineStr">
        <is>
          <t xml:space="preserve">No disponible públicamente </t>
        </is>
      </c>
      <c r="J44" s="124" t="inlineStr">
        <is>
          <t>secretariageneral@unpaz.edu.ar</t>
        </is>
      </c>
      <c r="K44" s="49" t="inlineStr">
        <is>
          <t>https://mapa.educacion.gob.ar/maps/mapa-navegable-de-las-universidades</t>
        </is>
      </c>
      <c r="L44" s="205" t="inlineStr">
        <is>
          <t>CONFIRMADO</t>
        </is>
      </c>
      <c r="M44" s="86" t="n"/>
    </row>
    <row r="45" ht="28.5" customHeight="1" s="182">
      <c r="A45" s="124" t="inlineStr">
        <is>
          <t>Argentina</t>
        </is>
      </c>
      <c r="B45" s="124" t="inlineStr">
        <is>
          <t>Universidades públicas</t>
        </is>
      </c>
      <c r="C45" s="124" t="inlineStr">
        <is>
          <t>Universidad Nacional</t>
        </is>
      </c>
      <c r="D45" s="124" t="inlineStr">
        <is>
          <t>Universidad Nacional Arturo Jauretche</t>
        </is>
      </c>
      <c r="E45" s="98" t="n"/>
      <c r="F45" s="124" t="inlineStr">
        <is>
          <t>Secretaría General / Mesa de Entradas</t>
        </is>
      </c>
      <c r="G45" s="49" t="inlineStr">
        <is>
          <t>https://www.unaj.edu.ar</t>
        </is>
      </c>
      <c r="H45" s="124" t="inlineStr">
        <is>
          <t>Miguel Binstock</t>
        </is>
      </c>
      <c r="I45" s="124" t="inlineStr">
        <is>
          <t xml:space="preserve">No disponible públicamente </t>
        </is>
      </c>
      <c r="J45" s="124" t="inlineStr">
        <is>
          <t>bienestarestudiantil@unaj.edu.ar</t>
        </is>
      </c>
      <c r="K45" s="49" t="inlineStr">
        <is>
          <t>https://mapa.educacion.gob.ar/maps/mapa-navegable-de-las-universidades</t>
        </is>
      </c>
      <c r="L45" s="217" t="inlineStr">
        <is>
          <t>CONFIRMADO CON OBSERVACIONES</t>
        </is>
      </c>
      <c r="M45" s="86" t="inlineStr">
        <is>
          <t>No hay contactos publicos, solo encontre correos de atención para estudiantes</t>
        </is>
      </c>
    </row>
    <row r="46" ht="22.5" customHeight="1" s="182">
      <c r="A46" s="124" t="inlineStr">
        <is>
          <t>Argentina</t>
        </is>
      </c>
      <c r="B46" s="124" t="inlineStr">
        <is>
          <t>Universidades públicas</t>
        </is>
      </c>
      <c r="C46" s="124" t="inlineStr">
        <is>
          <t>Universidad Nacional</t>
        </is>
      </c>
      <c r="D46" s="124" t="inlineStr">
        <is>
          <t>Universidad Nacional de Moreno</t>
        </is>
      </c>
      <c r="E46" s="98" t="n"/>
      <c r="F46" s="124" t="inlineStr">
        <is>
          <t>Vicerrectoria</t>
        </is>
      </c>
      <c r="G46" s="49" t="inlineStr">
        <is>
          <t>https://www.unm.edu.ar</t>
        </is>
      </c>
      <c r="H46" s="124" t="inlineStr">
        <is>
          <t>Patricia E.
ROSEMBERG</t>
        </is>
      </c>
      <c r="I46" s="124" t="inlineStr">
        <is>
          <t xml:space="preserve">No disponible públicamente </t>
        </is>
      </c>
      <c r="J46" s="124" t="inlineStr">
        <is>
          <t>prosemberg@unm.edu.ar</t>
        </is>
      </c>
      <c r="K46" s="49" t="inlineStr">
        <is>
          <t>https://mapa.educacion.gob.ar/maps/mapa-navegable-de-las-universidades</t>
        </is>
      </c>
      <c r="L46" s="205" t="inlineStr">
        <is>
          <t>CONFIRMADO</t>
        </is>
      </c>
      <c r="M46" s="86" t="n"/>
    </row>
    <row r="47" ht="22.5" customHeight="1" s="182">
      <c r="A47" s="124" t="inlineStr">
        <is>
          <t>Argentina</t>
        </is>
      </c>
      <c r="B47" s="124" t="inlineStr">
        <is>
          <t>Universidades públicas</t>
        </is>
      </c>
      <c r="C47" s="124" t="inlineStr">
        <is>
          <t>Universidad Nacional</t>
        </is>
      </c>
      <c r="D47" s="124" t="inlineStr">
        <is>
          <t>Universidad Nacional del Oeste</t>
        </is>
      </c>
      <c r="E47" s="98" t="n"/>
      <c r="F47" s="124" t="inlineStr">
        <is>
          <t>Secretaría General / Mesa de Entradas</t>
        </is>
      </c>
      <c r="G47" s="49" t="inlineStr">
        <is>
          <t>https://www.uno.edu.ar</t>
        </is>
      </c>
      <c r="H47" s="124" t="inlineStr">
        <is>
          <t>Fernando Augusto Cochet</t>
        </is>
      </c>
      <c r="I47" s="124" t="inlineStr">
        <is>
          <t xml:space="preserve">No disponible públicamente </t>
        </is>
      </c>
      <c r="J47" s="124" t="inlineStr">
        <is>
          <t>secretariageneral@uno.edu.ar</t>
        </is>
      </c>
      <c r="K47" s="49" t="inlineStr">
        <is>
          <t>https://mapa.educacion.gob.ar/maps/mapa-navegable-de-las-universidades</t>
        </is>
      </c>
      <c r="L47" s="205" t="inlineStr">
        <is>
          <t>CONFIRMADO</t>
        </is>
      </c>
      <c r="M47" s="86" t="n"/>
    </row>
    <row r="48" ht="30.75" customHeight="1" s="182">
      <c r="A48" s="124" t="inlineStr">
        <is>
          <t>Argentina</t>
        </is>
      </c>
      <c r="B48" s="124" t="inlineStr">
        <is>
          <t>Universidades públicas</t>
        </is>
      </c>
      <c r="C48" s="124" t="inlineStr">
        <is>
          <t>Universidad Nacional</t>
        </is>
      </c>
      <c r="D48" s="124" t="inlineStr">
        <is>
          <t>Universidad Nacional del Chaco Austral</t>
        </is>
      </c>
      <c r="E48" s="98" t="n"/>
      <c r="F48" s="124" t="inlineStr">
        <is>
          <t>Vicerectoria</t>
        </is>
      </c>
      <c r="G48" s="49" t="inlineStr">
        <is>
          <t>https://uncaus.edu.ar</t>
        </is>
      </c>
      <c r="H48" s="124" t="inlineStr">
        <is>
          <t>Manuel Guillermo García Solá</t>
        </is>
      </c>
      <c r="I48" s="124" t="inlineStr">
        <is>
          <t xml:space="preserve">No disponible públicamente </t>
        </is>
      </c>
      <c r="J48" s="124" t="inlineStr">
        <is>
          <t>mgsola@uncaus.edu.ar</t>
        </is>
      </c>
      <c r="K48" s="49" t="inlineStr">
        <is>
          <t>https://mapa.educacion.gob.ar/maps/mapa-navegable-de-las-universidades</t>
        </is>
      </c>
      <c r="L48" s="205" t="inlineStr">
        <is>
          <t>CONFIRMADO</t>
        </is>
      </c>
      <c r="M48" s="86" t="n"/>
    </row>
    <row r="49" ht="28.5" customHeight="1" s="182">
      <c r="A49" s="124" t="inlineStr">
        <is>
          <t>Argentina</t>
        </is>
      </c>
      <c r="B49" s="124" t="inlineStr">
        <is>
          <t>Universidades públicas</t>
        </is>
      </c>
      <c r="C49" s="124" t="inlineStr">
        <is>
          <t>Universidad Nacional</t>
        </is>
      </c>
      <c r="D49" s="124" t="inlineStr">
        <is>
          <t>Universidad Nacional de Defensa Nacional</t>
        </is>
      </c>
      <c r="E49" s="98" t="n"/>
      <c r="F49" s="124" t="inlineStr">
        <is>
          <t>Secretaria Académica</t>
        </is>
      </c>
      <c r="G49" s="49" t="inlineStr">
        <is>
          <t>https://www.undef.edu.ar</t>
        </is>
      </c>
      <c r="H49" s="124" t="inlineStr">
        <is>
          <t>VERÓNICA MULLE</t>
        </is>
      </c>
      <c r="I49" s="124" t="inlineStr">
        <is>
          <t xml:space="preserve">No disponible públicamente </t>
        </is>
      </c>
      <c r="J49" s="124" t="inlineStr">
        <is>
          <t>secretaria.academica@undef.edu.ar</t>
        </is>
      </c>
      <c r="K49" s="49" t="inlineStr">
        <is>
          <t>https://mapa.educacion.gob.ar/maps/mapa-navegable-de-las-universidades</t>
        </is>
      </c>
      <c r="L49" s="205" t="inlineStr">
        <is>
          <t>CONFIRMADO</t>
        </is>
      </c>
      <c r="M49" s="86" t="n"/>
    </row>
    <row r="50" ht="29.25" customHeight="1" s="182">
      <c r="A50" s="124" t="inlineStr">
        <is>
          <t>Argentina</t>
        </is>
      </c>
      <c r="B50" s="124" t="inlineStr">
        <is>
          <t>Universidades públicas</t>
        </is>
      </c>
      <c r="C50" s="124" t="inlineStr">
        <is>
          <t>Universidad Nacional</t>
        </is>
      </c>
      <c r="D50" s="124" t="inlineStr">
        <is>
          <t>Universidad Nacional de Hurlingham</t>
        </is>
      </c>
      <c r="E50" s="98" t="n"/>
      <c r="F50" s="124" t="inlineStr">
        <is>
          <t>Secretaria Académica</t>
        </is>
      </c>
      <c r="G50" s="49" t="inlineStr">
        <is>
          <t>https://unahur.edu.ar</t>
        </is>
      </c>
      <c r="H50" s="124" t="inlineStr">
        <is>
          <t>Gustavo Medrano</t>
        </is>
      </c>
      <c r="I50" s="124" t="inlineStr">
        <is>
          <t xml:space="preserve">No disponible públicamente </t>
        </is>
      </c>
      <c r="J50" s="124" t="inlineStr">
        <is>
          <t>secretaria.academica@unahur.edu.ar</t>
        </is>
      </c>
      <c r="K50" s="49" t="inlineStr">
        <is>
          <t>https://mapa.educacion.gob.ar/maps/mapa-navegable-de-las-universidades</t>
        </is>
      </c>
      <c r="L50" s="205" t="inlineStr">
        <is>
          <t>CONFIRMADO</t>
        </is>
      </c>
      <c r="M50" s="86" t="n"/>
    </row>
    <row r="51" ht="23.25" customHeight="1" s="182">
      <c r="A51" s="124" t="inlineStr">
        <is>
          <t>Argentina</t>
        </is>
      </c>
      <c r="B51" s="124" t="inlineStr">
        <is>
          <t>Universidades públicas</t>
        </is>
      </c>
      <c r="C51" s="124" t="inlineStr">
        <is>
          <t>Universidad Nacional</t>
        </is>
      </c>
      <c r="D51" s="124" t="inlineStr">
        <is>
          <t>Universidad Pedagógica Nacional</t>
        </is>
      </c>
      <c r="E51" s="98" t="n"/>
      <c r="F51" s="124" t="inlineStr">
        <is>
          <t>Secretaría General / Mesa de Entradas</t>
        </is>
      </c>
      <c r="G51" s="49" t="inlineStr">
        <is>
          <t>https://unipe.edu.ar</t>
        </is>
      </c>
      <c r="H51" s="124" t="inlineStr">
        <is>
          <t>Ariel Notta</t>
        </is>
      </c>
      <c r="I51" s="124" t="inlineStr">
        <is>
          <t xml:space="preserve">No disponible públicamente </t>
        </is>
      </c>
      <c r="J51" s="124" t="inlineStr">
        <is>
          <t>secretaria.general@unipe.edu.ar</t>
        </is>
      </c>
      <c r="K51" s="49" t="inlineStr">
        <is>
          <t>https://mapa.educacion.gob.ar/maps/mapa-navegable-de-las-universidades</t>
        </is>
      </c>
      <c r="L51" s="205" t="inlineStr">
        <is>
          <t>CONFIRMADO</t>
        </is>
      </c>
      <c r="M51" s="86" t="n"/>
    </row>
    <row r="52" ht="25.5" customHeight="1" s="182">
      <c r="A52" s="124" t="inlineStr">
        <is>
          <t>Argentina</t>
        </is>
      </c>
      <c r="B52" s="124" t="inlineStr">
        <is>
          <t>Universidades públicas</t>
        </is>
      </c>
      <c r="C52" s="124" t="inlineStr">
        <is>
          <t>Universidad Nacional</t>
        </is>
      </c>
      <c r="D52" s="124" t="inlineStr">
        <is>
          <t>Universidad Nacional de Rafaela</t>
        </is>
      </c>
      <c r="E52" s="98" t="n"/>
      <c r="F52" s="124" t="inlineStr">
        <is>
          <t>Secretaría General / Mesa de Entradas</t>
        </is>
      </c>
      <c r="G52" s="49" t="inlineStr">
        <is>
          <t>https://www.unraf.edu.ar</t>
        </is>
      </c>
      <c r="H52" s="124" t="inlineStr">
        <is>
          <t>Héctor Michelutti</t>
        </is>
      </c>
      <c r="I52" s="124" t="inlineStr">
        <is>
          <t xml:space="preserve">No disponible públicamente </t>
        </is>
      </c>
      <c r="J52" s="149" t="inlineStr">
        <is>
          <t>hectormichelutti@unraf.edu.ar</t>
        </is>
      </c>
      <c r="K52" s="49" t="inlineStr">
        <is>
          <t>https://mapa.educacion.gob.ar/maps/mapa-navegable-de-las-universidades</t>
        </is>
      </c>
      <c r="L52" s="205" t="inlineStr">
        <is>
          <t>CONFIRMADO</t>
        </is>
      </c>
      <c r="M52" s="86" t="n"/>
    </row>
    <row r="53" ht="24" customHeight="1" s="182">
      <c r="A53" s="124" t="inlineStr">
        <is>
          <t>Argentina</t>
        </is>
      </c>
      <c r="B53" s="124" t="inlineStr">
        <is>
          <t>Universidades públicas</t>
        </is>
      </c>
      <c r="C53" s="124" t="inlineStr">
        <is>
          <t>Universidad Nacional</t>
        </is>
      </c>
      <c r="D53" s="124" t="inlineStr">
        <is>
          <t>Universidad Nacional de San Antonio de Areco</t>
        </is>
      </c>
      <c r="E53" s="98" t="n"/>
      <c r="F53" s="124" t="inlineStr">
        <is>
          <t>Secretaria Académica</t>
        </is>
      </c>
      <c r="G53" s="49" t="inlineStr">
        <is>
          <t>https://www.unsada.edu.ar</t>
        </is>
      </c>
      <c r="H53" s="124" t="inlineStr">
        <is>
          <t xml:space="preserve"> Walter Bonillo</t>
        </is>
      </c>
      <c r="I53" s="124" t="inlineStr">
        <is>
          <t xml:space="preserve">No disponible públicamente </t>
        </is>
      </c>
      <c r="J53" s="203" t="inlineStr">
        <is>
          <t>academica@unsada.edu.ar</t>
        </is>
      </c>
      <c r="K53" s="49" t="inlineStr">
        <is>
          <t>https://mapa.educacion.gob.ar/maps/mapa-navegable-de-las-universidades</t>
        </is>
      </c>
      <c r="L53" s="205" t="inlineStr">
        <is>
          <t>CONFIRMADO</t>
        </is>
      </c>
      <c r="M53" s="86" t="n"/>
    </row>
    <row r="54" ht="15.75" customHeight="1" s="182">
      <c r="A54" s="124" t="inlineStr">
        <is>
          <t>Argentina</t>
        </is>
      </c>
      <c r="B54" s="124" t="inlineStr">
        <is>
          <t>Universidades públicas</t>
        </is>
      </c>
      <c r="C54" s="124" t="inlineStr">
        <is>
          <t>Universidad Nacional</t>
        </is>
      </c>
      <c r="D54" s="124" t="inlineStr">
        <is>
          <t>Universidad Nacional de los Comechingones</t>
        </is>
      </c>
      <c r="E54" s="98" t="n"/>
      <c r="F54" s="124" t="inlineStr">
        <is>
          <t>Secretaría General / Mesa de Entradas</t>
        </is>
      </c>
      <c r="G54" s="49" t="inlineStr">
        <is>
          <t>https://www.unlc.edu.ar</t>
        </is>
      </c>
      <c r="H54" s="124" t="inlineStr">
        <is>
          <t>Jorge Canta Verbeke</t>
        </is>
      </c>
      <c r="I54" s="124" t="inlineStr">
        <is>
          <t xml:space="preserve">No disponible públicamente </t>
        </is>
      </c>
      <c r="J54" s="124" t="inlineStr">
        <is>
          <t>jcanta@unlc.edu.ar</t>
        </is>
      </c>
      <c r="K54" s="49" t="inlineStr">
        <is>
          <t>https://mapa.educacion.gob.ar/maps/mapa-navegable-de-las-universidades</t>
        </is>
      </c>
      <c r="L54" s="207" t="inlineStr">
        <is>
          <t>CONFIRMADO</t>
        </is>
      </c>
      <c r="M54" s="86" t="n"/>
    </row>
    <row r="55" ht="15.75" customHeight="1" s="182">
      <c r="A55" s="124" t="inlineStr">
        <is>
          <t>Argentina</t>
        </is>
      </c>
      <c r="B55" s="124" t="inlineStr">
        <is>
          <t>Universidades públicas</t>
        </is>
      </c>
      <c r="C55" s="124" t="inlineStr">
        <is>
          <t>Universidad Nacional</t>
        </is>
      </c>
      <c r="D55" s="124" t="inlineStr">
        <is>
          <t>Universidad Nacional del Alto Uruguay</t>
        </is>
      </c>
      <c r="E55" s="98" t="n"/>
      <c r="F55" s="124" t="inlineStr">
        <is>
          <t>Secretaría de Extensión, Cultura y Relaciones Institucionales</t>
        </is>
      </c>
      <c r="G55" s="52" t="inlineStr">
        <is>
          <t>https://unau.edu.ar</t>
        </is>
      </c>
      <c r="H55" s="124" t="inlineStr">
        <is>
          <t>Bruno Gini</t>
        </is>
      </c>
      <c r="I55" s="124" t="inlineStr">
        <is>
          <t xml:space="preserve">No disponible públicamente </t>
        </is>
      </c>
      <c r="J55" s="203" t="inlineStr">
        <is>
          <t>extension@unau.edu.ar</t>
        </is>
      </c>
      <c r="K55" s="49" t="inlineStr">
        <is>
          <t>https://mapa.educacion.gob.ar/maps/mapa-navegable-de-las-universidades</t>
        </is>
      </c>
      <c r="L55" s="207" t="inlineStr">
        <is>
          <t>CORREGIDO</t>
        </is>
      </c>
      <c r="M55" s="86" t="n"/>
    </row>
    <row r="56" ht="15.75" customHeight="1" s="182">
      <c r="A56" s="124" t="inlineStr">
        <is>
          <t>Argentina</t>
        </is>
      </c>
      <c r="B56" s="124" t="inlineStr">
        <is>
          <t>Universidades públicas</t>
        </is>
      </c>
      <c r="C56" s="124" t="inlineStr">
        <is>
          <t>Universidad Nacional</t>
        </is>
      </c>
      <c r="D56" s="124" t="inlineStr">
        <is>
          <t>Universidad Nacional Raúl Scalabrini Ortiz</t>
        </is>
      </c>
      <c r="E56" s="98" t="n"/>
      <c r="F56" s="124" t="inlineStr">
        <is>
          <t>Secretaría General / Mesa de Entradas</t>
        </is>
      </c>
      <c r="G56" s="49" t="inlineStr">
        <is>
          <t>https://www.unso.edu.ar</t>
        </is>
      </c>
      <c r="H56" s="124" t="inlineStr">
        <is>
          <t>Leandro Gastón Goroyesky</t>
        </is>
      </c>
      <c r="I56" s="124" t="inlineStr">
        <is>
          <t xml:space="preserve">No disponible públicamente </t>
        </is>
      </c>
      <c r="J56" s="124" t="inlineStr">
        <is>
          <t>secretariageneral@unsanisidro.edu.ar</t>
        </is>
      </c>
      <c r="K56" s="49" t="inlineStr">
        <is>
          <t>https://mapa.educacion.gob.ar/maps/mapa-navegable-de-las-universidades</t>
        </is>
      </c>
      <c r="L56" s="207" t="inlineStr">
        <is>
          <t>CONFIRMADO</t>
        </is>
      </c>
      <c r="M56" s="86" t="n"/>
    </row>
    <row r="57" ht="15.75" customHeight="1" s="182">
      <c r="A57" s="124" t="inlineStr">
        <is>
          <t>Argentina</t>
        </is>
      </c>
      <c r="B57" s="124" t="inlineStr">
        <is>
          <t>Universidades públicas</t>
        </is>
      </c>
      <c r="C57" s="124" t="inlineStr">
        <is>
          <t>Universidad Nacional</t>
        </is>
      </c>
      <c r="D57" s="124" t="inlineStr">
        <is>
          <t>Universidad Nacional Guillermo Brown</t>
        </is>
      </c>
      <c r="E57" s="98" t="n"/>
      <c r="F57" s="124" t="inlineStr">
        <is>
          <t>Secretaría General / Mesa de Entradas</t>
        </is>
      </c>
      <c r="G57" s="49" t="inlineStr">
        <is>
          <t>https://www.unab.edu.ar</t>
        </is>
      </c>
      <c r="H57" s="124" t="inlineStr">
        <is>
          <t>Stella Salamone</t>
        </is>
      </c>
      <c r="I57" s="124" t="inlineStr">
        <is>
          <t xml:space="preserve">No disponible públicamente </t>
        </is>
      </c>
      <c r="J57" s="124" t="inlineStr">
        <is>
          <t>sec.general@unab.edu.ar</t>
        </is>
      </c>
      <c r="K57" s="49" t="inlineStr">
        <is>
          <t>https://mapa.educacion.gob.ar/maps/mapa-navegable-de-las-universidades</t>
        </is>
      </c>
      <c r="L57" s="207" t="inlineStr">
        <is>
          <t>CORREGIDO</t>
        </is>
      </c>
      <c r="M57" s="86" t="n"/>
    </row>
    <row r="58" ht="15.75" customHeight="1" s="182">
      <c r="A58" s="124" t="inlineStr">
        <is>
          <t>Argentina</t>
        </is>
      </c>
      <c r="B58" s="124" t="inlineStr">
        <is>
          <t>Universidades públicas</t>
        </is>
      </c>
      <c r="C58" s="124" t="inlineStr">
        <is>
          <t>Universidad Nacional</t>
        </is>
      </c>
      <c r="D58" s="124" t="inlineStr">
        <is>
          <t>Universidad Nacional de Ezeiza</t>
        </is>
      </c>
      <c r="E58" s="98" t="n"/>
      <c r="F58" s="124" t="inlineStr">
        <is>
          <t>Secretaria Académica</t>
        </is>
      </c>
      <c r="G58" s="49" t="inlineStr">
        <is>
          <t>https://www.upe.edu.ar</t>
        </is>
      </c>
      <c r="H58" s="124" t="inlineStr">
        <is>
          <t>Macarena Forneris</t>
        </is>
      </c>
      <c r="I58" s="124" t="inlineStr">
        <is>
          <t xml:space="preserve">No disponible públicamente </t>
        </is>
      </c>
      <c r="J58" s="124" t="inlineStr">
        <is>
          <t>academica@upe.edu.ar</t>
        </is>
      </c>
      <c r="K58" s="49" t="inlineStr">
        <is>
          <t>https://mapa.educacion.gob.ar/maps/mapa-navegable-de-las-universidades</t>
        </is>
      </c>
      <c r="L58" s="207" t="inlineStr">
        <is>
          <t>CORREGIDO</t>
        </is>
      </c>
      <c r="M58" s="86" t="n"/>
    </row>
    <row r="59" ht="15.75" customHeight="1" s="182">
      <c r="A59" s="124" t="inlineStr">
        <is>
          <t>Argentina</t>
        </is>
      </c>
      <c r="B59" s="124" t="inlineStr">
        <is>
          <t>Universidades públicas</t>
        </is>
      </c>
      <c r="C59" s="124" t="inlineStr">
        <is>
          <t>Universidad Nacional</t>
        </is>
      </c>
      <c r="D59" s="124" t="inlineStr">
        <is>
          <t>Universidad Nacional del Delta</t>
        </is>
      </c>
      <c r="E59" s="98" t="n"/>
      <c r="F59" s="124" t="inlineStr">
        <is>
          <t>Secretaría General / Mesa de Entradas</t>
        </is>
      </c>
      <c r="G59" s="49" t="inlineStr">
        <is>
          <t>https://www.undelta.edu.ar</t>
        </is>
      </c>
      <c r="H59" s="124" t="inlineStr">
        <is>
          <t>Mariano Puccio</t>
        </is>
      </c>
      <c r="I59" s="124" t="inlineStr">
        <is>
          <t xml:space="preserve">No disponible públicamente </t>
        </is>
      </c>
      <c r="J59" s="124" t="inlineStr">
        <is>
          <t>secretariageneral@undelta.edu.ar</t>
        </is>
      </c>
      <c r="K59" s="49" t="inlineStr">
        <is>
          <t>https://mapa.educacion.gob.ar/maps/mapa-navegable-de-las-universidades</t>
        </is>
      </c>
      <c r="L59" s="207" t="inlineStr">
        <is>
          <t>CONFIRMADO</t>
        </is>
      </c>
      <c r="M59" s="86" t="n"/>
    </row>
    <row r="60" ht="15.75" customHeight="1" s="182">
      <c r="A60" s="124" t="inlineStr">
        <is>
          <t>Argentina</t>
        </is>
      </c>
      <c r="B60" s="124" t="inlineStr">
        <is>
          <t>Universidades públicas</t>
        </is>
      </c>
      <c r="C60" s="124" t="inlineStr">
        <is>
          <t>Universidad Nacional</t>
        </is>
      </c>
      <c r="D60" s="124" t="inlineStr">
        <is>
          <t>Universidad Nacional de Pilar</t>
        </is>
      </c>
      <c r="E60" s="98" t="n"/>
      <c r="F60" s="124" t="inlineStr">
        <is>
          <t>Contacto general</t>
        </is>
      </c>
      <c r="G60" s="49" t="inlineStr">
        <is>
          <t>https://www.unpilar.edu.ar</t>
        </is>
      </c>
      <c r="H60" s="124" t="inlineStr">
        <is>
          <t>No disponible públicamente / Correspondencia Interna</t>
        </is>
      </c>
      <c r="I60" s="124" t="inlineStr">
        <is>
          <t xml:space="preserve">No disponible públicamente </t>
        </is>
      </c>
      <c r="J60" s="203" t="inlineStr">
        <is>
          <t>informes@unpilar.edu.ar</t>
        </is>
      </c>
      <c r="K60" s="49" t="inlineStr">
        <is>
          <t>https://mapa.educacion.gob.ar/maps/mapa-navegable-de-las-universidades</t>
        </is>
      </c>
      <c r="L60" s="218" t="inlineStr">
        <is>
          <t>CORREGIDO CON OBSERVACIONES</t>
        </is>
      </c>
      <c r="M60" s="86" t="inlineStr">
        <is>
          <t>En la pagina web no hay información disponible sobre autoridades ni sus respectivos contactos</t>
        </is>
      </c>
    </row>
    <row r="61" ht="15.75" customHeight="1" s="182">
      <c r="A61" s="124" t="inlineStr">
        <is>
          <t>Argentina</t>
        </is>
      </c>
      <c r="B61" s="124" t="inlineStr">
        <is>
          <t>Universidades públicas</t>
        </is>
      </c>
      <c r="C61" s="124" t="inlineStr">
        <is>
          <t>Universidad Nacional</t>
        </is>
      </c>
      <c r="D61" s="124" t="inlineStr">
        <is>
          <t>Universidad Nacional de Río Tercero</t>
        </is>
      </c>
      <c r="E61" s="98" t="n"/>
      <c r="F61" s="124" t="inlineStr">
        <is>
          <t>Rectorado</t>
        </is>
      </c>
      <c r="G61" s="49" t="inlineStr">
        <is>
          <t>https://www.unrt.edu.ar</t>
        </is>
      </c>
      <c r="H61" s="124" t="inlineStr">
        <is>
          <t>Pablo Andrés Yannibelli</t>
        </is>
      </c>
      <c r="I61" s="124" t="inlineStr">
        <is>
          <t xml:space="preserve">No disponible públicamente </t>
        </is>
      </c>
      <c r="J61" s="124" t="inlineStr">
        <is>
          <t>rectorado@unrt.edu.ar</t>
        </is>
      </c>
      <c r="K61" s="49" t="inlineStr">
        <is>
          <t>https://mapa.educacion.gob.ar/maps/mapa-navegable-de-las-universidades</t>
        </is>
      </c>
      <c r="L61" s="207" t="inlineStr">
        <is>
          <t>CORREGIDO</t>
        </is>
      </c>
      <c r="M61" s="86" t="n"/>
    </row>
    <row r="62" ht="15.75" customHeight="1" s="182">
      <c r="A62" s="124" t="inlineStr">
        <is>
          <t>Argentina</t>
        </is>
      </c>
      <c r="B62" s="124" t="inlineStr">
        <is>
          <t>Universidades públicas</t>
        </is>
      </c>
      <c r="C62" s="124" t="inlineStr">
        <is>
          <t>Universidad Nacional</t>
        </is>
      </c>
      <c r="D62" s="124" t="inlineStr">
        <is>
          <t>Universidad Nacional de Madres de Plaza de Mayo</t>
        </is>
      </c>
      <c r="E62" s="98" t="n"/>
      <c r="F62" s="124" t="inlineStr">
        <is>
          <t>Rectorado</t>
        </is>
      </c>
      <c r="G62" s="49" t="inlineStr">
        <is>
          <t>https://www.unma.edu.ar</t>
        </is>
      </c>
      <c r="H62" s="124" t="inlineStr">
        <is>
          <t>Eduardo Maurizzio</t>
        </is>
      </c>
      <c r="I62" s="124" t="inlineStr">
        <is>
          <t xml:space="preserve">No disponible públicamente </t>
        </is>
      </c>
      <c r="J62" s="124" t="inlineStr">
        <is>
          <t>rectorado@unma.net.ar</t>
        </is>
      </c>
      <c r="K62" s="49" t="inlineStr">
        <is>
          <t>https://mapa.educacion.gob.ar/maps/mapa-navegable-de-las-universidades</t>
        </is>
      </c>
      <c r="L62" s="207" t="inlineStr">
        <is>
          <t>CORREGIDO</t>
        </is>
      </c>
      <c r="M62" s="86" t="n"/>
    </row>
    <row r="63" ht="22.5" customHeight="1" s="182">
      <c r="A63" s="124" t="inlineStr">
        <is>
          <t>Argentina</t>
        </is>
      </c>
      <c r="B63" s="124" t="inlineStr">
        <is>
          <t>Universidades públicas</t>
        </is>
      </c>
      <c r="C63" s="124" t="inlineStr">
        <is>
          <t>Universidad Nacional</t>
        </is>
      </c>
      <c r="D63" s="124" t="inlineStr">
        <is>
          <t>Instituto Universitario Nacional de Derechos Humanos</t>
        </is>
      </c>
      <c r="E63" s="98" t="n"/>
      <c r="F63" s="124" t="inlineStr">
        <is>
          <t>no disponible publicamente</t>
        </is>
      </c>
      <c r="G63" s="158" t="inlineStr">
        <is>
          <t>no disponible publicamente</t>
        </is>
      </c>
      <c r="H63" s="124" t="inlineStr">
        <is>
          <t>No disponible públicamente / Correspondencia Interna</t>
        </is>
      </c>
      <c r="I63" s="124" t="inlineStr">
        <is>
          <t xml:space="preserve">No disponible públicamente </t>
        </is>
      </c>
      <c r="J63" s="124" t="inlineStr">
        <is>
          <t>no disponible publicamente</t>
        </is>
      </c>
      <c r="K63" s="49" t="inlineStr">
        <is>
          <t>https://mapa.educacion.gob.ar/maps/mapa-navegable-de-las-universidades</t>
        </is>
      </c>
      <c r="L63" s="218" t="inlineStr">
        <is>
          <t>CORREGIDO CON OBSERVACIONES</t>
        </is>
      </c>
      <c r="M63" s="86" t="inlineStr">
        <is>
          <t>no existe pagina web, ni sitio oficial</t>
        </is>
      </c>
    </row>
    <row r="64" ht="16.5" customHeight="1" s="182">
      <c r="A64" s="124" t="inlineStr">
        <is>
          <t>Argentina</t>
        </is>
      </c>
      <c r="B64" s="124" t="inlineStr">
        <is>
          <t>Universidades públicas</t>
        </is>
      </c>
      <c r="C64" s="124" t="inlineStr">
        <is>
          <t>Universidad Nacional</t>
        </is>
      </c>
      <c r="D64" s="124" t="inlineStr">
        <is>
          <t>Instituto Universitario de la Policía Federal Argentina</t>
        </is>
      </c>
      <c r="E64" s="98" t="n"/>
      <c r="F64" s="124" t="inlineStr">
        <is>
          <t>SECRETARÍA DE EXTENSIÓN UNIVERSITARIA Y ASUNTOS ESTUDIANTILES</t>
        </is>
      </c>
      <c r="G64" s="49" t="inlineStr">
        <is>
          <t>https://www.iupfa.edu.ar</t>
        </is>
      </c>
      <c r="H64" s="124" t="inlineStr">
        <is>
          <t>Valeria LAROCCA</t>
        </is>
      </c>
      <c r="I64" s="124" t="inlineStr">
        <is>
          <t xml:space="preserve">No disponible públicamente </t>
        </is>
      </c>
      <c r="J64" s="124" t="inlineStr">
        <is>
          <t>sec-extension@iupfa.edu.ar</t>
        </is>
      </c>
      <c r="K64" s="49" t="inlineStr">
        <is>
          <t>https://mapa.educacion.gob.ar/maps/mapa-navegable-de-las-universidades</t>
        </is>
      </c>
      <c r="L64" s="207" t="inlineStr">
        <is>
          <t>CORREGIDO</t>
        </is>
      </c>
      <c r="M64" s="86" t="n"/>
    </row>
    <row r="65" ht="18.75" customHeight="1" s="182">
      <c r="A65" s="124" t="inlineStr">
        <is>
          <t>Argentina</t>
        </is>
      </c>
      <c r="B65" s="124" t="inlineStr">
        <is>
          <t>Universidades públicas</t>
        </is>
      </c>
      <c r="C65" s="124" t="inlineStr">
        <is>
          <t>Universidad Nacional</t>
        </is>
      </c>
      <c r="D65" s="124" t="inlineStr">
        <is>
          <t>Instituto Universitario de Seguridad Marítima</t>
        </is>
      </c>
      <c r="E65" s="98" t="n"/>
      <c r="F65" s="124" t="inlineStr">
        <is>
          <t>-</t>
        </is>
      </c>
      <c r="G65" s="52" t="inlineStr">
        <is>
          <t>https://www.iusm.edu.ar</t>
        </is>
      </c>
      <c r="H65" s="124" t="inlineStr">
        <is>
          <t>-</t>
        </is>
      </c>
      <c r="I65" s="124" t="inlineStr">
        <is>
          <t>-</t>
        </is>
      </c>
      <c r="J65" s="124" t="inlineStr">
        <is>
          <t>-</t>
        </is>
      </c>
      <c r="K65" s="49" t="inlineStr">
        <is>
          <t>https://mapa.educacion.gob.ar/maps/mapa-navegable-de-las-universidades</t>
        </is>
      </c>
      <c r="L65" s="218" t="inlineStr">
        <is>
          <t>PENDIENTE DE REVISION</t>
        </is>
      </c>
      <c r="M65" s="86" t="inlineStr">
        <is>
          <t>pagina caida</t>
        </is>
      </c>
    </row>
    <row r="66" ht="24" customHeight="1" s="182">
      <c r="A66" s="124" t="inlineStr">
        <is>
          <t>Argentina</t>
        </is>
      </c>
      <c r="B66" s="124" t="inlineStr">
        <is>
          <t>Universidades públicas</t>
        </is>
      </c>
      <c r="C66" s="124" t="inlineStr">
        <is>
          <t>Universidad Provincial</t>
        </is>
      </c>
      <c r="D66" s="124" t="inlineStr">
        <is>
          <t>Universidad Autónoma de Entre Ríos</t>
        </is>
      </c>
      <c r="E66" s="98" t="n"/>
      <c r="F66" s="124" t="inlineStr">
        <is>
          <t>Secretaría General / Mesa de Entradas</t>
        </is>
      </c>
      <c r="G66" s="49" t="inlineStr">
        <is>
          <t>https://uader.edu.ar</t>
        </is>
      </c>
      <c r="H66" s="124" t="inlineStr">
        <is>
          <t>No disponible públicamente / Correspondencia Interna</t>
        </is>
      </c>
      <c r="I66" s="124" t="inlineStr">
        <is>
          <t xml:space="preserve">No disponible públicamente </t>
        </is>
      </c>
      <c r="J66" s="124" t="inlineStr">
        <is>
          <t>secretariageneral@uader.edu.ar</t>
        </is>
      </c>
      <c r="K66" s="49" t="inlineStr">
        <is>
          <t>https://mapa.educacion.gob.ar/maps/mapa-navegable-de-las-universidades</t>
        </is>
      </c>
      <c r="L66" s="207" t="inlineStr">
        <is>
          <t>CONFIRMADO</t>
        </is>
      </c>
      <c r="M66" s="86" t="n"/>
    </row>
    <row r="67" ht="23.25" customHeight="1" s="182">
      <c r="A67" s="124" t="inlineStr">
        <is>
          <t>Argentina</t>
        </is>
      </c>
      <c r="B67" s="124" t="inlineStr">
        <is>
          <t>Universidades públicas</t>
        </is>
      </c>
      <c r="C67" s="124" t="inlineStr">
        <is>
          <t>Universidad Provincial</t>
        </is>
      </c>
      <c r="D67" s="124" t="inlineStr">
        <is>
          <t>Universidad Provincial de Córdoba</t>
        </is>
      </c>
      <c r="E67" s="98" t="n"/>
      <c r="F67" s="124" t="inlineStr">
        <is>
          <t>Vicerectoria</t>
        </is>
      </c>
      <c r="G67" s="49" t="inlineStr">
        <is>
          <t>https://upc.edu.ar</t>
        </is>
      </c>
      <c r="H67" s="124" t="inlineStr">
        <is>
          <t>Daniel Artaza</t>
        </is>
      </c>
      <c r="I67" s="124" t="inlineStr">
        <is>
          <t xml:space="preserve">No disponible públicamente </t>
        </is>
      </c>
      <c r="J67" s="124" t="inlineStr">
        <is>
          <t>vicerrectorado@upc.edu.ar</t>
        </is>
      </c>
      <c r="K67" s="49" t="inlineStr">
        <is>
          <t>https://mapa.educacion.gob.ar/maps/mapa-navegable-de-las-universidades</t>
        </is>
      </c>
      <c r="L67" s="207" t="inlineStr">
        <is>
          <t>CONFIRMADO</t>
        </is>
      </c>
      <c r="M67" s="86" t="n"/>
    </row>
    <row r="68" ht="22.5" customHeight="1" s="182">
      <c r="A68" s="124" t="inlineStr">
        <is>
          <t>Argentina</t>
        </is>
      </c>
      <c r="B68" s="124" t="inlineStr">
        <is>
          <t>Universidades públicas</t>
        </is>
      </c>
      <c r="C68" s="124" t="inlineStr">
        <is>
          <t>Universidad Provincial</t>
        </is>
      </c>
      <c r="D68" s="124" t="inlineStr">
        <is>
          <t>Universidad Provincial del Sudoeste</t>
        </is>
      </c>
      <c r="E68" s="98" t="n"/>
      <c r="F68" s="124" t="inlineStr">
        <is>
          <t>Secretaría General / Mesa de Entradas</t>
        </is>
      </c>
      <c r="G68" s="49" t="inlineStr">
        <is>
          <t>https://www.upso.edu.ar</t>
        </is>
      </c>
      <c r="H68" s="124" t="inlineStr">
        <is>
          <t>No disponible públicamente / Correspondencia Interna</t>
        </is>
      </c>
      <c r="I68" s="124" t="inlineStr">
        <is>
          <t xml:space="preserve">No disponible públicamente </t>
        </is>
      </c>
      <c r="J68" s="124" t="inlineStr">
        <is>
          <t>secretariageneral@upso.edu.ar</t>
        </is>
      </c>
      <c r="K68" s="49" t="inlineStr">
        <is>
          <t>https://mapa.educacion.gob.ar/maps/mapa-navegable-de-las-universidades</t>
        </is>
      </c>
      <c r="L68" s="218" t="inlineStr">
        <is>
          <t>PENDIENTE DE REVISION</t>
        </is>
      </c>
      <c r="M68" s="86" t="inlineStr">
        <is>
          <t>pagina caida</t>
        </is>
      </c>
    </row>
    <row r="69" ht="22.5" customHeight="1" s="182">
      <c r="A69" s="124" t="inlineStr">
        <is>
          <t>Argentina</t>
        </is>
      </c>
      <c r="B69" s="124" t="inlineStr">
        <is>
          <t>Universidades públicas</t>
        </is>
      </c>
      <c r="C69" s="124" t="inlineStr">
        <is>
          <t>Universidad Provincial</t>
        </is>
      </c>
      <c r="D69" s="124" t="inlineStr">
        <is>
          <t>Universidad Provincial de Administración, Tecnología y Oficios</t>
        </is>
      </c>
      <c r="E69" s="98" t="n"/>
      <c r="F69" s="124" t="inlineStr">
        <is>
          <t>Contacto general</t>
        </is>
      </c>
      <c r="G69" s="49" t="inlineStr">
        <is>
          <t>https://upateco.edu.ar</t>
        </is>
      </c>
      <c r="H69" s="124" t="inlineStr">
        <is>
          <t>No disponible públicamente / Correspondencia Interna</t>
        </is>
      </c>
      <c r="I69" s="124" t="inlineStr">
        <is>
          <t xml:space="preserve">No disponible públicamente </t>
        </is>
      </c>
      <c r="J69" s="124" t="inlineStr">
        <is>
          <t>consultas@upateco.edu.ar</t>
        </is>
      </c>
      <c r="K69" s="49" t="inlineStr">
        <is>
          <t>https://mapa.educacion.gob.ar/maps/mapa-navegable-de-las-universidades</t>
        </is>
      </c>
      <c r="L69" s="219" t="inlineStr">
        <is>
          <t>CONFIRMADO CON OBSERVACIONES</t>
        </is>
      </c>
      <c r="M69" s="86" t="inlineStr">
        <is>
          <t>no hay contactos de autoridades, solo general</t>
        </is>
      </c>
    </row>
    <row r="70" ht="21" customHeight="1" s="182">
      <c r="A70" s="124" t="inlineStr">
        <is>
          <t>Argentina</t>
        </is>
      </c>
      <c r="B70" s="124" t="inlineStr">
        <is>
          <t>Universidades públicas</t>
        </is>
      </c>
      <c r="C70" s="124" t="inlineStr">
        <is>
          <t>Universidad Provincial</t>
        </is>
      </c>
      <c r="D70" s="124" t="inlineStr">
        <is>
          <t>Universidad Provincial de Laguna Blanca</t>
        </is>
      </c>
      <c r="E70" s="98" t="n"/>
      <c r="F70" s="124" t="inlineStr">
        <is>
          <t>Secretaría General / Mesa de Entradas</t>
        </is>
      </c>
      <c r="G70" s="49" t="inlineStr">
        <is>
          <t>https://uplab.edu.ar</t>
        </is>
      </c>
      <c r="H70" s="124" t="inlineStr">
        <is>
          <t>No disponible públicamente / Correspondencia Interna</t>
        </is>
      </c>
      <c r="I70" s="124" t="inlineStr">
        <is>
          <t xml:space="preserve">No disponible públicamente </t>
        </is>
      </c>
      <c r="J70" s="124" t="inlineStr">
        <is>
          <t>no disponible publicamente</t>
        </is>
      </c>
      <c r="K70" s="49" t="inlineStr">
        <is>
          <t>https://mapa.educacion.gob.ar/maps/mapa-navegable-de-las-universidades</t>
        </is>
      </c>
      <c r="L70" s="219" t="inlineStr">
        <is>
          <t>CONFIRMADO CON OBSERVACIONES</t>
        </is>
      </c>
      <c r="M70" s="86" t="inlineStr">
        <is>
          <t>El apartado de contacto esta caido, y no hay contacto geenral en la pagina web tampoco,</t>
        </is>
      </c>
    </row>
    <row r="71" ht="19.5" customHeight="1" s="182">
      <c r="A71" s="124" t="inlineStr">
        <is>
          <t>Argentina</t>
        </is>
      </c>
      <c r="B71" s="124" t="inlineStr">
        <is>
          <t>Universidades públicas</t>
        </is>
      </c>
      <c r="C71" s="124" t="inlineStr">
        <is>
          <t>Universidad Provincial</t>
        </is>
      </c>
      <c r="D71" s="124" t="inlineStr">
        <is>
          <t>Instituto Universitario Patagónico de las Artes</t>
        </is>
      </c>
      <c r="E71" s="98" t="n"/>
      <c r="F71" s="124" t="inlineStr">
        <is>
          <t>Contacto general</t>
        </is>
      </c>
      <c r="G71" s="49" t="inlineStr">
        <is>
          <t>https://iupa.edu.ar</t>
        </is>
      </c>
      <c r="H71" s="124" t="inlineStr">
        <is>
          <t>No disponible públicamente / Correspondencia Interna</t>
        </is>
      </c>
      <c r="I71" s="124" t="inlineStr">
        <is>
          <t>54-0298-4432889</t>
        </is>
      </c>
      <c r="J71" s="124" t="inlineStr">
        <is>
          <t>contacto@iupa.edu.ar</t>
        </is>
      </c>
      <c r="K71" s="49" t="inlineStr">
        <is>
          <t>https://mapa.educacion.gob.ar/maps/mapa-navegable-de-las-universidades</t>
        </is>
      </c>
      <c r="L71" s="207" t="inlineStr">
        <is>
          <t>CONFIRMADO</t>
        </is>
      </c>
      <c r="M71" s="86" t="n"/>
    </row>
    <row r="72" ht="22.5" customHeight="1" s="182">
      <c r="A72" s="124" t="inlineStr">
        <is>
          <t>Argentina</t>
        </is>
      </c>
      <c r="B72" s="124" t="inlineStr">
        <is>
          <t>Universidades públicas</t>
        </is>
      </c>
      <c r="C72" s="124" t="inlineStr">
        <is>
          <t>Universidad Provincial</t>
        </is>
      </c>
      <c r="D72" s="124" t="inlineStr">
        <is>
          <t>Universidad del Chubut</t>
        </is>
      </c>
      <c r="E72" s="98" t="n"/>
      <c r="F72" s="124" t="inlineStr">
        <is>
          <t>Vicerectoria</t>
        </is>
      </c>
      <c r="G72" s="49" t="inlineStr">
        <is>
          <t>https://udc.edu.ar</t>
        </is>
      </c>
      <c r="H72" s="124" t="inlineStr">
        <is>
          <t>Cristian Fernando MENCHI</t>
        </is>
      </c>
      <c r="I72" s="124" t="inlineStr">
        <is>
          <t xml:space="preserve">No disponible públicamente </t>
        </is>
      </c>
      <c r="J72" s="124" t="inlineStr">
        <is>
          <t>cfmenchi@udc.edu.ar</t>
        </is>
      </c>
      <c r="K72" s="49" t="inlineStr">
        <is>
          <t>https://mapa.educacion.gob.ar/maps/mapa-navegable-de-las-universidades</t>
        </is>
      </c>
      <c r="L72" s="207" t="inlineStr">
        <is>
          <t>CONFIRMADO</t>
        </is>
      </c>
      <c r="M72" s="86" t="n"/>
    </row>
    <row r="73" ht="21.75" customHeight="1" s="182">
      <c r="A73" s="124" t="inlineStr">
        <is>
          <t>Argentina</t>
        </is>
      </c>
      <c r="B73" s="124" t="inlineStr">
        <is>
          <t>Universidades públicas</t>
        </is>
      </c>
      <c r="C73" s="124" t="inlineStr">
        <is>
          <t>Universidad Provincial</t>
        </is>
      </c>
      <c r="D73" s="124" t="inlineStr">
        <is>
          <t>Universidad de la Ciudad de Buenos Aires</t>
        </is>
      </c>
      <c r="E73" s="98" t="n"/>
      <c r="F73" s="124" t="inlineStr">
        <is>
          <t>Contacto general</t>
        </is>
      </c>
      <c r="G73" s="49" t="inlineStr">
        <is>
          <t>https://unicaba.edu.ar</t>
        </is>
      </c>
      <c r="H73" s="124" t="inlineStr">
        <is>
          <t>No disponible públicamente / Correspondencia Interna</t>
        </is>
      </c>
      <c r="I73" s="124" t="inlineStr">
        <is>
          <t xml:space="preserve">No disponible públicamente </t>
        </is>
      </c>
      <c r="J73" s="203" t="inlineStr">
        <is>
          <t>info@udelaciudad.edu.ar</t>
        </is>
      </c>
      <c r="K73" s="49" t="inlineStr">
        <is>
          <t>https://mapa.educacion.gob.ar/maps/mapa-navegable-de-las-universidades</t>
        </is>
      </c>
      <c r="L73" s="207" t="inlineStr">
        <is>
          <t>CORREGIDO</t>
        </is>
      </c>
      <c r="M73" s="86" t="n"/>
    </row>
    <row r="74" ht="15.75" customHeight="1" s="182">
      <c r="A74" s="203" t="inlineStr">
        <is>
          <t>Argentina</t>
        </is>
      </c>
      <c r="B74" s="203" t="inlineStr">
        <is>
          <t>Formación técnica pública</t>
        </is>
      </c>
      <c r="C74" s="203" t="inlineStr">
        <is>
          <t>Universidad tecnológica nacional</t>
        </is>
      </c>
      <c r="D74" s="203" t="inlineStr">
        <is>
          <t>Universidad Tecnológica Nacional (UTN) – Rectorado</t>
        </is>
      </c>
      <c r="E74" s="199" t="n"/>
      <c r="F74" s="203" t="inlineStr">
        <is>
          <t>Secretaría del Rector</t>
        </is>
      </c>
      <c r="G74" s="226" t="inlineStr">
        <is>
          <t>https://www.utn.edu.ar/</t>
        </is>
      </c>
      <c r="H74" s="203" t="inlineStr">
        <is>
          <t>Ruben Soro (Rector) / Haroldo Avetta (Vicerrector) 2025-2029</t>
        </is>
      </c>
      <c r="I74" s="203" t="inlineStr">
        <is>
          <t>+54 11 5371-5700</t>
        </is>
      </c>
      <c r="J74" s="203" t="inlineStr">
        <is>
          <t>privada@utn.edu.ar</t>
        </is>
      </c>
      <c r="K74" s="226" t="inlineStr">
        <is>
          <t>https://www.utn.edu.ar/es/servicios-tecnologicos/agenda-utn?dep=1&amp;sec=rector&amp;seccion=secretarias</t>
        </is>
      </c>
      <c r="L74" s="218" t="inlineStr">
        <is>
          <t>VERIFICAR</t>
        </is>
      </c>
      <c r="M74" s="197" t="inlineStr">
        <is>
          <t>Agregado auditoría 08-oct-2026. Correo de fuente institucional única; no reproducido en búsqueda independiente.</t>
        </is>
      </c>
    </row>
    <row r="75" ht="15.75" customHeight="1" s="182">
      <c r="A75" s="203" t="inlineStr">
        <is>
          <t>Argentina</t>
        </is>
      </c>
      <c r="B75" s="203" t="inlineStr">
        <is>
          <t>Formación técnica pública</t>
        </is>
      </c>
      <c r="C75" s="203" t="inlineStr">
        <is>
          <t>Organismo nacional de educación técnica</t>
        </is>
      </c>
      <c r="D75" s="203" t="inlineStr">
        <is>
          <t>Instituto Nacional de Educación Tecnológica (INET)</t>
        </is>
      </c>
      <c r="E75" s="199" t="n"/>
      <c r="F75" s="203" t="inlineStr">
        <is>
          <t>Asuntos Federales / Planeamiento</t>
        </is>
      </c>
      <c r="G75" s="226" t="inlineStr">
        <is>
          <t>https://www.inet.edu.ar/</t>
        </is>
      </c>
      <c r="H75" s="203" t="inlineStr">
        <is>
          <t>No disponible públicamente</t>
        </is>
      </c>
      <c r="I75" s="203" t="inlineStr">
        <is>
          <t>+54 11 4129-1000</t>
        </is>
      </c>
      <c r="J75" s="203" t="inlineStr">
        <is>
          <t>planeamiento.inet@gmail.com</t>
        </is>
      </c>
      <c r="K75" s="226" t="inlineStr">
        <is>
          <t>https://www.inet.edu.ar/index.php/asuntos-federales/funciones-y-contacto/</t>
        </is>
      </c>
      <c r="L75" s="218" t="inlineStr">
        <is>
          <t>VERIFICAR</t>
        </is>
      </c>
      <c r="M75" s="197" t="inlineStr">
        <is>
          <t>Agregado auditoría 08-oct-2026. Correo de fuente institucional única; no reproducido en búsqueda independiente. Email no institucional publicado en web oficial.</t>
        </is>
      </c>
    </row>
    <row r="76" ht="15.75" customHeight="1" s="182">
      <c r="A76" s="203" t="inlineStr">
        <is>
          <t>Argentina</t>
        </is>
      </c>
      <c r="B76" s="203" t="inlineStr">
        <is>
          <t>Organizaciones juveniles</t>
        </is>
      </c>
      <c r="C76" s="203" t="inlineStr">
        <is>
          <t>Organismo público de juventud</t>
        </is>
      </c>
      <c r="D76" s="203" t="inlineStr">
        <is>
          <t>Instituto Nacional de Juventudes (INJUVE)</t>
        </is>
      </c>
      <c r="E76" s="199" t="n"/>
      <c r="F76" s="203" t="inlineStr">
        <is>
          <t>Sede (Av. Julio A. Roca 710, 6° piso)</t>
        </is>
      </c>
      <c r="G76" s="226" t="inlineStr">
        <is>
          <t>https://www.argentina.gob.ar/capital-humano/instituto-nacional-de-juventud</t>
        </is>
      </c>
      <c r="H76" s="203" t="inlineStr">
        <is>
          <t>No disponible públicamente</t>
        </is>
      </c>
      <c r="I76" s="203" t="inlineStr">
        <is>
          <t>+54 11 3752-2081</t>
        </is>
      </c>
      <c r="J76" s="203" t="inlineStr">
        <is>
          <t>No disponible públicamente</t>
        </is>
      </c>
      <c r="K76" s="226" t="inlineStr">
        <is>
          <t>https://www.argentina.gob.ar/capital-humano/instituto-nacional-de-juventud</t>
        </is>
      </c>
      <c r="L76" s="218" t="inlineStr">
        <is>
          <t>VERIFICAR</t>
        </is>
      </c>
      <c r="M76" s="197" t="inlineStr">
        <is>
          <t>Agregado auditoría 08-oct-2026. Sin correo publicado en fuente oficial; contactar por teléfono/web. Email ofuscado en la fuente.</t>
        </is>
      </c>
    </row>
    <row r="77" ht="15.75" customHeight="1" s="182">
      <c r="A77" s="203" t="inlineStr">
        <is>
          <t>Argentina</t>
        </is>
      </c>
      <c r="B77" s="203" t="inlineStr">
        <is>
          <t>Organizaciones juveniles</t>
        </is>
      </c>
      <c r="C77" s="203" t="inlineStr">
        <is>
          <t>Movimiento juvenil (sociedad civil)</t>
        </is>
      </c>
      <c r="D77" s="203" t="inlineStr">
        <is>
          <t>Scouts de Argentina Asociación Civil</t>
        </is>
      </c>
      <c r="E77" s="199" t="n"/>
      <c r="F77" s="203" t="inlineStr">
        <is>
          <t>Oficina Nacional (Libertad 1282, CABA)</t>
        </is>
      </c>
      <c r="G77" s="226" t="inlineStr">
        <is>
          <t>https://scouts.org.ar/</t>
        </is>
      </c>
      <c r="H77" s="203" t="inlineStr">
        <is>
          <t>No disponible públicamente</t>
        </is>
      </c>
      <c r="I77" s="203" t="inlineStr">
        <is>
          <t>+54 11 4811-0185</t>
        </is>
      </c>
      <c r="J77" s="203" t="inlineStr">
        <is>
          <t>gestion@scouts.org.ar</t>
        </is>
      </c>
      <c r="K77" s="226" t="inlineStr">
        <is>
          <t>https://buenosaires.gob.ar/gcaba_historico/organizacion/scouts-de-argentina-asociacion-civil</t>
        </is>
      </c>
      <c r="L77" s="218" t="inlineStr">
        <is>
          <t>VERIFICAR</t>
        </is>
      </c>
      <c r="M77" s="197" t="inlineStr">
        <is>
          <t>Agregado auditoría 08-oct-2026. Correo de fuente institucional única; no reproducido en búsqueda independiente.</t>
        </is>
      </c>
    </row>
    <row r="78" ht="15.75" customHeight="1" s="182">
      <c r="A78" s="203" t="inlineStr">
        <is>
          <t>Argentina</t>
        </is>
      </c>
      <c r="B78" s="203" t="inlineStr">
        <is>
          <t>Asociaciones de seguridad social</t>
        </is>
      </c>
      <c r="C78" s="203" t="inlineStr">
        <is>
          <t>Seguridad social (entidad pública)</t>
        </is>
      </c>
      <c r="D78" s="203" t="inlineStr">
        <is>
          <t>Administración Nacional de la Seguridad Social (ANSES)</t>
        </is>
      </c>
      <c r="E78" s="199" t="n"/>
      <c r="F78" s="203" t="inlineStr">
        <is>
          <t>Atención Residentes en el Exterior</t>
        </is>
      </c>
      <c r="G78" s="226" t="inlineStr">
        <is>
          <t>https://www.anses.gob.ar/</t>
        </is>
      </c>
      <c r="H78" s="203" t="inlineStr">
        <is>
          <t>No disponible públicamente</t>
        </is>
      </c>
      <c r="I78" s="203" t="inlineStr">
        <is>
          <t>+54 11 4015-5825</t>
        </is>
      </c>
      <c r="J78" s="203" t="inlineStr">
        <is>
          <t>ResidentesExterior@anses.gob.ar</t>
        </is>
      </c>
      <c r="K78" s="226" t="inlineStr">
        <is>
          <t>https://esuec.cancilleria.gob.ar/es/datos-de-contacto-directo-anses-para-residentes-en-el-exterior</t>
        </is>
      </c>
      <c r="L78" s="218" t="inlineStr">
        <is>
          <t>VERIFICAR</t>
        </is>
      </c>
      <c r="M78" s="197" t="inlineStr">
        <is>
          <t>Agregado auditoría 08-oct-2026. Correo de fuente institucional única; no reproducido en búsqueda independiente. Único correo institucional publicado; canal no idóneo para invitaciones.</t>
        </is>
      </c>
    </row>
    <row r="79" ht="15.75" customHeight="1" s="182">
      <c r="A79" s="203" t="inlineStr">
        <is>
          <t>Argentina</t>
        </is>
      </c>
      <c r="B79" s="203" t="inlineStr">
        <is>
          <t>Escuelas de gobierno y administración pública</t>
        </is>
      </c>
      <c r="C79" s="203" t="inlineStr">
        <is>
          <t>Instituto nacional de administración pública</t>
        </is>
      </c>
      <c r="D79" s="203" t="inlineStr">
        <is>
          <t>Instituto Nacional de la Administración Pública (INAP)</t>
        </is>
      </c>
      <c r="E79" s="199" t="n"/>
      <c r="F79" s="203" t="inlineStr">
        <is>
          <t>Sede (Av. Roque Sáenz Peña 511, CABA)</t>
        </is>
      </c>
      <c r="G79" s="226" t="inlineStr">
        <is>
          <t>https://www.argentina.gob.ar/inap</t>
        </is>
      </c>
      <c r="H79" s="203" t="inlineStr">
        <is>
          <t>No disponible públicamente</t>
        </is>
      </c>
      <c r="I79" s="203" t="inlineStr">
        <is>
          <t>+54 11 6065-2310</t>
        </is>
      </c>
      <c r="J79" s="203" t="inlineStr">
        <is>
          <t>No disponible públicamente</t>
        </is>
      </c>
      <c r="K79" s="226" t="inlineStr">
        <is>
          <t>https://publicaciones.inap.gob.ar/index.php/REC/about/contact</t>
        </is>
      </c>
      <c r="L79" s="218" t="inlineStr">
        <is>
          <t>VERIFICAR</t>
        </is>
      </c>
      <c r="M79" s="197" t="inlineStr">
        <is>
          <t>Agregado auditoría 08-oct-2026. Sin correo publicado en fuente oficial; contactar por teléfono/web. Email ofuscado en la fuente.</t>
        </is>
      </c>
    </row>
    <row r="80" ht="15.75" customHeight="1" s="182">
      <c r="A80" s="227" t="inlineStr">
        <is>
          <t>Argentina</t>
        </is>
      </c>
      <c r="B80" s="227" t="inlineStr">
        <is>
          <t>Sindicatos y confederaciones de trabajadores</t>
        </is>
      </c>
      <c r="C80" s="227" t="inlineStr">
        <is>
          <t>Central sindical</t>
        </is>
      </c>
      <c r="D80" s="227" t="inlineStr">
        <is>
          <t>Confederación General del Trabajo (CGT)</t>
        </is>
      </c>
      <c r="E80" s="227" t="n"/>
      <c r="F80" s="227" t="inlineStr">
        <is>
          <t>Sede (Azopardo 802, CABA)</t>
        </is>
      </c>
      <c r="G80" s="227" t="inlineStr">
        <is>
          <t>https://cgtoficial.org/</t>
        </is>
      </c>
      <c r="H80" s="227" t="inlineStr">
        <is>
          <t>No disponible públicamente</t>
        </is>
      </c>
      <c r="I80" s="227" t="inlineStr">
        <is>
          <t>No disponible públicamente</t>
        </is>
      </c>
      <c r="J80" s="227" t="inlineStr">
        <is>
          <t>No disponible públicamente</t>
        </is>
      </c>
      <c r="K80" s="227" t="inlineStr">
        <is>
          <t>https://cgtoficial.org/sobre-nosotros/autoridades/</t>
        </is>
      </c>
      <c r="L80" s="227" t="inlineStr">
        <is>
          <t>VERIFICAR</t>
        </is>
      </c>
      <c r="M80" s="227" t="inlineStr">
        <is>
          <t>Agregado auditoría 08-oct-2026. Sin correo publicado en fuente oficial; contactar por teléfono/web. Sin email publicado.</t>
        </is>
      </c>
    </row>
    <row r="81" ht="15.75" customHeight="1" s="182">
      <c r="A81" s="227" t="inlineStr">
        <is>
          <t>Argentina</t>
        </is>
      </c>
      <c r="B81" s="227" t="inlineStr">
        <is>
          <t>Sindicatos y confederaciones de trabajadores</t>
        </is>
      </c>
      <c r="C81" s="227" t="inlineStr">
        <is>
          <t>Central sindical</t>
        </is>
      </c>
      <c r="D81" s="227" t="inlineStr">
        <is>
          <t>Central de Trabajadores y Trabajadoras de la Argentina (CTA-T)</t>
        </is>
      </c>
      <c r="E81" s="227" t="n"/>
      <c r="F81" s="227" t="inlineStr">
        <is>
          <t>Sede (Piedras 1065, CABA)</t>
        </is>
      </c>
      <c r="G81" s="227" t="inlineStr">
        <is>
          <t>https://cta.org.ar/</t>
        </is>
      </c>
      <c r="H81" s="227" t="inlineStr">
        <is>
          <t>No disponible públicamente</t>
        </is>
      </c>
      <c r="I81" s="227" t="inlineStr">
        <is>
          <t>+54 11 4307-3829</t>
        </is>
      </c>
      <c r="J81" s="227" t="inlineStr">
        <is>
          <t>No disponible públicamente</t>
        </is>
      </c>
      <c r="K81" s="227" t="inlineStr">
        <is>
          <t>https://cta.org.ar/</t>
        </is>
      </c>
      <c r="L81" s="227" t="inlineStr">
        <is>
          <t>VERIFICAR</t>
        </is>
      </c>
      <c r="M81" s="227" t="inlineStr">
        <is>
          <t>Agregado auditoría 08-oct-2026. Sin correo publicado en fuente oficial; contactar por teléfono/web. Formulario web.</t>
        </is>
      </c>
    </row>
    <row r="82" ht="15.75" customHeight="1" s="182">
      <c r="A82" s="227" t="inlineStr">
        <is>
          <t>Argentina</t>
        </is>
      </c>
      <c r="B82" s="227" t="inlineStr">
        <is>
          <t>Sindicatos y confederaciones de trabajadores</t>
        </is>
      </c>
      <c r="C82" s="227" t="inlineStr">
        <is>
          <t>Central sindical</t>
        </is>
      </c>
      <c r="D82" s="227" t="inlineStr">
        <is>
          <t>Central de Trabajadores de la Argentina Autónoma (CTA-A)</t>
        </is>
      </c>
      <c r="E82" s="227" t="n"/>
      <c r="F82" s="227" t="inlineStr">
        <is>
          <t>Sede (Bartolomé Mitre 748, CABA)</t>
        </is>
      </c>
      <c r="G82" s="227" t="inlineStr">
        <is>
          <t>https://ctaa.org.ar/</t>
        </is>
      </c>
      <c r="H82" s="227" t="inlineStr">
        <is>
          <t>No disponible públicamente</t>
        </is>
      </c>
      <c r="I82" s="227" t="inlineStr">
        <is>
          <t>No disponible públicamente</t>
        </is>
      </c>
      <c r="J82" s="227" t="inlineStr">
        <is>
          <t>info@ctaa.org.ar</t>
        </is>
      </c>
      <c r="K82" s="227" t="inlineStr">
        <is>
          <t>https://ctaa.org.ar/</t>
        </is>
      </c>
      <c r="L82" s="227" t="inlineStr">
        <is>
          <t>VERIFICAR</t>
        </is>
      </c>
      <c r="M82" s="227" t="inlineStr">
        <is>
          <t>Agregado auditoría 08-oct-2026. Correo de fuente institucional única; no reproducido en búsqueda independiente.</t>
        </is>
      </c>
    </row>
    <row r="83" ht="15.75" customHeight="1" s="182"/>
    <row r="84" ht="15.75" customHeight="1" s="182"/>
    <row r="85" ht="15.75" customHeight="1" s="182"/>
    <row r="86" ht="15.75" customHeight="1" s="182"/>
    <row r="87" ht="15.75" customHeight="1" s="182"/>
    <row r="88" ht="15.75" customHeight="1" s="182"/>
    <row r="89" ht="15.75" customHeight="1" s="182"/>
    <row r="90" ht="15.75" customHeight="1" s="182"/>
    <row r="91" ht="15.75" customHeight="1" s="182"/>
    <row r="92" ht="15.75" customHeight="1" s="182"/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</sheetData>
  <autoFilter ref="$A$1:$M$79"/>
  <dataValidations count="1">
    <dataValidation sqref="E2:E79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K3" r:id="rId4"/>
    <hyperlink xmlns:r="http://schemas.openxmlformats.org/officeDocument/2006/relationships" ref="G4" r:id="rId5"/>
    <hyperlink xmlns:r="http://schemas.openxmlformats.org/officeDocument/2006/relationships" ref="K4" r:id="rId6"/>
    <hyperlink xmlns:r="http://schemas.openxmlformats.org/officeDocument/2006/relationships" ref="G5" r:id="rId7"/>
    <hyperlink xmlns:r="http://schemas.openxmlformats.org/officeDocument/2006/relationships" ref="J5" r:id="rId8"/>
    <hyperlink xmlns:r="http://schemas.openxmlformats.org/officeDocument/2006/relationships" ref="K5" r:id="rId9"/>
    <hyperlink xmlns:r="http://schemas.openxmlformats.org/officeDocument/2006/relationships" ref="G6" r:id="rId10"/>
    <hyperlink xmlns:r="http://schemas.openxmlformats.org/officeDocument/2006/relationships" ref="K6" r:id="rId11"/>
    <hyperlink xmlns:r="http://schemas.openxmlformats.org/officeDocument/2006/relationships" ref="G7" r:id="rId12"/>
    <hyperlink xmlns:r="http://schemas.openxmlformats.org/officeDocument/2006/relationships" ref="K7" r:id="rId13"/>
    <hyperlink xmlns:r="http://schemas.openxmlformats.org/officeDocument/2006/relationships" ref="G8" r:id="rId14"/>
    <hyperlink xmlns:r="http://schemas.openxmlformats.org/officeDocument/2006/relationships" ref="K8" r:id="rId15"/>
    <hyperlink xmlns:r="http://schemas.openxmlformats.org/officeDocument/2006/relationships" ref="G9" r:id="rId16"/>
    <hyperlink xmlns:r="http://schemas.openxmlformats.org/officeDocument/2006/relationships" ref="K9" r:id="rId17"/>
    <hyperlink xmlns:r="http://schemas.openxmlformats.org/officeDocument/2006/relationships" ref="G10" r:id="rId18"/>
    <hyperlink xmlns:r="http://schemas.openxmlformats.org/officeDocument/2006/relationships" ref="K10" r:id="rId19"/>
    <hyperlink xmlns:r="http://schemas.openxmlformats.org/officeDocument/2006/relationships" ref="G11" r:id="rId20"/>
    <hyperlink xmlns:r="http://schemas.openxmlformats.org/officeDocument/2006/relationships" ref="K11" r:id="rId21"/>
    <hyperlink xmlns:r="http://schemas.openxmlformats.org/officeDocument/2006/relationships" ref="G12" r:id="rId22"/>
    <hyperlink xmlns:r="http://schemas.openxmlformats.org/officeDocument/2006/relationships" ref="K12" r:id="rId23"/>
    <hyperlink xmlns:r="http://schemas.openxmlformats.org/officeDocument/2006/relationships" ref="G13" r:id="rId24"/>
    <hyperlink xmlns:r="http://schemas.openxmlformats.org/officeDocument/2006/relationships" ref="K13" r:id="rId25"/>
    <hyperlink xmlns:r="http://schemas.openxmlformats.org/officeDocument/2006/relationships" ref="G14" r:id="rId26"/>
    <hyperlink xmlns:r="http://schemas.openxmlformats.org/officeDocument/2006/relationships" ref="K14" r:id="rId27"/>
    <hyperlink xmlns:r="http://schemas.openxmlformats.org/officeDocument/2006/relationships" ref="G15" r:id="rId28"/>
    <hyperlink xmlns:r="http://schemas.openxmlformats.org/officeDocument/2006/relationships" ref="K15" r:id="rId29"/>
    <hyperlink xmlns:r="http://schemas.openxmlformats.org/officeDocument/2006/relationships" ref="G16" r:id="rId30"/>
    <hyperlink xmlns:r="http://schemas.openxmlformats.org/officeDocument/2006/relationships" ref="K16" r:id="rId31"/>
    <hyperlink xmlns:r="http://schemas.openxmlformats.org/officeDocument/2006/relationships" ref="G17" r:id="rId32"/>
    <hyperlink xmlns:r="http://schemas.openxmlformats.org/officeDocument/2006/relationships" ref="K17" r:id="rId33"/>
    <hyperlink xmlns:r="http://schemas.openxmlformats.org/officeDocument/2006/relationships" ref="G18" r:id="rId34"/>
    <hyperlink xmlns:r="http://schemas.openxmlformats.org/officeDocument/2006/relationships" ref="K18" r:id="rId35"/>
    <hyperlink xmlns:r="http://schemas.openxmlformats.org/officeDocument/2006/relationships" ref="G19" r:id="rId36"/>
    <hyperlink xmlns:r="http://schemas.openxmlformats.org/officeDocument/2006/relationships" ref="K19" r:id="rId37"/>
    <hyperlink xmlns:r="http://schemas.openxmlformats.org/officeDocument/2006/relationships" ref="G20" r:id="rId38"/>
    <hyperlink xmlns:r="http://schemas.openxmlformats.org/officeDocument/2006/relationships" ref="K20" r:id="rId39"/>
    <hyperlink xmlns:r="http://schemas.openxmlformats.org/officeDocument/2006/relationships" ref="G21" r:id="rId40"/>
    <hyperlink xmlns:r="http://schemas.openxmlformats.org/officeDocument/2006/relationships" ref="K21" r:id="rId41"/>
    <hyperlink xmlns:r="http://schemas.openxmlformats.org/officeDocument/2006/relationships" ref="G22" r:id="rId42"/>
    <hyperlink xmlns:r="http://schemas.openxmlformats.org/officeDocument/2006/relationships" ref="K22" r:id="rId43"/>
    <hyperlink xmlns:r="http://schemas.openxmlformats.org/officeDocument/2006/relationships" ref="G23" r:id="rId44"/>
    <hyperlink xmlns:r="http://schemas.openxmlformats.org/officeDocument/2006/relationships" ref="J23" r:id="rId45"/>
    <hyperlink xmlns:r="http://schemas.openxmlformats.org/officeDocument/2006/relationships" ref="K23" r:id="rId46"/>
    <hyperlink xmlns:r="http://schemas.openxmlformats.org/officeDocument/2006/relationships" ref="G24" r:id="rId47"/>
    <hyperlink xmlns:r="http://schemas.openxmlformats.org/officeDocument/2006/relationships" ref="K24" r:id="rId48"/>
    <hyperlink xmlns:r="http://schemas.openxmlformats.org/officeDocument/2006/relationships" ref="G25" r:id="rId49"/>
    <hyperlink xmlns:r="http://schemas.openxmlformats.org/officeDocument/2006/relationships" ref="K25" r:id="rId50"/>
    <hyperlink xmlns:r="http://schemas.openxmlformats.org/officeDocument/2006/relationships" ref="G26" r:id="rId51"/>
    <hyperlink xmlns:r="http://schemas.openxmlformats.org/officeDocument/2006/relationships" ref="K26" r:id="rId52"/>
    <hyperlink xmlns:r="http://schemas.openxmlformats.org/officeDocument/2006/relationships" ref="G27" r:id="rId53"/>
    <hyperlink xmlns:r="http://schemas.openxmlformats.org/officeDocument/2006/relationships" ref="K27" r:id="rId54"/>
    <hyperlink xmlns:r="http://schemas.openxmlformats.org/officeDocument/2006/relationships" ref="G28" r:id="rId55"/>
    <hyperlink xmlns:r="http://schemas.openxmlformats.org/officeDocument/2006/relationships" ref="K28" r:id="rId56"/>
    <hyperlink xmlns:r="http://schemas.openxmlformats.org/officeDocument/2006/relationships" ref="G29" r:id="rId57"/>
    <hyperlink xmlns:r="http://schemas.openxmlformats.org/officeDocument/2006/relationships" ref="K29" r:id="rId58"/>
    <hyperlink xmlns:r="http://schemas.openxmlformats.org/officeDocument/2006/relationships" ref="G30" r:id="rId59"/>
    <hyperlink xmlns:r="http://schemas.openxmlformats.org/officeDocument/2006/relationships" ref="K30" r:id="rId60"/>
    <hyperlink xmlns:r="http://schemas.openxmlformats.org/officeDocument/2006/relationships" ref="G31" r:id="rId61"/>
    <hyperlink xmlns:r="http://schemas.openxmlformats.org/officeDocument/2006/relationships" ref="K31" r:id="rId62"/>
    <hyperlink xmlns:r="http://schemas.openxmlformats.org/officeDocument/2006/relationships" ref="G32" r:id="rId63"/>
    <hyperlink xmlns:r="http://schemas.openxmlformats.org/officeDocument/2006/relationships" ref="K32" r:id="rId64"/>
    <hyperlink xmlns:r="http://schemas.openxmlformats.org/officeDocument/2006/relationships" ref="G33" r:id="rId65"/>
    <hyperlink xmlns:r="http://schemas.openxmlformats.org/officeDocument/2006/relationships" ref="K33" r:id="rId66"/>
    <hyperlink xmlns:r="http://schemas.openxmlformats.org/officeDocument/2006/relationships" ref="G34" r:id="rId67"/>
    <hyperlink xmlns:r="http://schemas.openxmlformats.org/officeDocument/2006/relationships" ref="K34" r:id="rId68"/>
    <hyperlink xmlns:r="http://schemas.openxmlformats.org/officeDocument/2006/relationships" ref="G35" r:id="rId69"/>
    <hyperlink xmlns:r="http://schemas.openxmlformats.org/officeDocument/2006/relationships" ref="K35" r:id="rId70"/>
    <hyperlink xmlns:r="http://schemas.openxmlformats.org/officeDocument/2006/relationships" ref="G36" r:id="rId71"/>
    <hyperlink xmlns:r="http://schemas.openxmlformats.org/officeDocument/2006/relationships" ref="K36" r:id="rId72"/>
    <hyperlink xmlns:r="http://schemas.openxmlformats.org/officeDocument/2006/relationships" ref="G37" r:id="rId73"/>
    <hyperlink xmlns:r="http://schemas.openxmlformats.org/officeDocument/2006/relationships" ref="K37" r:id="rId74"/>
    <hyperlink xmlns:r="http://schemas.openxmlformats.org/officeDocument/2006/relationships" ref="G38" r:id="rId75"/>
    <hyperlink xmlns:r="http://schemas.openxmlformats.org/officeDocument/2006/relationships" ref="K38" r:id="rId76"/>
    <hyperlink xmlns:r="http://schemas.openxmlformats.org/officeDocument/2006/relationships" ref="G39" r:id="rId77"/>
    <hyperlink xmlns:r="http://schemas.openxmlformats.org/officeDocument/2006/relationships" ref="K39" r:id="rId78"/>
    <hyperlink xmlns:r="http://schemas.openxmlformats.org/officeDocument/2006/relationships" ref="G40" r:id="rId79"/>
    <hyperlink xmlns:r="http://schemas.openxmlformats.org/officeDocument/2006/relationships" ref="K40" r:id="rId80"/>
    <hyperlink xmlns:r="http://schemas.openxmlformats.org/officeDocument/2006/relationships" ref="G41" r:id="rId81"/>
    <hyperlink xmlns:r="http://schemas.openxmlformats.org/officeDocument/2006/relationships" ref="K41" r:id="rId82"/>
    <hyperlink xmlns:r="http://schemas.openxmlformats.org/officeDocument/2006/relationships" ref="G42" r:id="rId83"/>
    <hyperlink xmlns:r="http://schemas.openxmlformats.org/officeDocument/2006/relationships" ref="K42" r:id="rId84"/>
    <hyperlink xmlns:r="http://schemas.openxmlformats.org/officeDocument/2006/relationships" ref="G43" r:id="rId85"/>
    <hyperlink xmlns:r="http://schemas.openxmlformats.org/officeDocument/2006/relationships" ref="K43" r:id="rId86"/>
    <hyperlink xmlns:r="http://schemas.openxmlformats.org/officeDocument/2006/relationships" ref="G44" r:id="rId87"/>
    <hyperlink xmlns:r="http://schemas.openxmlformats.org/officeDocument/2006/relationships" ref="K44" r:id="rId88"/>
    <hyperlink xmlns:r="http://schemas.openxmlformats.org/officeDocument/2006/relationships" ref="G45" r:id="rId89"/>
    <hyperlink xmlns:r="http://schemas.openxmlformats.org/officeDocument/2006/relationships" ref="K45" r:id="rId90"/>
    <hyperlink xmlns:r="http://schemas.openxmlformats.org/officeDocument/2006/relationships" ref="G46" r:id="rId91"/>
    <hyperlink xmlns:r="http://schemas.openxmlformats.org/officeDocument/2006/relationships" ref="K46" r:id="rId92"/>
    <hyperlink xmlns:r="http://schemas.openxmlformats.org/officeDocument/2006/relationships" ref="G47" r:id="rId93"/>
    <hyperlink xmlns:r="http://schemas.openxmlformats.org/officeDocument/2006/relationships" ref="K47" r:id="rId94"/>
    <hyperlink xmlns:r="http://schemas.openxmlformats.org/officeDocument/2006/relationships" ref="G48" r:id="rId95"/>
    <hyperlink xmlns:r="http://schemas.openxmlformats.org/officeDocument/2006/relationships" ref="K48" r:id="rId96"/>
    <hyperlink xmlns:r="http://schemas.openxmlformats.org/officeDocument/2006/relationships" ref="G49" r:id="rId97"/>
    <hyperlink xmlns:r="http://schemas.openxmlformats.org/officeDocument/2006/relationships" ref="K49" r:id="rId98"/>
    <hyperlink xmlns:r="http://schemas.openxmlformats.org/officeDocument/2006/relationships" ref="G50" r:id="rId99"/>
    <hyperlink xmlns:r="http://schemas.openxmlformats.org/officeDocument/2006/relationships" ref="K50" r:id="rId100"/>
    <hyperlink xmlns:r="http://schemas.openxmlformats.org/officeDocument/2006/relationships" ref="G51" r:id="rId101"/>
    <hyperlink xmlns:r="http://schemas.openxmlformats.org/officeDocument/2006/relationships" ref="K51" r:id="rId102"/>
    <hyperlink xmlns:r="http://schemas.openxmlformats.org/officeDocument/2006/relationships" ref="G52" r:id="rId103"/>
    <hyperlink xmlns:r="http://schemas.openxmlformats.org/officeDocument/2006/relationships" ref="K52" r:id="rId104"/>
    <hyperlink xmlns:r="http://schemas.openxmlformats.org/officeDocument/2006/relationships" ref="G53" r:id="rId105"/>
    <hyperlink xmlns:r="http://schemas.openxmlformats.org/officeDocument/2006/relationships" ref="K53" r:id="rId106"/>
    <hyperlink xmlns:r="http://schemas.openxmlformats.org/officeDocument/2006/relationships" ref="G54" r:id="rId107"/>
    <hyperlink xmlns:r="http://schemas.openxmlformats.org/officeDocument/2006/relationships" ref="K54" r:id="rId108"/>
    <hyperlink xmlns:r="http://schemas.openxmlformats.org/officeDocument/2006/relationships" ref="G55" r:id="rId109"/>
    <hyperlink xmlns:r="http://schemas.openxmlformats.org/officeDocument/2006/relationships" ref="K55" r:id="rId110"/>
    <hyperlink xmlns:r="http://schemas.openxmlformats.org/officeDocument/2006/relationships" ref="G56" r:id="rId111"/>
    <hyperlink xmlns:r="http://schemas.openxmlformats.org/officeDocument/2006/relationships" ref="K56" r:id="rId112"/>
    <hyperlink xmlns:r="http://schemas.openxmlformats.org/officeDocument/2006/relationships" ref="G57" r:id="rId113"/>
    <hyperlink xmlns:r="http://schemas.openxmlformats.org/officeDocument/2006/relationships" ref="K57" r:id="rId114"/>
    <hyperlink xmlns:r="http://schemas.openxmlformats.org/officeDocument/2006/relationships" ref="G58" r:id="rId115"/>
    <hyperlink xmlns:r="http://schemas.openxmlformats.org/officeDocument/2006/relationships" ref="K58" r:id="rId116"/>
    <hyperlink xmlns:r="http://schemas.openxmlformats.org/officeDocument/2006/relationships" ref="G59" r:id="rId117"/>
    <hyperlink xmlns:r="http://schemas.openxmlformats.org/officeDocument/2006/relationships" ref="K59" r:id="rId118"/>
    <hyperlink xmlns:r="http://schemas.openxmlformats.org/officeDocument/2006/relationships" ref="G60" r:id="rId119"/>
    <hyperlink xmlns:r="http://schemas.openxmlformats.org/officeDocument/2006/relationships" ref="K60" r:id="rId120"/>
    <hyperlink xmlns:r="http://schemas.openxmlformats.org/officeDocument/2006/relationships" ref="G61" r:id="rId121"/>
    <hyperlink xmlns:r="http://schemas.openxmlformats.org/officeDocument/2006/relationships" ref="K61" r:id="rId122"/>
    <hyperlink xmlns:r="http://schemas.openxmlformats.org/officeDocument/2006/relationships" ref="G62" r:id="rId123"/>
    <hyperlink xmlns:r="http://schemas.openxmlformats.org/officeDocument/2006/relationships" ref="K62" r:id="rId124"/>
    <hyperlink xmlns:r="http://schemas.openxmlformats.org/officeDocument/2006/relationships" ref="K63" r:id="rId125"/>
    <hyperlink xmlns:r="http://schemas.openxmlformats.org/officeDocument/2006/relationships" ref="G64" r:id="rId126"/>
    <hyperlink xmlns:r="http://schemas.openxmlformats.org/officeDocument/2006/relationships" ref="K64" r:id="rId127"/>
    <hyperlink xmlns:r="http://schemas.openxmlformats.org/officeDocument/2006/relationships" ref="G65" r:id="rId128"/>
    <hyperlink xmlns:r="http://schemas.openxmlformats.org/officeDocument/2006/relationships" ref="K65" r:id="rId129"/>
    <hyperlink xmlns:r="http://schemas.openxmlformats.org/officeDocument/2006/relationships" ref="G66" r:id="rId130"/>
    <hyperlink xmlns:r="http://schemas.openxmlformats.org/officeDocument/2006/relationships" ref="K66" r:id="rId131"/>
    <hyperlink xmlns:r="http://schemas.openxmlformats.org/officeDocument/2006/relationships" ref="G67" r:id="rId132"/>
    <hyperlink xmlns:r="http://schemas.openxmlformats.org/officeDocument/2006/relationships" ref="K67" r:id="rId133"/>
    <hyperlink xmlns:r="http://schemas.openxmlformats.org/officeDocument/2006/relationships" ref="G68" r:id="rId134"/>
    <hyperlink xmlns:r="http://schemas.openxmlformats.org/officeDocument/2006/relationships" ref="K68" r:id="rId135"/>
    <hyperlink xmlns:r="http://schemas.openxmlformats.org/officeDocument/2006/relationships" ref="G69" r:id="rId136"/>
    <hyperlink xmlns:r="http://schemas.openxmlformats.org/officeDocument/2006/relationships" ref="K69" r:id="rId137"/>
    <hyperlink xmlns:r="http://schemas.openxmlformats.org/officeDocument/2006/relationships" ref="G70" r:id="rId138"/>
    <hyperlink xmlns:r="http://schemas.openxmlformats.org/officeDocument/2006/relationships" ref="K70" r:id="rId139"/>
    <hyperlink xmlns:r="http://schemas.openxmlformats.org/officeDocument/2006/relationships" ref="G71" r:id="rId140"/>
    <hyperlink xmlns:r="http://schemas.openxmlformats.org/officeDocument/2006/relationships" ref="K71" r:id="rId141"/>
    <hyperlink xmlns:r="http://schemas.openxmlformats.org/officeDocument/2006/relationships" ref="G72" r:id="rId142"/>
    <hyperlink xmlns:r="http://schemas.openxmlformats.org/officeDocument/2006/relationships" ref="K72" r:id="rId143"/>
    <hyperlink xmlns:r="http://schemas.openxmlformats.org/officeDocument/2006/relationships" ref="G73" r:id="rId144"/>
    <hyperlink xmlns:r="http://schemas.openxmlformats.org/officeDocument/2006/relationships" ref="K73" r:id="rId145"/>
  </hyperlinks>
  <pageMargins left="0.75" right="0.75" top="1" bottom="1" header="0" footer="0"/>
  <pageSetup orientation="landscape"/>
  <tableParts count="1">
    <tablePart xmlns:r="http://schemas.openxmlformats.org/officeDocument/2006/relationships" r:id="rId146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.43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127" t="inlineStr">
        <is>
          <t>País</t>
        </is>
      </c>
      <c r="B1" s="127" t="inlineStr">
        <is>
          <t>Categoría</t>
        </is>
      </c>
      <c r="C1" s="127" t="inlineStr">
        <is>
          <t>Sub categoría</t>
        </is>
      </c>
      <c r="D1" s="127" t="inlineStr">
        <is>
          <t>Nombre de la institución</t>
        </is>
      </c>
      <c r="E1" s="9" t="inlineStr">
        <is>
          <t>Visación Dirección del programa</t>
        </is>
      </c>
      <c r="F1" s="127" t="inlineStr">
        <is>
          <t>Unidad de contacto</t>
        </is>
      </c>
      <c r="G1" s="127" t="inlineStr">
        <is>
          <t>Página web</t>
        </is>
      </c>
      <c r="H1" s="127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 ht="30" customHeight="1" s="182">
      <c r="A2" s="124" t="inlineStr">
        <is>
          <t>Colombia</t>
        </is>
      </c>
      <c r="B2" s="124" t="inlineStr">
        <is>
          <t>Universidades públicas</t>
        </is>
      </c>
      <c r="C2" s="124" t="inlineStr">
        <is>
          <t>Universidad Oficial del Orden Nacional</t>
        </is>
      </c>
      <c r="D2" s="124" t="inlineStr">
        <is>
          <t>Universidad Nacional de Colombia</t>
        </is>
      </c>
      <c r="E2" s="73" t="n"/>
      <c r="F2" s="124" t="inlineStr">
        <is>
          <t>Oficina de Admisiones / Atención al Ciudadano</t>
        </is>
      </c>
      <c r="G2" s="76" t="inlineStr">
        <is>
          <t>https://unal.edu.co</t>
        </is>
      </c>
      <c r="H2" s="124" t="inlineStr">
        <is>
          <t>no disponible públicamente</t>
        </is>
      </c>
      <c r="I2" s="129" t="inlineStr">
        <is>
          <t>(+57) 601 4068888 - (+57) 601 3165000</t>
        </is>
      </c>
      <c r="J2" s="124" t="inlineStr">
        <is>
          <t>contacto@unal.edu.co</t>
        </is>
      </c>
      <c r="K2" s="76" t="inlineStr">
        <is>
          <t>https://unal.edu.co/atencion-al-ciudadano/</t>
        </is>
      </c>
      <c r="L2" s="51" t="inlineStr">
        <is>
          <t>CONFIRMADO</t>
        </is>
      </c>
      <c r="M2" s="136" t="n"/>
    </row>
    <row r="3" ht="30" customHeight="1" s="182">
      <c r="A3" s="124" t="inlineStr">
        <is>
          <t>Colombia</t>
        </is>
      </c>
      <c r="B3" s="124" t="inlineStr">
        <is>
          <t>Universidades públicas</t>
        </is>
      </c>
      <c r="C3" s="124" t="inlineStr">
        <is>
          <t>Universidad Oficial del Orden Departamental</t>
        </is>
      </c>
      <c r="D3" s="124" t="inlineStr">
        <is>
          <t>Universidad de Antioquia</t>
        </is>
      </c>
      <c r="E3" s="73" t="n"/>
      <c r="F3" s="124" t="inlineStr">
        <is>
          <t>Atención al Ciudadano / Admisiones</t>
        </is>
      </c>
      <c r="G3" s="76" t="inlineStr">
        <is>
          <t>https://www.udea.edu.co</t>
        </is>
      </c>
      <c r="H3" s="124" t="inlineStr">
        <is>
          <t>no disponible públicamente</t>
        </is>
      </c>
      <c r="I3" s="129" t="inlineStr">
        <is>
          <t>57 604 2198332</t>
        </is>
      </c>
      <c r="J3" s="124" t="inlineStr">
        <is>
          <t>atencionciudadano@udea.edu.co</t>
        </is>
      </c>
      <c r="K3" s="76" t="inlineStr">
        <is>
          <t>https://www.udea.edu.co/wps/portal/udea/web/inicio/atencion-ciudadano</t>
        </is>
      </c>
      <c r="L3" s="51" t="inlineStr">
        <is>
          <t>CONFIRMADO</t>
        </is>
      </c>
      <c r="M3" s="136" t="n"/>
    </row>
    <row r="4" ht="30" customHeight="1" s="182">
      <c r="A4" s="124" t="inlineStr">
        <is>
          <t>Colombia</t>
        </is>
      </c>
      <c r="B4" s="124" t="inlineStr">
        <is>
          <t>Universidades públicas</t>
        </is>
      </c>
      <c r="C4" s="124" t="inlineStr">
        <is>
          <t>Universidad Oficial del Orden Departamental</t>
        </is>
      </c>
      <c r="D4" s="124" t="inlineStr">
        <is>
          <t>Universidad del Valle</t>
        </is>
      </c>
      <c r="E4" s="73" t="n"/>
      <c r="F4" s="124" t="inlineStr">
        <is>
          <t>Atencion y Servicio al Ciudadano</t>
        </is>
      </c>
      <c r="G4" s="76" t="inlineStr">
        <is>
          <t>https://www.univalle.edu.co</t>
        </is>
      </c>
      <c r="H4" s="124" t="inlineStr">
        <is>
          <t xml:space="preserve">Orfa Elena Bonilla Choconta  </t>
        </is>
      </c>
      <c r="I4" s="129" t="inlineStr">
        <is>
          <t>57 602 3212100 - 3212100 opción 6</t>
        </is>
      </c>
      <c r="J4" s="124" t="inlineStr">
        <is>
          <t>atencionalciudadano@correounivalle.edu.co</t>
        </is>
      </c>
      <c r="K4" s="76" t="inlineStr">
        <is>
          <t>https://www.univalle.edu.co/atencion-al-ciudadano</t>
        </is>
      </c>
      <c r="L4" s="51" t="inlineStr">
        <is>
          <t>CONFIRMADO</t>
        </is>
      </c>
      <c r="M4" s="136" t="n"/>
    </row>
    <row r="5" ht="30" customHeight="1" s="182">
      <c r="A5" s="124" t="inlineStr">
        <is>
          <t>Colombia</t>
        </is>
      </c>
      <c r="B5" s="124" t="inlineStr">
        <is>
          <t>Universidades públicas</t>
        </is>
      </c>
      <c r="C5" s="124" t="inlineStr">
        <is>
          <t>Universidad Oficial del Orden Departamental</t>
        </is>
      </c>
      <c r="D5" s="124" t="inlineStr">
        <is>
          <t>Universidad Industrial de Santander</t>
        </is>
      </c>
      <c r="E5" s="73" t="n"/>
      <c r="F5" s="124" t="inlineStr">
        <is>
          <t>Vicerectoria de Investigacion y Extensión</t>
        </is>
      </c>
      <c r="G5" s="76" t="inlineStr">
        <is>
          <t>https://www.uis.edu.co</t>
        </is>
      </c>
      <c r="H5" s="124" t="inlineStr">
        <is>
          <t>Cristian Blanco Tirado</t>
        </is>
      </c>
      <c r="I5" s="129" t="inlineStr">
        <is>
          <t>57 607 6344000</t>
        </is>
      </c>
      <c r="J5" s="124" t="inlineStr">
        <is>
          <t>atencionalciudadano@uis.edu.co - cblancot@uis.edu.co</t>
        </is>
      </c>
      <c r="K5" s="76" t="inlineStr">
        <is>
          <t>https://uis.edu.co/atencion-al-ciudadano/</t>
        </is>
      </c>
      <c r="L5" s="132" t="inlineStr">
        <is>
          <t>CORREGIDO</t>
        </is>
      </c>
      <c r="M5" s="136" t="n"/>
    </row>
    <row r="6" ht="30" customHeight="1" s="182">
      <c r="A6" s="124" t="inlineStr">
        <is>
          <t>Colombia</t>
        </is>
      </c>
      <c r="B6" s="124" t="inlineStr">
        <is>
          <t>Universidades públicas</t>
        </is>
      </c>
      <c r="C6" s="124" t="inlineStr">
        <is>
          <t>Universidad Oficial del Orden Nacional</t>
        </is>
      </c>
      <c r="D6" s="124" t="inlineStr">
        <is>
          <t>Universidad Pedagógica y Tecnológica de Colombia</t>
        </is>
      </c>
      <c r="E6" s="73" t="n"/>
      <c r="F6" s="124" t="inlineStr">
        <is>
          <t>Rectoria - Secretaria General</t>
        </is>
      </c>
      <c r="G6" s="76" t="inlineStr">
        <is>
          <t>https://www.uptc.edu.co</t>
        </is>
      </c>
      <c r="H6" s="124" t="inlineStr">
        <is>
          <t xml:space="preserve">Ana Cecilia Torres Calero
</t>
        </is>
      </c>
      <c r="I6" s="129" t="inlineStr">
        <is>
          <t xml:space="preserve">57 608 7405626 - (+57) 7409539 </t>
        </is>
      </c>
      <c r="J6" s="124" t="inlineStr">
        <is>
          <t>secretaria.general@uptc.edu.co</t>
        </is>
      </c>
      <c r="K6" s="53" t="inlineStr">
        <is>
          <t>https://www.uptc.edu.co/sitio/portal/sitios/universidad/rectoria/sec_general/</t>
        </is>
      </c>
      <c r="L6" s="132" t="inlineStr">
        <is>
          <t>CORREGIDO</t>
        </is>
      </c>
      <c r="M6" s="136" t="n"/>
    </row>
    <row r="7" ht="30" customHeight="1" s="182">
      <c r="A7" s="124" t="inlineStr">
        <is>
          <t>Colombia</t>
        </is>
      </c>
      <c r="B7" s="124" t="inlineStr">
        <is>
          <t>Universidades públicas</t>
        </is>
      </c>
      <c r="C7" s="124" t="inlineStr">
        <is>
          <t>Universidad Oficial del Orden Nacional</t>
        </is>
      </c>
      <c r="D7" s="124" t="inlineStr">
        <is>
          <t>Universidad de Caldas</t>
        </is>
      </c>
      <c r="E7" s="73" t="n"/>
      <c r="F7" s="124" t="inlineStr">
        <is>
          <t>Vicerrector de Proyección</t>
        </is>
      </c>
      <c r="G7" s="76" t="inlineStr">
        <is>
          <t>https://www.ucaldas.edu.co</t>
        </is>
      </c>
      <c r="H7" s="124" t="inlineStr">
        <is>
          <t>no disponible públicamente</t>
        </is>
      </c>
      <c r="I7" s="129" t="inlineStr">
        <is>
          <t>8781500 Ext. 12228 - 57 606 8781500</t>
        </is>
      </c>
      <c r="J7" s="124" t="inlineStr">
        <is>
          <t>vpu@ucaldas.edu.co</t>
        </is>
      </c>
      <c r="K7" s="76" t="inlineStr">
        <is>
          <t>https://www.ucaldas.edu.co/portal/atencion-al-ciudadano/</t>
        </is>
      </c>
      <c r="L7" s="134" t="inlineStr">
        <is>
          <t>CORREGIDO</t>
        </is>
      </c>
      <c r="M7" s="136" t="n"/>
    </row>
    <row r="8" ht="30" customHeight="1" s="182">
      <c r="A8" s="124" t="inlineStr">
        <is>
          <t>Colombia</t>
        </is>
      </c>
      <c r="B8" s="124" t="inlineStr">
        <is>
          <t>Universidades públicas</t>
        </is>
      </c>
      <c r="C8" s="124" t="inlineStr">
        <is>
          <t>Universidad Oficial del Orden Nacional</t>
        </is>
      </c>
      <c r="D8" s="124" t="inlineStr">
        <is>
          <t>Universidad del Cauca</t>
        </is>
      </c>
      <c r="E8" s="73" t="n"/>
      <c r="F8" s="124" t="inlineStr">
        <is>
          <t xml:space="preserve">Rectoria </t>
        </is>
      </c>
      <c r="G8" s="76" t="inlineStr">
        <is>
          <t>https://www.unicauca.edu.co</t>
        </is>
      </c>
      <c r="H8" s="124" t="inlineStr">
        <is>
          <t>no disponible públicamente</t>
        </is>
      </c>
      <c r="I8" s="129" t="inlineStr">
        <is>
          <t xml:space="preserve"> (+57 2) 8209910.</t>
        </is>
      </c>
      <c r="J8" s="124" t="inlineStr">
        <is>
          <t>rectoria@unicauca.edu.co</t>
        </is>
      </c>
      <c r="K8" s="52" t="inlineStr">
        <is>
          <t>https://www.unicauca.edu.co/versionP/atencion-al-ciudadano</t>
        </is>
      </c>
      <c r="L8" s="51" t="inlineStr">
        <is>
          <t>CONFIRMADO</t>
        </is>
      </c>
      <c r="M8" s="136" t="n"/>
    </row>
    <row r="9" ht="30" customHeight="1" s="182">
      <c r="A9" s="158" t="inlineStr">
        <is>
          <t>Colombia</t>
        </is>
      </c>
      <c r="B9" s="158" t="inlineStr">
        <is>
          <t>Universidades públicas</t>
        </is>
      </c>
      <c r="C9" s="158" t="inlineStr">
        <is>
          <t>Universidad Oficial del Orden Distrital</t>
        </is>
      </c>
      <c r="D9" s="158" t="inlineStr">
        <is>
          <t>Universidad de Cartagena</t>
        </is>
      </c>
      <c r="E9" s="138" t="n"/>
      <c r="F9" s="158" t="inlineStr">
        <is>
          <t>Secretaría General</t>
        </is>
      </c>
      <c r="G9" s="139" t="inlineStr">
        <is>
          <t>https://www.unicartagena.edu.co</t>
        </is>
      </c>
      <c r="H9" s="158" t="inlineStr">
        <is>
          <t>Katia del Carmen Joly Villareal</t>
        </is>
      </c>
      <c r="I9" s="158" t="inlineStr">
        <is>
          <t>57 605 6698323</t>
        </is>
      </c>
      <c r="J9" s="158" t="inlineStr">
        <is>
          <t>secretariageneral@unicartagena.edu.co</t>
        </is>
      </c>
      <c r="K9" s="139" t="inlineStr">
        <is>
          <t>https://www.unicartagena.edu.co/gobierno/secretaria-general</t>
        </is>
      </c>
      <c r="L9" s="188" t="inlineStr">
        <is>
          <t>PENDIENTE</t>
        </is>
      </c>
      <c r="M9" s="136" t="inlineStr">
        <is>
          <t>Pagina caida</t>
        </is>
      </c>
    </row>
    <row r="10" ht="30" customHeight="1" s="182">
      <c r="A10" s="158" t="inlineStr">
        <is>
          <t>Colombia</t>
        </is>
      </c>
      <c r="B10" s="158" t="inlineStr">
        <is>
          <t>Universidades públicas</t>
        </is>
      </c>
      <c r="C10" s="158" t="inlineStr">
        <is>
          <t>Universidad Oficial del Orden Departamental</t>
        </is>
      </c>
      <c r="D10" s="158" t="inlineStr">
        <is>
          <t>Universidad de Nariño</t>
        </is>
      </c>
      <c r="E10" s="138" t="n"/>
      <c r="F10" s="158" t="inlineStr">
        <is>
          <t>Secretaría General</t>
        </is>
      </c>
      <c r="G10" s="139" t="inlineStr">
        <is>
          <t>https://www.udenar.edu.co</t>
        </is>
      </c>
      <c r="H10" s="158" t="inlineStr">
        <is>
          <t>PILAR LONDOÑO MARTÍNEZ</t>
        </is>
      </c>
      <c r="I10" s="158" t="inlineStr">
        <is>
          <t>57 602 7244309</t>
        </is>
      </c>
      <c r="J10" s="158" t="inlineStr">
        <is>
          <t>secretariageneral@udenar.edu.co - consejosudn@udenar.edu.co</t>
        </is>
      </c>
      <c r="K10" s="141" t="inlineStr">
        <is>
          <t>https://secretariageneral.udenar.edu.co/</t>
        </is>
      </c>
      <c r="L10" s="134" t="inlineStr">
        <is>
          <t>CORREGIDO</t>
        </is>
      </c>
      <c r="M10" s="136" t="n"/>
    </row>
    <row r="11" ht="30" customHeight="1" s="182">
      <c r="A11" s="158" t="inlineStr">
        <is>
          <t>Colombia</t>
        </is>
      </c>
      <c r="B11" s="158" t="inlineStr">
        <is>
          <t>Universidades públicas</t>
        </is>
      </c>
      <c r="C11" s="158" t="inlineStr">
        <is>
          <t>Universidad Oficial del Orden Nacional</t>
        </is>
      </c>
      <c r="D11" s="158" t="inlineStr">
        <is>
          <t>Universidad Tecnológica de Pereira</t>
        </is>
      </c>
      <c r="E11" s="138" t="n"/>
      <c r="F11" s="158" t="inlineStr">
        <is>
          <t>Secretaría General</t>
        </is>
      </c>
      <c r="G11" s="139" t="inlineStr">
        <is>
          <t>https://www.utp.edu.co</t>
        </is>
      </c>
      <c r="H11" s="158" t="inlineStr">
        <is>
          <t>no disponible públicamente</t>
        </is>
      </c>
      <c r="I11" s="158" t="inlineStr">
        <is>
          <t>57 606 3137300 - +57 606 3137133</t>
        </is>
      </c>
      <c r="J11" s="158" t="inlineStr">
        <is>
          <t>secretariageneral@utp.edu.co</t>
        </is>
      </c>
      <c r="K11" s="139" t="inlineStr">
        <is>
          <t>https://www.utp.edu.co/secretaria/</t>
        </is>
      </c>
      <c r="L11" s="51" t="inlineStr">
        <is>
          <t>CONFIRMADO</t>
        </is>
      </c>
      <c r="M11" s="136" t="n"/>
    </row>
    <row r="12" ht="30" customHeight="1" s="182">
      <c r="A12" s="158" t="inlineStr">
        <is>
          <t>Colombia</t>
        </is>
      </c>
      <c r="B12" s="158" t="inlineStr">
        <is>
          <t>Universidades públicas</t>
        </is>
      </c>
      <c r="C12" s="158" t="inlineStr">
        <is>
          <t>Universidad Oficial del Orden Departamental</t>
        </is>
      </c>
      <c r="D12" s="158" t="inlineStr">
        <is>
          <t>Universidad del Tolima</t>
        </is>
      </c>
      <c r="E12" s="138" t="n"/>
      <c r="F12" s="158" t="inlineStr">
        <is>
          <t>Secretaría General</t>
        </is>
      </c>
      <c r="G12" s="142" t="inlineStr">
        <is>
          <t>http://www.ut.edu.co</t>
        </is>
      </c>
      <c r="H12" s="158" t="inlineStr">
        <is>
          <t>Juan David Gómez González</t>
        </is>
      </c>
      <c r="I12" s="158" t="inlineStr">
        <is>
          <t>57 608 2771212 - Tel: 2772022 Ext: 9114</t>
        </is>
      </c>
      <c r="J12" s="158" t="inlineStr">
        <is>
          <t>secretariageneral@ut.edu.co - sgut@ut.edu.co</t>
        </is>
      </c>
      <c r="K12" s="141" t="inlineStr">
        <is>
          <t>https://www.ut.edu.co/secretaria-general</t>
        </is>
      </c>
      <c r="L12" s="51" t="inlineStr">
        <is>
          <t>CONFIRMADO</t>
        </is>
      </c>
      <c r="M12" s="136" t="n"/>
    </row>
    <row r="13" ht="30" customHeight="1" s="182">
      <c r="A13" s="158" t="inlineStr">
        <is>
          <t>Colombia</t>
        </is>
      </c>
      <c r="B13" s="158" t="inlineStr">
        <is>
          <t>Universidades públicas</t>
        </is>
      </c>
      <c r="C13" s="158" t="inlineStr">
        <is>
          <t>Universidad Oficial del Orden Departamental</t>
        </is>
      </c>
      <c r="D13" s="158" t="inlineStr">
        <is>
          <t>Universidad del Quindío</t>
        </is>
      </c>
      <c r="E13" s="138" t="n"/>
      <c r="F13" s="158" t="inlineStr">
        <is>
          <t>Secretaría General</t>
        </is>
      </c>
      <c r="G13" s="139" t="inlineStr">
        <is>
          <t>https://www.uniquindio.edu.co</t>
        </is>
      </c>
      <c r="H13" s="158" t="inlineStr">
        <is>
          <t>no disponible públicamente</t>
        </is>
      </c>
      <c r="I13" s="158" t="inlineStr">
        <is>
          <t>57 606 7359300</t>
        </is>
      </c>
      <c r="J13" s="158" t="inlineStr">
        <is>
          <t>secretariageneral@uniquindio.edu.co</t>
        </is>
      </c>
      <c r="K13" s="139" t="inlineStr">
        <is>
          <t>https://www.uniquindio.edu.co/secretaria-general/</t>
        </is>
      </c>
      <c r="L13" s="51" t="inlineStr">
        <is>
          <t>CONFIRMADO</t>
        </is>
      </c>
      <c r="M13" s="136" t="n"/>
    </row>
    <row r="14" ht="30" customHeight="1" s="182">
      <c r="A14" s="158" t="inlineStr">
        <is>
          <t>Colombia</t>
        </is>
      </c>
      <c r="B14" s="158" t="inlineStr">
        <is>
          <t>Universidades públicas</t>
        </is>
      </c>
      <c r="C14" s="158" t="inlineStr">
        <is>
          <t>Universidad Oficial del Orden Nacional</t>
        </is>
      </c>
      <c r="D14" s="158" t="inlineStr">
        <is>
          <t>Universidad Surcolombiana</t>
        </is>
      </c>
      <c r="E14" s="138" t="n"/>
      <c r="F14" s="158" t="inlineStr">
        <is>
          <t>Secretaría General</t>
        </is>
      </c>
      <c r="G14" s="139" t="inlineStr">
        <is>
          <t>https://www.usco.edu.co</t>
        </is>
      </c>
      <c r="H14" s="158" t="inlineStr">
        <is>
          <t>Alberto Polanía Puentes</t>
        </is>
      </c>
      <c r="I14" s="158" t="inlineStr">
        <is>
          <t>no disponible publicamente</t>
        </is>
      </c>
      <c r="J14" s="158" t="inlineStr">
        <is>
          <t>secretariageneral@usco.edu.co - alberto.polania@usco.edu.co</t>
        </is>
      </c>
      <c r="K14" s="139" t="inlineStr">
        <is>
          <t>https://www.usco.edu.co/es/secretaria-general/</t>
        </is>
      </c>
      <c r="L14" s="51" t="inlineStr">
        <is>
          <t>CONFIRMADO</t>
        </is>
      </c>
      <c r="M14" s="136" t="n"/>
    </row>
    <row r="15" ht="30" customHeight="1" s="182">
      <c r="A15" s="158" t="inlineStr">
        <is>
          <t>Colombia</t>
        </is>
      </c>
      <c r="B15" s="158" t="inlineStr">
        <is>
          <t>Universidades públicas</t>
        </is>
      </c>
      <c r="C15" s="158" t="inlineStr">
        <is>
          <t>Universidad Oficial del Orden Departamental</t>
        </is>
      </c>
      <c r="D15" s="158" t="inlineStr">
        <is>
          <t>Universidad del Magdalena</t>
        </is>
      </c>
      <c r="E15" s="138" t="n"/>
      <c r="F15" s="158" t="inlineStr">
        <is>
          <t>Secretaría General</t>
        </is>
      </c>
      <c r="G15" s="139" t="inlineStr">
        <is>
          <t>https://www.unimagdalena.edu.co</t>
        </is>
      </c>
      <c r="H15" s="158" t="inlineStr">
        <is>
          <t>Mercedes De la Torre Hasbun</t>
        </is>
      </c>
      <c r="I15" s="158" t="inlineStr">
        <is>
          <t>57 605 4381000 Ext.
2266</t>
        </is>
      </c>
      <c r="J15" s="158" t="inlineStr">
        <is>
          <t>secretariageneral@unimagdalena.edu.co - mdelatorre@unimagdalena.edu.co</t>
        </is>
      </c>
      <c r="K15" s="139" t="inlineStr">
        <is>
          <t>https://www.unimagdalena.edu.co/sitios/secretariageneral</t>
        </is>
      </c>
      <c r="L15" s="51" t="inlineStr">
        <is>
          <t>CONFIRMADO</t>
        </is>
      </c>
      <c r="M15" s="136" t="n"/>
    </row>
    <row r="16" ht="30" customHeight="1" s="182">
      <c r="A16" s="158" t="inlineStr">
        <is>
          <t>Colombia</t>
        </is>
      </c>
      <c r="B16" s="158" t="inlineStr">
        <is>
          <t>Universidades públicas</t>
        </is>
      </c>
      <c r="C16" s="158" t="inlineStr">
        <is>
          <t>Universidad Oficial del Orden Departamental</t>
        </is>
      </c>
      <c r="D16" s="158" t="inlineStr">
        <is>
          <t>Universidad de Córdoba</t>
        </is>
      </c>
      <c r="E16" s="138" t="n"/>
      <c r="F16" s="158" t="inlineStr">
        <is>
          <t>Secretaría General</t>
        </is>
      </c>
      <c r="G16" s="139" t="inlineStr">
        <is>
          <t>https://www.unicordoba.edu.co</t>
        </is>
      </c>
      <c r="H16" s="158" t="inlineStr">
        <is>
          <t xml:space="preserve">Adriana Isabel Londoño Londoño </t>
        </is>
      </c>
      <c r="I16" s="158" t="inlineStr">
        <is>
          <t>57 604 7860269</t>
        </is>
      </c>
      <c r="J16" s="158" t="inlineStr">
        <is>
          <t>secretariageneral@unicordoba.edu.co</t>
        </is>
      </c>
      <c r="K16" s="142" t="inlineStr">
        <is>
          <t>https://unicordoba.edu.co/contactenos-3/</t>
        </is>
      </c>
      <c r="L16" s="51" t="inlineStr">
        <is>
          <t>CONFIRMADO</t>
        </is>
      </c>
      <c r="M16" s="136" t="n"/>
    </row>
    <row r="17" ht="30" customHeight="1" s="182">
      <c r="A17" s="158" t="inlineStr">
        <is>
          <t>Colombia</t>
        </is>
      </c>
      <c r="B17" s="158" t="inlineStr">
        <is>
          <t>Universidades públicas</t>
        </is>
      </c>
      <c r="C17" s="158" t="inlineStr">
        <is>
          <t>Universidad Oficial del Orden Departamental</t>
        </is>
      </c>
      <c r="D17" s="158" t="inlineStr">
        <is>
          <t>Universidad del Atlántico</t>
        </is>
      </c>
      <c r="E17" s="138" t="n"/>
      <c r="F17" s="158" t="inlineStr">
        <is>
          <t>Secretaría General</t>
        </is>
      </c>
      <c r="G17" s="139" t="inlineStr">
        <is>
          <t>https://www.uniatlantico.edu.co</t>
        </is>
      </c>
      <c r="H17" s="158" t="inlineStr">
        <is>
          <t>JOSEFA CASSIANI PÉREZ</t>
        </is>
      </c>
      <c r="I17" s="158" t="inlineStr">
        <is>
          <t>3162666 ext 1045</t>
        </is>
      </c>
      <c r="J17" s="158" t="inlineStr">
        <is>
          <t>secretariageneral@mail.uniatlantico.edu.co</t>
        </is>
      </c>
      <c r="K17" s="139" t="inlineStr">
        <is>
          <t>https://www.uniatlantico.edu.co/secretaria-general/</t>
        </is>
      </c>
      <c r="L17" s="132" t="inlineStr">
        <is>
          <t>CORREGIDO</t>
        </is>
      </c>
      <c r="M17" s="136" t="n"/>
    </row>
    <row r="18" ht="30" customHeight="1" s="182">
      <c r="A18" s="158" t="inlineStr">
        <is>
          <t>Colombia</t>
        </is>
      </c>
      <c r="B18" s="158" t="inlineStr">
        <is>
          <t>Universidades públicas</t>
        </is>
      </c>
      <c r="C18" s="158" t="inlineStr">
        <is>
          <t>Universidad Oficial del Orden Departamental</t>
        </is>
      </c>
      <c r="D18" s="158" t="inlineStr">
        <is>
          <t>Universidad Francisco de Paula Santander</t>
        </is>
      </c>
      <c r="E18" s="138" t="n"/>
      <c r="F18" s="158" t="inlineStr">
        <is>
          <t>Secretaría General</t>
        </is>
      </c>
      <c r="G18" s="139" t="inlineStr">
        <is>
          <t>https://ww2.ufps.edu.co</t>
        </is>
      </c>
      <c r="H18" s="158" t="inlineStr">
        <is>
          <t>no disponible públicamente</t>
        </is>
      </c>
      <c r="I18" s="158" t="inlineStr">
        <is>
          <t>no disponible publicamente</t>
        </is>
      </c>
      <c r="J18" s="158" t="inlineStr">
        <is>
          <t>secretariageneral@ufps.edu.co</t>
        </is>
      </c>
      <c r="K18" s="139" t="inlineStr">
        <is>
          <t>https://ww2.ufps.edu.co/universidad/secretaria-general</t>
        </is>
      </c>
      <c r="L18" s="51" t="inlineStr">
        <is>
          <t>CONFIRMADO CON OBSERVACIONES</t>
        </is>
      </c>
      <c r="M18" s="136" t="inlineStr">
        <is>
          <t>Para ver la planta de administrativos pide tener cuenta institucional</t>
        </is>
      </c>
    </row>
    <row r="19" ht="30" customHeight="1" s="182">
      <c r="A19" s="158" t="inlineStr">
        <is>
          <t>Colombia</t>
        </is>
      </c>
      <c r="B19" s="158" t="inlineStr">
        <is>
          <t>Universidades públicas</t>
        </is>
      </c>
      <c r="C19" s="158" t="inlineStr">
        <is>
          <t>Universidad Oficial del Orden Departamental</t>
        </is>
      </c>
      <c r="D19" s="158" t="inlineStr">
        <is>
          <t>Universidad Francisco de Paula Santander - Ocaña</t>
        </is>
      </c>
      <c r="E19" s="138" t="n"/>
      <c r="F19" s="158" t="inlineStr">
        <is>
          <t>Secretaría General</t>
        </is>
      </c>
      <c r="G19" s="139" t="inlineStr">
        <is>
          <t>https://ufpso.edu.co</t>
        </is>
      </c>
      <c r="H19" s="158" t="inlineStr">
        <is>
          <t>Johann Fernando Hoyos Patiño</t>
        </is>
      </c>
      <c r="I19" s="158" t="n">
        <v>3114361717</v>
      </c>
      <c r="J19" s="158" t="inlineStr">
        <is>
          <t>secretariageneral@ufpso.edu.co</t>
        </is>
      </c>
      <c r="K19" s="142" t="inlineStr">
        <is>
          <t>https://ufpso.edu.co/secretaria_general</t>
        </is>
      </c>
      <c r="L19" s="51" t="inlineStr">
        <is>
          <t>CONFIRMADO</t>
        </is>
      </c>
      <c r="M19" s="136" t="n"/>
    </row>
    <row r="20" ht="30" customHeight="1" s="182">
      <c r="A20" s="158" t="inlineStr">
        <is>
          <t>Colombia</t>
        </is>
      </c>
      <c r="B20" s="158" t="inlineStr">
        <is>
          <t>Universidades públicas</t>
        </is>
      </c>
      <c r="C20" s="158" t="inlineStr">
        <is>
          <t>Universidad Oficial del Orden Departamental</t>
        </is>
      </c>
      <c r="D20" s="158" t="inlineStr">
        <is>
          <t>Universidad de Pamplona</t>
        </is>
      </c>
      <c r="E20" s="138" t="n"/>
      <c r="F20" s="158" t="inlineStr">
        <is>
          <t>Secretaría General</t>
        </is>
      </c>
      <c r="G20" s="139" t="inlineStr">
        <is>
          <t>https://www.unipamplona.edu.co</t>
        </is>
      </c>
      <c r="H20" s="158" t="inlineStr">
        <is>
          <t>Andrea Carolina Araque Chacón</t>
        </is>
      </c>
      <c r="I20" s="158" t="inlineStr">
        <is>
          <t>57 607 5685303</t>
        </is>
      </c>
      <c r="J20" s="158" t="inlineStr">
        <is>
          <t>secregene@unipamplona.edu.co</t>
        </is>
      </c>
      <c r="K20" s="142" t="inlineStr">
        <is>
          <t>https://www.unipamplona.edu.co/secretariageneral/</t>
        </is>
      </c>
      <c r="L20" s="132" t="inlineStr">
        <is>
          <t>CORREGIDO</t>
        </is>
      </c>
      <c r="M20" s="136" t="n"/>
    </row>
    <row r="21" ht="30" customHeight="1" s="182">
      <c r="A21" s="158" t="inlineStr">
        <is>
          <t>Colombia</t>
        </is>
      </c>
      <c r="B21" s="158" t="inlineStr">
        <is>
          <t>Universidades públicas</t>
        </is>
      </c>
      <c r="C21" s="158" t="inlineStr">
        <is>
          <t>Universidad Oficial del Orden Nacional</t>
        </is>
      </c>
      <c r="D21" s="158" t="inlineStr">
        <is>
          <t>Universidad de la Amazonia</t>
        </is>
      </c>
      <c r="E21" s="138" t="n"/>
      <c r="F21" s="158" t="inlineStr">
        <is>
          <t>Secretaría General</t>
        </is>
      </c>
      <c r="G21" s="142" t="inlineStr">
        <is>
          <t>https://www.uniamazonia.edu.co/Inicio/index.php/es/</t>
        </is>
      </c>
      <c r="H21" s="158" t="inlineStr">
        <is>
          <t>Haider Samir Martínez Jiménez</t>
        </is>
      </c>
      <c r="I21" s="158" t="inlineStr">
        <is>
          <t>no disponible publicamente</t>
        </is>
      </c>
      <c r="J21" s="158" t="inlineStr">
        <is>
          <t>sgeneral@uniamazonia.edu.co</t>
        </is>
      </c>
      <c r="K21" s="142" t="inlineStr">
        <is>
          <t>https://www.uniamazonia.edu.co/inicio/index.php/es/la-universidad/direccion/secretaria-general.html</t>
        </is>
      </c>
      <c r="L21" s="51" t="inlineStr">
        <is>
          <t>CONFIRMADO</t>
        </is>
      </c>
      <c r="M21" s="136" t="n"/>
    </row>
    <row r="22" ht="30" customHeight="1" s="182">
      <c r="A22" s="158" t="inlineStr">
        <is>
          <t>Colombia</t>
        </is>
      </c>
      <c r="B22" s="158" t="inlineStr">
        <is>
          <t>Universidades públicas</t>
        </is>
      </c>
      <c r="C22" s="158" t="inlineStr">
        <is>
          <t>Universidad Oficial del Orden Nacional</t>
        </is>
      </c>
      <c r="D22" s="158" t="inlineStr">
        <is>
          <t>Universidad de los Llanos</t>
        </is>
      </c>
      <c r="E22" s="138" t="n"/>
      <c r="F22" s="158" t="inlineStr">
        <is>
          <t>Secretaría General</t>
        </is>
      </c>
      <c r="G22" s="139" t="inlineStr">
        <is>
          <t>https://www.unillanos.edu.co</t>
        </is>
      </c>
      <c r="H22" s="158" t="inlineStr">
        <is>
          <t>Giovanny Quintero Reyes</t>
        </is>
      </c>
      <c r="I22" s="158" t="inlineStr">
        <is>
          <t>no disponible publicamente</t>
        </is>
      </c>
      <c r="J22" s="158" t="inlineStr">
        <is>
          <t>sgeneral@unillanos.edu.co</t>
        </is>
      </c>
      <c r="K22" s="139" t="inlineStr">
        <is>
          <t>https://www.unillanos.edu.co/index.php/secretaria-general</t>
        </is>
      </c>
      <c r="L22" s="51" t="inlineStr">
        <is>
          <t>CONFIRMADO</t>
        </is>
      </c>
      <c r="M22" s="136" t="n"/>
    </row>
    <row r="23" ht="30" customHeight="1" s="182">
      <c r="A23" s="158" t="inlineStr">
        <is>
          <t>Colombia</t>
        </is>
      </c>
      <c r="B23" s="158" t="inlineStr">
        <is>
          <t>Universidades públicas</t>
        </is>
      </c>
      <c r="C23" s="158" t="inlineStr">
        <is>
          <t>Universidad Oficial del Orden Nacional</t>
        </is>
      </c>
      <c r="D23" s="158" t="inlineStr">
        <is>
          <t>Universidad Tecnológica del Chocó</t>
        </is>
      </c>
      <c r="E23" s="138" t="n"/>
      <c r="F23" s="158" t="inlineStr">
        <is>
          <t>Vicerectoria Academica</t>
        </is>
      </c>
      <c r="G23" s="141" t="inlineStr">
        <is>
          <t>https://www.utch.edu.co</t>
        </is>
      </c>
      <c r="H23" s="158" t="inlineStr">
        <is>
          <t>Reinaldo Cuesta Borja</t>
        </is>
      </c>
      <c r="I23" s="158" t="inlineStr">
        <is>
          <t>no disponible publicamente</t>
        </is>
      </c>
      <c r="J23" s="158" t="inlineStr">
        <is>
          <t>vice-academica@utch.edu.co</t>
        </is>
      </c>
      <c r="K23" s="139" t="inlineStr">
        <is>
          <t>https://www.utch.edu.co/portal/secretaria-general</t>
        </is>
      </c>
      <c r="L23" s="132" t="inlineStr">
        <is>
          <t>CORREGIDO</t>
        </is>
      </c>
      <c r="M23" s="136" t="n"/>
    </row>
    <row r="24" ht="30" customHeight="1" s="182">
      <c r="A24" s="158" t="inlineStr">
        <is>
          <t>Colombia</t>
        </is>
      </c>
      <c r="B24" s="158" t="inlineStr">
        <is>
          <t>Universidades públicas</t>
        </is>
      </c>
      <c r="C24" s="158" t="inlineStr">
        <is>
          <t>Universidad Oficial del Orden Nacional</t>
        </is>
      </c>
      <c r="D24" s="158" t="inlineStr">
        <is>
          <t>Universidad Popular del Cesar</t>
        </is>
      </c>
      <c r="E24" s="138" t="n"/>
      <c r="F24" s="158" t="inlineStr">
        <is>
          <t>Secretaría General</t>
        </is>
      </c>
      <c r="G24" s="141" t="inlineStr">
        <is>
          <t>https://www.unicesar.edu.co</t>
        </is>
      </c>
      <c r="H24" s="158" t="inlineStr">
        <is>
          <t xml:space="preserve">Jose Sanchez Blanco </t>
        </is>
      </c>
      <c r="I24" s="158" t="inlineStr">
        <is>
          <t>57 605 573 2809</t>
        </is>
      </c>
      <c r="J24" s="158" t="inlineStr">
        <is>
          <t>secretariageneral@unicesar.edu.co</t>
        </is>
      </c>
      <c r="K24" s="142" t="inlineStr">
        <is>
          <t>https://www.unicesar.edu.co/la_universidad/secretaria-general/</t>
        </is>
      </c>
      <c r="L24" s="51" t="inlineStr">
        <is>
          <t>CONFIRMADO</t>
        </is>
      </c>
      <c r="M24" s="136" t="n"/>
    </row>
    <row r="25" ht="30" customHeight="1" s="182">
      <c r="A25" s="158" t="inlineStr">
        <is>
          <t>Colombia</t>
        </is>
      </c>
      <c r="B25" s="158" t="inlineStr">
        <is>
          <t>Universidades públicas</t>
        </is>
      </c>
      <c r="C25" s="158" t="inlineStr">
        <is>
          <t>Universidad Oficial del Orden Departamental</t>
        </is>
      </c>
      <c r="D25" s="158" t="inlineStr">
        <is>
          <t>Universidad de La Guajira</t>
        </is>
      </c>
      <c r="E25" s="138" t="n"/>
      <c r="F25" s="158" t="inlineStr">
        <is>
          <t>Secretaría General</t>
        </is>
      </c>
      <c r="G25" s="141" t="inlineStr">
        <is>
          <t>https://www.uniguajira.edu.co</t>
        </is>
      </c>
      <c r="H25" s="158" t="inlineStr">
        <is>
          <t>Tatiana Martínez Gómez</t>
        </is>
      </c>
      <c r="I25" s="158" t="inlineStr">
        <is>
          <t>576053133870, 370</t>
        </is>
      </c>
      <c r="J25" s="158" t="inlineStr">
        <is>
          <t>General@Uniguajira.edu.co - Tmartinez@Uniguajira.edu.co</t>
        </is>
      </c>
      <c r="K25" s="142" t="inlineStr">
        <is>
          <t>https://uniguajira.edu.co/universidad-de-la-guajira/sobre-uniguajira/directorio-telefonico/</t>
        </is>
      </c>
      <c r="L25" s="145" t="inlineStr">
        <is>
          <t>CONFIRMADO</t>
        </is>
      </c>
      <c r="M25" s="136" t="n"/>
    </row>
    <row r="26" ht="30" customHeight="1" s="182">
      <c r="A26" s="158" t="inlineStr">
        <is>
          <t>Colombia</t>
        </is>
      </c>
      <c r="B26" s="158" t="inlineStr">
        <is>
          <t>Universidades públicas</t>
        </is>
      </c>
      <c r="C26" s="158" t="inlineStr">
        <is>
          <t>Universidad Oficial del Orden Departamental</t>
        </is>
      </c>
      <c r="D26" s="158" t="inlineStr">
        <is>
          <t>Universidad de Sucre</t>
        </is>
      </c>
      <c r="E26" s="138" t="n"/>
      <c r="F26" s="158" t="inlineStr">
        <is>
          <t>Secretaría General</t>
        </is>
      </c>
      <c r="G26" s="141" t="inlineStr">
        <is>
          <t>https://www.unisucre.edu.co</t>
        </is>
      </c>
      <c r="H26" s="158" t="inlineStr">
        <is>
          <t>Juan Carlos Vergara Montes</t>
        </is>
      </c>
      <c r="I26" s="158" t="inlineStr">
        <is>
          <t>57 605 2771195</t>
        </is>
      </c>
      <c r="J26" s="158" t="inlineStr">
        <is>
          <t>secretaria.general@unisucre.edu.co</t>
        </is>
      </c>
      <c r="K26" s="142" t="inlineStr">
        <is>
          <t>https://unisucre.edu.co/secretaria-general/</t>
        </is>
      </c>
      <c r="L26" s="145" t="inlineStr">
        <is>
          <t>CONFIRMADO</t>
        </is>
      </c>
      <c r="M26" s="136" t="n"/>
    </row>
    <row r="27" ht="30" customHeight="1" s="182">
      <c r="A27" s="158" t="inlineStr">
        <is>
          <t>Colombia</t>
        </is>
      </c>
      <c r="B27" s="158" t="inlineStr">
        <is>
          <t>Universidades públicas</t>
        </is>
      </c>
      <c r="C27" s="158" t="inlineStr">
        <is>
          <t>Universidad Oficial del Orden Nacional</t>
        </is>
      </c>
      <c r="D27" s="158" t="inlineStr">
        <is>
          <t>Universidad del Pacífico</t>
        </is>
      </c>
      <c r="E27" s="138" t="n"/>
      <c r="F27" s="158" t="inlineStr">
        <is>
          <t>Secretaría General</t>
        </is>
      </c>
      <c r="G27" s="139" t="inlineStr">
        <is>
          <t>https://www.unipacifico.edu.co</t>
        </is>
      </c>
      <c r="H27" s="158" t="inlineStr">
        <is>
          <t>ANGIE YULIETH BONILLA VALENCIA</t>
        </is>
      </c>
      <c r="I27" s="158" t="inlineStr">
        <is>
          <t>no disponible publicamente</t>
        </is>
      </c>
      <c r="J27" s="158" t="inlineStr">
        <is>
          <t>secregeneral@unipacifico.edu.co</t>
        </is>
      </c>
      <c r="K27" s="142" t="inlineStr">
        <is>
          <t>https://www.unipacifico.edu.co/p/3/comunicaciones/cuerpo-directivo</t>
        </is>
      </c>
      <c r="L27" s="51" t="inlineStr">
        <is>
          <t>CONFIRMADO</t>
        </is>
      </c>
      <c r="M27" s="136" t="n"/>
    </row>
    <row r="28" ht="30" customHeight="1" s="182">
      <c r="A28" s="158" t="inlineStr">
        <is>
          <t>Colombia</t>
        </is>
      </c>
      <c r="B28" s="158" t="inlineStr">
        <is>
          <t>Universidades públicas</t>
        </is>
      </c>
      <c r="C28" s="158" t="inlineStr">
        <is>
          <t>Universidad Oficial del Orden Departamental</t>
        </is>
      </c>
      <c r="D28" s="158" t="inlineStr">
        <is>
          <t>Universidad de Cundinamarca</t>
        </is>
      </c>
      <c r="E28" s="138" t="n"/>
      <c r="F28" s="158" t="inlineStr">
        <is>
          <t>no disponible</t>
        </is>
      </c>
      <c r="G28" s="139" t="inlineStr">
        <is>
          <t>https://www.ucundinamarca.edu.co</t>
        </is>
      </c>
      <c r="H28" s="158" t="inlineStr">
        <is>
          <t>no disponible públicamente</t>
        </is>
      </c>
      <c r="I28" s="158" t="inlineStr">
        <is>
          <t>no disponible publicamente</t>
        </is>
      </c>
      <c r="J28" s="158" t="inlineStr">
        <is>
          <t>no disponible públicamente</t>
        </is>
      </c>
      <c r="K28" s="142" t="inlineStr">
        <is>
          <t>https://www.ucundinamarca.edu.co/index.php/secretaria-general</t>
        </is>
      </c>
      <c r="L28" s="188" t="inlineStr">
        <is>
          <t>VERIFICADO CON OBSERVACIONES</t>
        </is>
      </c>
      <c r="M28" s="136" t="inlineStr">
        <is>
          <t>La pagina web no abre</t>
        </is>
      </c>
    </row>
    <row r="29" ht="30" customHeight="1" s="182">
      <c r="A29" s="158" t="inlineStr">
        <is>
          <t>Colombia</t>
        </is>
      </c>
      <c r="B29" s="158" t="inlineStr">
        <is>
          <t>Universidades públicas</t>
        </is>
      </c>
      <c r="C29" s="158" t="inlineStr">
        <is>
          <t>Universidad Oficial del Orden Distrital</t>
        </is>
      </c>
      <c r="D29" s="158" t="inlineStr">
        <is>
          <t>Universidad Distrital Francisco José de Caldas</t>
        </is>
      </c>
      <c r="E29" s="138" t="n"/>
      <c r="F29" s="158" t="inlineStr">
        <is>
          <t>Secretaría General</t>
        </is>
      </c>
      <c r="G29" s="139" t="inlineStr">
        <is>
          <t>https://www.udistrital.edu.co</t>
        </is>
      </c>
      <c r="H29" s="158" t="inlineStr">
        <is>
          <t>Lisseth Paola Salazar Narváez</t>
        </is>
      </c>
      <c r="I29" s="158" t="inlineStr">
        <is>
          <t>no disponible publicamente</t>
        </is>
      </c>
      <c r="J29" s="158" t="inlineStr">
        <is>
          <t>secgeneral@udistrital.edu.co</t>
        </is>
      </c>
      <c r="K29" s="142" t="inlineStr">
        <is>
          <t>https://sgral.udistrital.edu.co/sgral/index.php?option=com_content&amp;task=view&amp;id=23&amp;Itemid=78</t>
        </is>
      </c>
      <c r="L29" s="51" t="inlineStr">
        <is>
          <t>CORREGIDO</t>
        </is>
      </c>
      <c r="M29" s="136" t="n"/>
    </row>
    <row r="30" ht="30" customHeight="1" s="182">
      <c r="A30" s="158" t="inlineStr">
        <is>
          <t>Colombia</t>
        </is>
      </c>
      <c r="B30" s="158" t="inlineStr">
        <is>
          <t>Universidades públicas</t>
        </is>
      </c>
      <c r="C30" s="158" t="inlineStr">
        <is>
          <t>Universidad Oficial del Orden Nacional</t>
        </is>
      </c>
      <c r="D30" s="158" t="inlineStr">
        <is>
          <t>Universidad Militar Nueva Granada</t>
        </is>
      </c>
      <c r="E30" s="138" t="n"/>
      <c r="F30" s="158" t="inlineStr">
        <is>
          <t>Oficina de Atención al Ciudadano</t>
        </is>
      </c>
      <c r="G30" s="139" t="inlineStr">
        <is>
          <t>https://www.umng.edu.co</t>
        </is>
      </c>
      <c r="H30" s="158" t="inlineStr">
        <is>
          <t>no disponible públicamente</t>
        </is>
      </c>
      <c r="I30" s="148" t="inlineStr">
        <is>
          <t xml:space="preserve">(+57) (601) 650 0000 </t>
        </is>
      </c>
      <c r="J30" s="158" t="inlineStr">
        <is>
          <t>atencionalciudadano@unimilitar.edu.co</t>
        </is>
      </c>
      <c r="K30" s="139" t="inlineStr">
        <is>
          <t>https://www.umng.edu.co/dependencias/secretaria-general</t>
        </is>
      </c>
      <c r="L30" s="188" t="inlineStr">
        <is>
          <t>VERIFICADO CON OBSERVACIONES</t>
        </is>
      </c>
      <c r="M30" s="136" t="inlineStr">
        <is>
          <t>El apartado de Directorio Institucional se encuentra "en actualización"</t>
        </is>
      </c>
    </row>
    <row r="31" ht="30" customHeight="1" s="182">
      <c r="A31" s="158" t="inlineStr">
        <is>
          <t>Colombia</t>
        </is>
      </c>
      <c r="B31" s="158" t="inlineStr">
        <is>
          <t>Universidades públicas</t>
        </is>
      </c>
      <c r="C31" s="158" t="inlineStr">
        <is>
          <t>Universidad Oficial del Orden Nacional</t>
        </is>
      </c>
      <c r="D31" s="158" t="inlineStr">
        <is>
          <t>Universidad Pedagógica Nacional</t>
        </is>
      </c>
      <c r="E31" s="138" t="n"/>
      <c r="F31" s="158" t="inlineStr">
        <is>
          <t xml:space="preserve">Vicerectoria de Investigación, Extensión y Proyección Social </t>
        </is>
      </c>
      <c r="G31" s="142" t="inlineStr">
        <is>
          <t>https://www.upn.edu.co</t>
        </is>
      </c>
      <c r="H31" s="158" t="inlineStr">
        <is>
          <t>Alejandro Mantilla Quijano</t>
        </is>
      </c>
      <c r="I31" s="158" t="inlineStr">
        <is>
          <t>(57) 601 916 9999  ext. 400</t>
        </is>
      </c>
      <c r="J31" s="158" t="inlineStr">
        <is>
          <t>vieps@upn.edu.co</t>
        </is>
      </c>
      <c r="K31" s="139" t="inlineStr">
        <is>
          <t>https://upn.edu.co/secretaria-general/</t>
        </is>
      </c>
      <c r="L31" s="147" t="inlineStr">
        <is>
          <t>CORREGIDO</t>
        </is>
      </c>
      <c r="M31" s="136" t="n"/>
    </row>
    <row r="32" ht="30" customHeight="1" s="182">
      <c r="A32" s="158" t="inlineStr">
        <is>
          <t>Colombia</t>
        </is>
      </c>
      <c r="B32" s="158" t="inlineStr">
        <is>
          <t>Universidades públicas</t>
        </is>
      </c>
      <c r="C32" s="158" t="inlineStr">
        <is>
          <t>Universidad Oficial del Orden Nacional</t>
        </is>
      </c>
      <c r="D32" s="158" t="inlineStr">
        <is>
          <t>Universidad Colegio Mayor de Cundinamarca</t>
        </is>
      </c>
      <c r="E32" s="138" t="n"/>
      <c r="F32" s="158" t="inlineStr">
        <is>
          <t>Secretaría General</t>
        </is>
      </c>
      <c r="G32" s="142" t="inlineStr">
        <is>
          <t>https://www.universidadmayor.edu.co</t>
        </is>
      </c>
      <c r="H32" s="158" t="inlineStr">
        <is>
          <t>SANDRA YULIET MONCADA CASANOVA</t>
        </is>
      </c>
      <c r="I32" s="158" t="inlineStr">
        <is>
          <t xml:space="preserve">(57-601) 2418800 </t>
        </is>
      </c>
      <c r="J32" s="220" t="inlineStr">
        <is>
          <t>secretariageneral@universidadmayor.edu.co</t>
        </is>
      </c>
      <c r="K32" s="139" t="inlineStr">
        <is>
          <t>https://www.unicolmayor.edu.co/secretaria-general</t>
        </is>
      </c>
      <c r="L32" s="51" t="inlineStr">
        <is>
          <t>CONFIRMADO</t>
        </is>
      </c>
      <c r="M32" s="136" t="n"/>
    </row>
    <row r="33" ht="30" customHeight="1" s="182">
      <c r="A33" s="158" t="inlineStr">
        <is>
          <t>Colombia</t>
        </is>
      </c>
      <c r="B33" s="158" t="inlineStr">
        <is>
          <t>Universidades públicas</t>
        </is>
      </c>
      <c r="C33" s="158" t="inlineStr">
        <is>
          <t>Universidad Oficial del Orden Nacional</t>
        </is>
      </c>
      <c r="D33" s="158" t="inlineStr">
        <is>
          <t>Universidad Nacional Abierta y a Distancia</t>
        </is>
      </c>
      <c r="E33" s="138" t="n"/>
      <c r="F33" s="158" t="inlineStr">
        <is>
          <t>Secretaría General</t>
        </is>
      </c>
      <c r="G33" s="139" t="inlineStr">
        <is>
          <t>https://www.unad.edu.co</t>
        </is>
      </c>
      <c r="H33" s="158" t="inlineStr">
        <is>
          <t>Esther Constanza Venegas Castro</t>
        </is>
      </c>
      <c r="I33" s="158" t="inlineStr">
        <is>
          <t xml:space="preserve"> 57 3232641617 ext. 1503</t>
        </is>
      </c>
      <c r="J33" s="158" t="inlineStr">
        <is>
          <t>sgeneral@unad.edu.co</t>
        </is>
      </c>
      <c r="K33" s="139" t="inlineStr">
        <is>
          <t>https://secretaria.unad.edu.co/</t>
        </is>
      </c>
      <c r="L33" s="147" t="inlineStr">
        <is>
          <t>CORREGIDO</t>
        </is>
      </c>
      <c r="M33" s="136" t="n"/>
    </row>
    <row r="34" ht="30" customHeight="1" s="182">
      <c r="A34" s="158" t="inlineStr">
        <is>
          <t>Colombia</t>
        </is>
      </c>
      <c r="B34" s="158" t="inlineStr">
        <is>
          <t>Universidades públicas</t>
        </is>
      </c>
      <c r="C34" s="158" t="inlineStr">
        <is>
          <t>Universidad Oficial del Orden Departamental</t>
        </is>
      </c>
      <c r="D34" s="158" t="inlineStr">
        <is>
          <t>Universidad Internacional del Trópico Americano</t>
        </is>
      </c>
      <c r="E34" s="138" t="n"/>
      <c r="F34" s="220" t="inlineStr">
        <is>
          <t>Rectoría (secretaría)</t>
        </is>
      </c>
      <c r="G34" s="139" t="inlineStr">
        <is>
          <t>https://www.unitropico.edu.co</t>
        </is>
      </c>
      <c r="H34" s="158" t="inlineStr">
        <is>
          <t>César Rolando Castro Pineda</t>
        </is>
      </c>
      <c r="I34" s="158" t="inlineStr">
        <is>
          <t>no disponible publicamente</t>
        </is>
      </c>
      <c r="J34" s="220" t="inlineStr">
        <is>
          <t>secrerectoria@unitropico.edu.co</t>
        </is>
      </c>
      <c r="K34" s="221" t="inlineStr">
        <is>
          <t>https://www.funcionpublica.gov.co/dafpIndexerBHV/hvSigep/detallarHV/S4650297-4388-4</t>
        </is>
      </c>
      <c r="L34" s="188" t="inlineStr">
        <is>
          <t>VERIFICAR</t>
        </is>
      </c>
      <c r="M34" s="222" t="inlineStr">
        <is>
          <t>Auditoría 08-oct-2026: Fuente anterior era el directorio de la UNAD; secretariageneral@unitropico.edu.co no confirmado.</t>
        </is>
      </c>
    </row>
    <row r="35" ht="30" customHeight="1" s="182">
      <c r="A35" s="158" t="inlineStr">
        <is>
          <t>Colombia</t>
        </is>
      </c>
      <c r="B35" s="158" t="inlineStr">
        <is>
          <t>Universidades públicas</t>
        </is>
      </c>
      <c r="C35" s="158" t="inlineStr">
        <is>
          <t>Régimen Especial</t>
        </is>
      </c>
      <c r="D35" s="158" t="inlineStr">
        <is>
          <t>Universidad Autónoma Indígena Intercultural</t>
        </is>
      </c>
      <c r="E35" s="138" t="n"/>
      <c r="F35" s="158" t="inlineStr">
        <is>
          <t>Secretaría General</t>
        </is>
      </c>
      <c r="G35" s="139" t="inlineStr">
        <is>
          <t>https://www.uaiin-cric.edu.co</t>
        </is>
      </c>
      <c r="H35" s="158" t="inlineStr">
        <is>
          <t>Santiago Rivera</t>
        </is>
      </c>
      <c r="I35" s="158" t="inlineStr">
        <is>
          <t>no disponible publicamente</t>
        </is>
      </c>
      <c r="J35" s="158" t="inlineStr">
        <is>
          <t>secretaria@uaiinpebi-cric.edu.co</t>
        </is>
      </c>
      <c r="K35" s="139" t="inlineStr">
        <is>
          <t>https://www.uaiin-cric.edu.co/contacto/</t>
        </is>
      </c>
      <c r="L35" s="51" t="inlineStr">
        <is>
          <t>CONFIRMADO</t>
        </is>
      </c>
      <c r="M35" s="136" t="n"/>
    </row>
    <row r="36" ht="30" customHeight="1" s="182">
      <c r="A36" s="158" t="inlineStr">
        <is>
          <t>Colombia</t>
        </is>
      </c>
      <c r="B36" s="158" t="inlineStr">
        <is>
          <t>Formación técnica pública</t>
        </is>
      </c>
      <c r="C36" s="158" t="inlineStr">
        <is>
          <t>REGIONAL AMAZONAS</t>
        </is>
      </c>
      <c r="D36" s="158" t="inlineStr">
        <is>
          <t>CENTRO PARA LA BIODIVERSIDAD Y EL TURISMO DEL AMAZONAS -LETICIA-</t>
        </is>
      </c>
      <c r="E36" s="138" t="n"/>
      <c r="F36" s="153" t="inlineStr">
        <is>
          <t>Subdirección de Centro (Dirección Académica)</t>
        </is>
      </c>
      <c r="G36" s="142" t="inlineStr">
        <is>
          <t>https://senamazonas.blogspot.com</t>
        </is>
      </c>
      <c r="H36" s="158" t="inlineStr">
        <is>
          <t>ANA MARÍA LÓPEZ HERNÁNDEZ</t>
        </is>
      </c>
      <c r="I36" s="158" t="inlineStr">
        <is>
          <t>0985927626 Ext. 85224 -85225.</t>
        </is>
      </c>
      <c r="J36" s="158" t="inlineStr">
        <is>
          <t>alopezhe@sena.edu.co</t>
        </is>
      </c>
      <c r="K36" s="152" t="inlineStr">
        <is>
          <t>https://senamazonas.blogspot.com</t>
        </is>
      </c>
      <c r="L36" s="51" t="inlineStr">
        <is>
          <t>CONFIRMADO</t>
        </is>
      </c>
      <c r="M36" s="136" t="n"/>
    </row>
    <row r="37" ht="30" customHeight="1" s="182">
      <c r="A37" s="158" t="inlineStr">
        <is>
          <t>Colombia</t>
        </is>
      </c>
      <c r="B37" s="158" t="inlineStr">
        <is>
          <t>Formación técnica pública</t>
        </is>
      </c>
      <c r="C37" s="158" t="inlineStr">
        <is>
          <t>REGIONAL ANTIOQUIA</t>
        </is>
      </c>
      <c r="D37" s="158" t="inlineStr">
        <is>
          <t>CENTRO DE LOS RECURSOS NATURALES RENOVABLES LA SALADA -CALDAS-</t>
        </is>
      </c>
      <c r="E37" s="138" t="n"/>
      <c r="F37" s="153" t="inlineStr">
        <is>
          <t>Subdirección de Centro (Dirección Académica)</t>
        </is>
      </c>
      <c r="G37" s="52" t="inlineStr">
        <is>
          <t>https://senalasalada.blogspot.com/search</t>
        </is>
      </c>
      <c r="H37" s="158" t="inlineStr">
        <is>
          <t>Leonora Sanchez Tamayo</t>
        </is>
      </c>
      <c r="I37" s="158" t="inlineStr">
        <is>
          <t>5760000 Ext. 42918</t>
        </is>
      </c>
      <c r="J37" s="158" t="inlineStr">
        <is>
          <t>lsanchezt@sena.edu.co</t>
        </is>
      </c>
      <c r="K37" s="142" t="inlineStr">
        <is>
          <t>https://caprendizaje.sena.edu.co/sgva/sgva_diseno/pag/ListaCentros.aspx</t>
        </is>
      </c>
      <c r="L37" s="147" t="inlineStr">
        <is>
          <t>CONFIRMADO</t>
        </is>
      </c>
      <c r="M37" s="136" t="n"/>
    </row>
    <row r="38" ht="30" customHeight="1" s="182">
      <c r="A38" s="158" t="inlineStr">
        <is>
          <t>Colombia</t>
        </is>
      </c>
      <c r="B38" s="158" t="inlineStr">
        <is>
          <t>Formación técnica pública</t>
        </is>
      </c>
      <c r="C38" s="158" t="inlineStr">
        <is>
          <t>REGIONAL ANTIOQUIA</t>
        </is>
      </c>
      <c r="D38" s="158" t="inlineStr">
        <is>
          <t>CENTRO DE FORMACIÓN PROFESIONAL MINERO AMBIENTAL - EL BAGRE</t>
        </is>
      </c>
      <c r="E38" s="138" t="n"/>
      <c r="F38" s="153" t="inlineStr">
        <is>
          <t>Subdirección de Centro (Dirección Académica)</t>
        </is>
      </c>
      <c r="G38" s="154" t="inlineStr">
        <is>
          <t>https://centro-minero-ambiental.blogspot.com</t>
        </is>
      </c>
      <c r="H38" s="158" t="inlineStr">
        <is>
          <t>Eduin Manuel Llorente Vargas</t>
        </is>
      </c>
      <c r="I38" s="158" t="inlineStr">
        <is>
          <t>5760000 Ext. 45206</t>
        </is>
      </c>
      <c r="J38" s="158" t="inlineStr">
        <is>
          <t>ellorente@sena.edu.co</t>
        </is>
      </c>
      <c r="K38" s="139" t="inlineStr">
        <is>
          <t>https://caprendizaje.sena.edu.co/sgva/sgva_diseno/pag/ListaCentros.aspx</t>
        </is>
      </c>
      <c r="L38" s="147" t="inlineStr">
        <is>
          <t>CONFIRMADO</t>
        </is>
      </c>
      <c r="M38" s="136" t="n"/>
    </row>
    <row r="39" ht="30" customHeight="1" s="182">
      <c r="A39" s="158" t="inlineStr">
        <is>
          <t>Colombia</t>
        </is>
      </c>
      <c r="B39" s="158" t="inlineStr">
        <is>
          <t>Formación técnica pública</t>
        </is>
      </c>
      <c r="C39" s="158" t="inlineStr">
        <is>
          <t>REGIONAL ANTIOQUIA</t>
        </is>
      </c>
      <c r="D39" s="158" t="inlineStr">
        <is>
          <t>CENTRO DEL DISEÑO Y MANUFACTURA DEL CUERO -ITAGUI-</t>
        </is>
      </c>
      <c r="E39" s="138" t="n"/>
      <c r="F39" s="153" t="inlineStr">
        <is>
          <t>Subdirección de Centro (Dirección Académica)</t>
        </is>
      </c>
      <c r="G39" s="156" t="inlineStr">
        <is>
          <t>https://centrocuero.blogspot.com/p/blog-page_7.html</t>
        </is>
      </c>
      <c r="H39" s="158" t="inlineStr">
        <is>
          <t xml:space="preserve"> Dyron Javier Ramírez</t>
        </is>
      </c>
      <c r="I39" s="160" t="inlineStr">
        <is>
          <t>no disponible publicamente</t>
        </is>
      </c>
      <c r="J39" s="158" t="inlineStr">
        <is>
          <t>djramirez@sena.edu.co</t>
        </is>
      </c>
      <c r="K39" s="139" t="inlineStr">
        <is>
          <t>https://caprendizaje.sena.edu.co/sgva/sgva_diseno/pag/ListaCentros.aspx</t>
        </is>
      </c>
      <c r="L39" s="147" t="inlineStr">
        <is>
          <t>CONFIRMADO</t>
        </is>
      </c>
      <c r="M39" s="136" t="n"/>
    </row>
    <row r="40" ht="30" customHeight="1" s="182">
      <c r="A40" s="158" t="inlineStr">
        <is>
          <t>Colombia</t>
        </is>
      </c>
      <c r="B40" s="158" t="inlineStr">
        <is>
          <t>Formación técnica pública</t>
        </is>
      </c>
      <c r="C40" s="158" t="inlineStr">
        <is>
          <t>REGIONAL ANTIOQUIA</t>
        </is>
      </c>
      <c r="D40" s="158" t="inlineStr">
        <is>
          <t>CENTRO DE FORMACIÓN EN DISEÑO, CONFECCIÓN Y MODA -ITAGUI-</t>
        </is>
      </c>
      <c r="E40" s="138" t="n"/>
      <c r="F40" s="153" t="inlineStr">
        <is>
          <t>Subdirección de Centro (Dirección Académica)</t>
        </is>
      </c>
      <c r="G40" s="138" t="inlineStr">
        <is>
          <t>no disponible publicamente</t>
        </is>
      </c>
      <c r="H40" s="158" t="inlineStr">
        <is>
          <t>Claudia Patricia Agudelo Ocampo</t>
        </is>
      </c>
      <c r="I40" s="158" t="inlineStr">
        <is>
          <t>5760000 Ext. 43109</t>
        </is>
      </c>
      <c r="J40" s="158" t="inlineStr">
        <is>
          <t>cagudelo@sena.edu.co</t>
        </is>
      </c>
      <c r="K40" s="141" t="inlineStr">
        <is>
          <t>https://caprendizaje.sena.edu.co/sgva/sgva_diseno/pag/ListaCentros.aspx</t>
        </is>
      </c>
      <c r="L40" s="186" t="inlineStr">
        <is>
          <t>REVISADO CON OBSERVACIONES</t>
        </is>
      </c>
      <c r="M40" s="136" t="inlineStr">
        <is>
          <t>no existe pagina web, los datos disponibles en la base de datos</t>
        </is>
      </c>
    </row>
    <row r="41" ht="30" customHeight="1" s="182">
      <c r="A41" s="158" t="inlineStr">
        <is>
          <t>Colombia</t>
        </is>
      </c>
      <c r="B41" s="158" t="inlineStr">
        <is>
          <t>Formación técnica pública</t>
        </is>
      </c>
      <c r="C41" s="158" t="inlineStr">
        <is>
          <t>REGIONAL ANTIOQUIA</t>
        </is>
      </c>
      <c r="D41" s="158" t="inlineStr">
        <is>
          <t>CENTRO PARA EL DESARROLLO DEL HABITAT Y CONSTRUCCION -MEDELLIN-</t>
        </is>
      </c>
      <c r="E41" s="138" t="n"/>
      <c r="F41" s="153" t="inlineStr">
        <is>
          <t>Subdirección de Centro (Dirección Académica)</t>
        </is>
      </c>
      <c r="G41" s="159" t="inlineStr">
        <is>
          <t>https://centrodeconstruccion.blogspot.com/p/caracterizacion-de-aprendices.html</t>
        </is>
      </c>
      <c r="H41" s="158" t="inlineStr">
        <is>
          <t>John Fredy Martínez Gallego</t>
        </is>
      </c>
      <c r="I41" s="160" t="n">
        <v>5760000</v>
      </c>
      <c r="J41" s="158" t="inlineStr">
        <is>
          <t>johnmartinez@sena.edu.co</t>
        </is>
      </c>
      <c r="K41" s="139" t="inlineStr">
        <is>
          <t>https://caprendizaje.sena.edu.co/sgva/sgva_diseno/pag/ListaCentros.aspx</t>
        </is>
      </c>
      <c r="L41" s="223" t="inlineStr">
        <is>
          <t>REVISADO CON OBSERVACIONES</t>
        </is>
      </c>
      <c r="M41" s="136" t="inlineStr">
        <is>
          <t>No hay unidades de contacto en la pagina web, los que agregue son los de la base de datos</t>
        </is>
      </c>
    </row>
    <row r="42" ht="30" customHeight="1" s="182">
      <c r="A42" s="158" t="inlineStr">
        <is>
          <t>Colombia</t>
        </is>
      </c>
      <c r="B42" s="158" t="inlineStr">
        <is>
          <t>Formación técnica pública</t>
        </is>
      </c>
      <c r="C42" s="158" t="inlineStr">
        <is>
          <t>REGIONAL ANTIOQUIA</t>
        </is>
      </c>
      <c r="D42" s="158" t="inlineStr">
        <is>
          <t>CENTRO DE TECNOLOGÍA DE LA MANUFACTURA AVANZADA -MEDELLIN-</t>
        </is>
      </c>
      <c r="E42" s="138" t="n"/>
      <c r="F42" s="153" t="inlineStr">
        <is>
          <t>Subdirección de Centro (Dirección Académica)</t>
        </is>
      </c>
      <c r="G42" s="162" t="inlineStr">
        <is>
          <t>https://tecnologia-manufactura-avanzada.blogspot.com/p/noticias-ctma.html</t>
        </is>
      </c>
      <c r="H42" s="158" t="inlineStr">
        <is>
          <t>Honorio Oliveros Gómez</t>
        </is>
      </c>
      <c r="I42" s="158" t="inlineStr">
        <is>
          <t>PBX:+(57) 601 5461500 Ext:43306</t>
        </is>
      </c>
      <c r="J42" s="158" t="inlineStr">
        <is>
          <t>hgomez@sena.edu.co</t>
        </is>
      </c>
      <c r="K42" s="142" t="inlineStr">
        <is>
          <t>https://tecnologia-manufactura-avanzada.blogspot.com/p/noticias-ctma.html</t>
        </is>
      </c>
      <c r="L42" s="147" t="inlineStr">
        <is>
          <t>CONFIRMADO</t>
        </is>
      </c>
      <c r="M42" s="136" t="n"/>
    </row>
    <row r="43" ht="30" customHeight="1" s="182">
      <c r="A43" s="158" t="inlineStr">
        <is>
          <t>Colombia</t>
        </is>
      </c>
      <c r="B43" s="158" t="inlineStr">
        <is>
          <t>Formación técnica pública</t>
        </is>
      </c>
      <c r="C43" s="158" t="inlineStr">
        <is>
          <t>REGIONAL ANTIOQUIA</t>
        </is>
      </c>
      <c r="D43" s="158" t="inlineStr">
        <is>
          <t>CENTRO TECNOLOGICO DEL MOBILIARIO (ITAGUI</t>
        </is>
      </c>
      <c r="E43" s="138" t="n"/>
      <c r="F43" s="153" t="inlineStr">
        <is>
          <t>Subdirección de Centro (Dirección Académica)</t>
        </is>
      </c>
      <c r="G43" s="162" t="inlineStr">
        <is>
          <t>http://centrotecnologicodelmobiliariosena.blogspot.com</t>
        </is>
      </c>
      <c r="H43" s="158" t="inlineStr">
        <is>
          <t>Alvaro Andres Lopez Duque</t>
        </is>
      </c>
      <c r="I43" s="158" t="inlineStr">
        <is>
          <t>no disponible públicamente</t>
        </is>
      </c>
      <c r="J43" s="158" t="inlineStr">
        <is>
          <t>aalopezd@sena.edu.co</t>
        </is>
      </c>
      <c r="K43" s="142" t="inlineStr">
        <is>
          <t>http://centrotecnologicodelmobiliariosena.blogspot.com</t>
        </is>
      </c>
      <c r="L43" s="35" t="inlineStr">
        <is>
          <t>CONFIRMADO</t>
        </is>
      </c>
      <c r="M43" s="136" t="n"/>
    </row>
    <row r="44" ht="30" customHeight="1" s="182">
      <c r="A44" s="158" t="inlineStr">
        <is>
          <t>Colombia</t>
        </is>
      </c>
      <c r="B44" s="158" t="inlineStr">
        <is>
          <t>Formación técnica pública</t>
        </is>
      </c>
      <c r="C44" s="158" t="inlineStr">
        <is>
          <t>REGIONAL ANTIOQUIA</t>
        </is>
      </c>
      <c r="D44" s="158" t="inlineStr">
        <is>
          <t>CENTRO TEXTIL Y DE GESTIÓN INDUSTRIAL</t>
        </is>
      </c>
      <c r="E44" s="138" t="n"/>
      <c r="F44" s="153" t="inlineStr">
        <is>
          <t>Subdirección de Centro (Dirección Académica)</t>
        </is>
      </c>
      <c r="G44" s="159" t="inlineStr">
        <is>
          <t>https://centrotgi.blogspot.com</t>
        </is>
      </c>
      <c r="H44" s="158" t="inlineStr">
        <is>
          <t>Juan Camilo Ossa González</t>
        </is>
      </c>
      <c r="I44" s="158" t="inlineStr">
        <is>
          <t>5760000 Ext. 43311</t>
        </is>
      </c>
      <c r="J44" s="158" t="inlineStr">
        <is>
          <t>jcossa@sena.edu.co</t>
        </is>
      </c>
      <c r="K44" s="142" t="inlineStr">
        <is>
          <t>https://centrotgi.blogspot.com</t>
        </is>
      </c>
      <c r="L44" s="147" t="inlineStr">
        <is>
          <t>CONFIRMADO</t>
        </is>
      </c>
      <c r="M44" s="30" t="n"/>
    </row>
    <row r="45" ht="30" customHeight="1" s="182">
      <c r="A45" s="158" t="inlineStr">
        <is>
          <t>Colombia</t>
        </is>
      </c>
      <c r="B45" s="158" t="inlineStr">
        <is>
          <t>Formación técnica pública</t>
        </is>
      </c>
      <c r="C45" s="158" t="inlineStr">
        <is>
          <t>REGIONAL ANTIOQUIA</t>
        </is>
      </c>
      <c r="D45" s="158" t="inlineStr">
        <is>
          <t>CENTRO DE COMERCIO -MEDELLIN-</t>
        </is>
      </c>
      <c r="E45" s="138" t="n"/>
      <c r="F45" s="153" t="inlineStr">
        <is>
          <t>Subdirección de Centro (Dirección Académica)</t>
        </is>
      </c>
      <c r="G45" s="138" t="inlineStr">
        <is>
          <t>no disponible publicamente</t>
        </is>
      </c>
      <c r="H45" s="158" t="inlineStr">
        <is>
          <t>Oscar Javier Rincon Forero</t>
        </is>
      </c>
      <c r="I45" s="158" t="inlineStr">
        <is>
          <t>5760000 Ext. 42362</t>
        </is>
      </c>
      <c r="J45" s="158" t="inlineStr">
        <is>
          <t>ojrincon@sena.edu.co</t>
        </is>
      </c>
      <c r="K45" s="139" t="inlineStr">
        <is>
          <t>https://caprendizaje.sena.edu.co/sgva/sgva_diseno/pag/ListaCentros.aspx</t>
        </is>
      </c>
      <c r="L45" s="188" t="inlineStr">
        <is>
          <t>REVISADO CON OBSERVACIONES</t>
        </is>
      </c>
      <c r="M45" s="30" t="inlineStr">
        <is>
          <t>no hay pagina web, los datos son los de la base de datos</t>
        </is>
      </c>
    </row>
    <row r="46" ht="30" customHeight="1" s="182">
      <c r="A46" s="158" t="inlineStr">
        <is>
          <t>Colombia</t>
        </is>
      </c>
      <c r="B46" s="158" t="inlineStr">
        <is>
          <t>Formación técnica pública</t>
        </is>
      </c>
      <c r="C46" s="158" t="inlineStr">
        <is>
          <t>REGIONAL ANTIOQUIA</t>
        </is>
      </c>
      <c r="D46" s="158" t="inlineStr">
        <is>
          <t>COMPLEJO TEGNOLOGICO PARA LA GESTION AGROEMPRESARIAL -CAUCASIA-</t>
        </is>
      </c>
      <c r="E46" s="138" t="n"/>
      <c r="F46" s="153" t="inlineStr">
        <is>
          <t>Subdirección de Centro (Dirección Académica)</t>
        </is>
      </c>
      <c r="G46" s="156" t="inlineStr">
        <is>
          <t>http://ctmasena.blogspot.com</t>
        </is>
      </c>
      <c r="H46" s="158" t="inlineStr">
        <is>
          <t>Abel Antonio Tejada Diaz</t>
        </is>
      </c>
      <c r="I46" s="158" t="inlineStr">
        <is>
          <t>PBX:+(57) 601 5461500 Ext:43812</t>
        </is>
      </c>
      <c r="J46" s="158" t="inlineStr">
        <is>
          <t>atejada@sena.edu.co</t>
        </is>
      </c>
      <c r="K46" s="139" t="inlineStr">
        <is>
          <t>https://caprendizaje.sena.edu.co/sgva/sgva_diseno/pag/ListaCentros.aspx</t>
        </is>
      </c>
      <c r="L46" s="188" t="inlineStr">
        <is>
          <t>REVISADO CON OBSERVACIONES</t>
        </is>
      </c>
      <c r="M46" s="30" t="inlineStr">
        <is>
          <t>No hay unidades de contacto en la pagina web, los que agregue son los de la base de datos</t>
        </is>
      </c>
    </row>
    <row r="47" ht="30" customHeight="1" s="182">
      <c r="A47" s="158" t="inlineStr">
        <is>
          <t>Colombia</t>
        </is>
      </c>
      <c r="B47" s="158" t="inlineStr">
        <is>
          <t>Formación técnica pública</t>
        </is>
      </c>
      <c r="C47" s="158" t="inlineStr">
        <is>
          <t>REGIONAL ANTIOQUIA</t>
        </is>
      </c>
      <c r="D47" s="158" t="inlineStr">
        <is>
          <t>COMPLEJO TECNOLOGICO MINERO AGROEMPRESARIAL - PUERTO BERRIO -</t>
        </is>
      </c>
      <c r="E47" s="138" t="n"/>
      <c r="F47" s="153" t="inlineStr">
        <is>
          <t>Subdirección de Centro (Dirección Académica)</t>
        </is>
      </c>
      <c r="G47" s="156" t="inlineStr">
        <is>
          <t>http://ctmasena.blogspot.com</t>
        </is>
      </c>
      <c r="H47" s="158" t="inlineStr">
        <is>
          <t>Caty Yulieth Santa Viedna</t>
        </is>
      </c>
      <c r="I47" s="158" t="inlineStr">
        <is>
          <t>5760000 Ext. 43773</t>
        </is>
      </c>
      <c r="J47" s="158" t="inlineStr">
        <is>
          <t>Csantav@sena.edu.co</t>
        </is>
      </c>
      <c r="K47" s="139" t="inlineStr">
        <is>
          <t>https://caprendizaje.sena.edu.co/sgva/sgva_diseno/pag/ListaCentros.aspx</t>
        </is>
      </c>
      <c r="L47" s="186" t="inlineStr">
        <is>
          <t>REVISADO CON OBSERVACIONES</t>
        </is>
      </c>
      <c r="M47" s="30" t="inlineStr">
        <is>
          <t>No hay unidades de contacto en la pagina web, los que agregue son los de la base de datos</t>
        </is>
      </c>
    </row>
    <row r="48" ht="30" customHeight="1" s="182">
      <c r="A48" s="158" t="inlineStr">
        <is>
          <t>Colombia</t>
        </is>
      </c>
      <c r="B48" s="158" t="inlineStr">
        <is>
          <t>Formación técnica pública</t>
        </is>
      </c>
      <c r="C48" s="158" t="inlineStr">
        <is>
          <t>REGIONAL ANTIOQUIA</t>
        </is>
      </c>
      <c r="D48" s="158" t="inlineStr">
        <is>
          <t>CENTRO DE LA INNOVACIÓN, LA AGROINDUSTRIA Y LA AVIACIÓN - RIONEGRO</t>
        </is>
      </c>
      <c r="E48" s="138" t="n"/>
      <c r="F48" s="153" t="inlineStr">
        <is>
          <t>Subdirección de Centro (Dirección Académica)</t>
        </is>
      </c>
      <c r="G48" s="162" t="inlineStr">
        <is>
          <t>https://senaoriente.blogspot.com</t>
        </is>
      </c>
      <c r="H48" s="158" t="inlineStr">
        <is>
          <t>Eliana Cristina Garzón Montes</t>
        </is>
      </c>
      <c r="I48" s="158" t="inlineStr">
        <is>
          <t>5760000 Ext. 43906</t>
        </is>
      </c>
      <c r="J48" s="158" t="inlineStr">
        <is>
          <t>egarzonm@sena.edu.co</t>
        </is>
      </c>
      <c r="K48" s="142" t="inlineStr">
        <is>
          <t>https://senaoriente.blogspot.com</t>
        </is>
      </c>
      <c r="L48" s="147" t="inlineStr">
        <is>
          <t>CONFIRMADO</t>
        </is>
      </c>
      <c r="M48" s="30" t="n"/>
    </row>
    <row r="49" ht="30" customHeight="1" s="182">
      <c r="A49" s="158" t="inlineStr">
        <is>
          <t>Colombia</t>
        </is>
      </c>
      <c r="B49" s="158" t="inlineStr">
        <is>
          <t>Formación técnica pública</t>
        </is>
      </c>
      <c r="C49" s="158" t="inlineStr">
        <is>
          <t>REGIONAL ANTIOQUIA</t>
        </is>
      </c>
      <c r="D49" s="158" t="inlineStr">
        <is>
          <t>COMPLEJO TECNOLOGICO AGROINDUSTRIAL,PECUARIO Y TURISTICO -URABA-</t>
        </is>
      </c>
      <c r="E49" s="73" t="n"/>
      <c r="F49" s="153" t="inlineStr">
        <is>
          <t>Subdirección de Centro (Dirección Académica)</t>
        </is>
      </c>
      <c r="G49" s="18" t="inlineStr">
        <is>
          <t>https://prezi.com/p/v2tucuzgjre7/complejo-tecnologico-agroindustrial-pecuario-y-turistico-regional-antioquia/</t>
        </is>
      </c>
      <c r="H49" s="124" t="inlineStr">
        <is>
          <t>Norma Ruby Saenz Bustamante</t>
        </is>
      </c>
      <c r="I49" s="124" t="inlineStr">
        <is>
          <t>no disponible públicamente</t>
        </is>
      </c>
      <c r="J49" s="124" t="inlineStr">
        <is>
          <t>nsaez@sena.edu.co</t>
        </is>
      </c>
      <c r="K49" s="76" t="inlineStr">
        <is>
          <t>https://caprendizaje.sena.edu.co/sgva/sgva_diseno/pag/ListaCentros.aspx</t>
        </is>
      </c>
      <c r="L49" s="223" t="inlineStr">
        <is>
          <t>REVISADO CON OBSERVACIONES</t>
        </is>
      </c>
      <c r="M49" s="30" t="inlineStr">
        <is>
          <t>la pagina web pide tener una cuenta intitucional. Los datos son de la base de datos</t>
        </is>
      </c>
    </row>
    <row r="50" ht="30" customHeight="1" s="182">
      <c r="A50" s="158" t="inlineStr">
        <is>
          <t>Colombia</t>
        </is>
      </c>
      <c r="B50" s="158" t="inlineStr">
        <is>
          <t>Formación técnica pública</t>
        </is>
      </c>
      <c r="C50" s="158" t="inlineStr">
        <is>
          <t>REGIONAL ANTIOQUIA</t>
        </is>
      </c>
      <c r="D50" s="158" t="inlineStr">
        <is>
          <t>CENTRO DE SERVICIOS DE SALUD -MEDELLIN-</t>
        </is>
      </c>
      <c r="E50" s="73" t="n"/>
      <c r="F50" s="153" t="inlineStr">
        <is>
          <t>Subdirección de Centro (Dirección Académica)</t>
        </is>
      </c>
      <c r="G50" s="18" t="inlineStr">
        <is>
          <t>http://centrodeserviciosdesaludsena.blogspot.com/2026/08/</t>
        </is>
      </c>
      <c r="H50" s="124" t="inlineStr">
        <is>
          <t>Yessica Paola González Granada</t>
        </is>
      </c>
      <c r="I50" s="124" t="inlineStr">
        <is>
          <t>5760000 Ext. 42132</t>
        </is>
      </c>
      <c r="J50" s="124" t="inlineStr">
        <is>
          <t>ypgonzalezg@sena.edu.co</t>
        </is>
      </c>
      <c r="K50" s="52" t="inlineStr">
        <is>
          <t>http://centrodeserviciosdesaludsena.blogspot.com/2026/08/</t>
        </is>
      </c>
      <c r="L50" s="188" t="inlineStr">
        <is>
          <t>REVISADO CON OBSERVACIONES</t>
        </is>
      </c>
      <c r="M50" s="30" t="inlineStr">
        <is>
          <t>No hay unidades de contacto en la pagina web, los que agregue son los de la base de datos</t>
        </is>
      </c>
    </row>
    <row r="51" ht="30" customHeight="1" s="182">
      <c r="A51" s="158" t="inlineStr">
        <is>
          <t>Colombia</t>
        </is>
      </c>
      <c r="B51" s="158" t="inlineStr">
        <is>
          <t>Formación técnica pública</t>
        </is>
      </c>
      <c r="C51" s="158" t="inlineStr">
        <is>
          <t>REGIONAL ANTIOQUIA</t>
        </is>
      </c>
      <c r="D51" s="158" t="inlineStr">
        <is>
          <t>CENTRO DE SERVICIOS Y GESTION EMPRESARIAL -MEDELLIN-</t>
        </is>
      </c>
      <c r="E51" s="73" t="n"/>
      <c r="F51" s="153" t="inlineStr">
        <is>
          <t>Subdirección de Centro (Dirección Académica)</t>
        </is>
      </c>
      <c r="G51" s="36" t="inlineStr">
        <is>
          <t>http://centrodeserviciosygestionempresarial.blogspot.com/2025/11/el-centro-de-servicios-y-gestion_10.html</t>
        </is>
      </c>
      <c r="H51" s="124" t="inlineStr">
        <is>
          <t>Deisy Carolina Garzón Cardona</t>
        </is>
      </c>
      <c r="I51" s="169" t="n">
        <v>5760000</v>
      </c>
      <c r="J51" s="124" t="inlineStr">
        <is>
          <t>dcgarzon@sena.edu.co</t>
        </is>
      </c>
      <c r="K51" s="52" t="inlineStr">
        <is>
          <t>http://centrodeserviciosygestionempresarial.blogspot.com/2025/11/el-centro-de-servicios-y-gestion_10.html</t>
        </is>
      </c>
      <c r="L51" s="35" t="inlineStr">
        <is>
          <t>CONFIRMADO</t>
        </is>
      </c>
      <c r="M51" s="30" t="n"/>
    </row>
    <row r="52" ht="30" customHeight="1" s="182">
      <c r="A52" s="158" t="inlineStr">
        <is>
          <t>Colombia</t>
        </is>
      </c>
      <c r="B52" s="158" t="inlineStr">
        <is>
          <t>Formación técnica pública</t>
        </is>
      </c>
      <c r="C52" s="158" t="inlineStr">
        <is>
          <t>REGIONAL ANTIOQUIA</t>
        </is>
      </c>
      <c r="D52" s="158" t="inlineStr">
        <is>
          <t>COMPLEJO TECNOLOGICO TURISTICO Y AGROINDUSTRIAL DEL OCCIDENTE ANTIOQUEÑO</t>
        </is>
      </c>
      <c r="E52" s="73" t="n"/>
      <c r="F52" s="153" t="inlineStr">
        <is>
          <t>Subdirección de Centro (Dirección Académica)</t>
        </is>
      </c>
      <c r="G52" s="18" t="inlineStr">
        <is>
          <t>https://sena-occidente.blogspot.com</t>
        </is>
      </c>
      <c r="H52" s="124" t="inlineStr">
        <is>
          <t>Weimar Gómez Rivillas</t>
        </is>
      </c>
      <c r="I52" s="124" t="inlineStr">
        <is>
          <t>no disponible publicamente</t>
        </is>
      </c>
      <c r="J52" s="203" t="inlineStr">
        <is>
          <t>wgomezr@sena.edu.co</t>
        </is>
      </c>
      <c r="K52" s="76" t="inlineStr">
        <is>
          <t>https://caprendizaje.sena.edu.co/sgva/sgva_diseno/pag/ListaCentros.aspx</t>
        </is>
      </c>
      <c r="L52" s="147" t="inlineStr">
        <is>
          <t>CORREGIDO</t>
        </is>
      </c>
      <c r="M52" s="30" t="n"/>
    </row>
    <row r="53" ht="30" customHeight="1" s="182">
      <c r="A53" s="158" t="inlineStr">
        <is>
          <t>Colombia</t>
        </is>
      </c>
      <c r="B53" s="158" t="inlineStr">
        <is>
          <t>Formación técnica pública</t>
        </is>
      </c>
      <c r="C53" s="158" t="inlineStr">
        <is>
          <t>REGIONAL ARAUCA</t>
        </is>
      </c>
      <c r="D53" s="158" t="inlineStr">
        <is>
          <t>CENTRO DE GESTION Y DESARROLLO AGROINDUSTRIAL DE ARAUCA -ARAUCA-</t>
        </is>
      </c>
      <c r="E53" s="73" t="n"/>
      <c r="F53" s="153" t="inlineStr">
        <is>
          <t>Subdirección de Centro (Dirección Académica)</t>
        </is>
      </c>
      <c r="G53" s="18" t="inlineStr">
        <is>
          <t>http://araucasena.blogspot.com</t>
        </is>
      </c>
      <c r="H53" s="124" t="inlineStr">
        <is>
          <t>Edyd Gustavo Gómez Franco</t>
        </is>
      </c>
      <c r="I53" s="169" t="n">
        <v>3144220076</v>
      </c>
      <c r="J53" s="124" t="inlineStr">
        <is>
          <t>egomez@sena.edu.co</t>
        </is>
      </c>
      <c r="K53" s="76" t="inlineStr">
        <is>
          <t>https://caprendizaje.sena.edu.co/sgva/sgva_diseno/pag/ListaCentros.aspx</t>
        </is>
      </c>
      <c r="L53" s="188" t="inlineStr">
        <is>
          <t>REVISADO CON OBSERVACIONES</t>
        </is>
      </c>
      <c r="M53" s="30" t="inlineStr">
        <is>
          <t>No hay unidades de contacto en la pagina web, los que agregue son los de la base de datos</t>
        </is>
      </c>
    </row>
    <row r="54" ht="30" customHeight="1" s="182">
      <c r="A54" s="158" t="inlineStr">
        <is>
          <t>Colombia</t>
        </is>
      </c>
      <c r="B54" s="158" t="inlineStr">
        <is>
          <t>Formación técnica pública</t>
        </is>
      </c>
      <c r="C54" s="158" t="inlineStr">
        <is>
          <t>REGIONAL ATLANTICO</t>
        </is>
      </c>
      <c r="D54" s="158" t="inlineStr">
        <is>
          <t>CENTRO DE COMERCIO Y SERVICIOS -BARRANQUILLA-</t>
        </is>
      </c>
      <c r="E54" s="73" t="n"/>
      <c r="F54" s="153" t="inlineStr">
        <is>
          <t>Subdirección de Centro (Dirección Académica)</t>
        </is>
      </c>
      <c r="G54" s="36" t="inlineStr">
        <is>
          <t>http://centrodecomercioyserviciosatl.blogspot.com/p/aprendices.html</t>
        </is>
      </c>
      <c r="H54" s="124" t="inlineStr">
        <is>
          <t>Nataly Del Carmen Romero Fernandez</t>
        </is>
      </c>
      <c r="I54" s="124" t="inlineStr">
        <is>
          <t>no disponible publicamente</t>
        </is>
      </c>
      <c r="J54" s="124" t="inlineStr">
        <is>
          <t>ndcromero@sena.edu.co</t>
        </is>
      </c>
      <c r="K54" s="52" t="inlineStr">
        <is>
          <t>http://centrodecomercioyserviciosatl.blogspot.com/p/aprendices.html</t>
        </is>
      </c>
      <c r="L54" s="161" t="inlineStr">
        <is>
          <t>CORREGIDO</t>
        </is>
      </c>
      <c r="M54" s="30" t="n"/>
    </row>
    <row r="55" ht="30" customHeight="1" s="182">
      <c r="A55" s="158" t="inlineStr">
        <is>
          <t>Colombia</t>
        </is>
      </c>
      <c r="B55" s="158" t="inlineStr">
        <is>
          <t>Formación técnica pública</t>
        </is>
      </c>
      <c r="C55" s="158" t="inlineStr">
        <is>
          <t>REGIONAL ATLANTICO</t>
        </is>
      </c>
      <c r="D55" s="158" t="inlineStr">
        <is>
          <t>CENTRO NACIONAL COLOMBO ALEMAN -BARRANQUILLA-</t>
        </is>
      </c>
      <c r="E55" s="73" t="n"/>
      <c r="F55" s="153" t="inlineStr">
        <is>
          <t>Subdirección de Centro (Dirección Académica)</t>
        </is>
      </c>
      <c r="G55" s="36" t="inlineStr">
        <is>
          <t>http://centronalcolomboaleman.blogspot.com/2022/07/</t>
        </is>
      </c>
      <c r="H55" s="124" t="inlineStr">
        <is>
          <t>Dorys Del Toro
Ruiz</t>
        </is>
      </c>
      <c r="I55" s="124" t="inlineStr">
        <is>
          <t>no disponible publicamente</t>
        </is>
      </c>
      <c r="J55" s="124" t="inlineStr">
        <is>
          <t>dedeltoror@sena.edu.co</t>
        </is>
      </c>
      <c r="K55" s="52" t="inlineStr">
        <is>
          <t>http://centronalcolomboaleman.blogspot.com/2022/07/</t>
        </is>
      </c>
      <c r="L55" s="147" t="inlineStr">
        <is>
          <t>CONFIRMADO</t>
        </is>
      </c>
      <c r="M55" s="30" t="n"/>
    </row>
    <row r="56" ht="30" customHeight="1" s="182">
      <c r="A56" s="158" t="inlineStr">
        <is>
          <t>Colombia</t>
        </is>
      </c>
      <c r="B56" s="158" t="inlineStr">
        <is>
          <t>Formación técnica pública</t>
        </is>
      </c>
      <c r="C56" s="158" t="inlineStr">
        <is>
          <t>REGIONAL ATLANTICO</t>
        </is>
      </c>
      <c r="D56" s="158" t="inlineStr">
        <is>
          <t>CENTRO INDUSTRIAL Y DE AVIACION -BARRANQUILLA-</t>
        </is>
      </c>
      <c r="E56" s="73" t="n"/>
      <c r="F56" s="153" t="inlineStr">
        <is>
          <t>Subdirección de Centro (Dirección Académica)</t>
        </is>
      </c>
      <c r="G56" s="36" t="inlineStr">
        <is>
          <t>https://industrialyaviacionatlco.blogspot.com/2021/02/proceso-de-evaluacion-y-certificacion.html</t>
        </is>
      </c>
      <c r="H56" s="124" t="inlineStr">
        <is>
          <t>Hernando Luis Estarita Tapias</t>
        </is>
      </c>
      <c r="I56" s="124" t="inlineStr">
        <is>
          <t>no disponible publicamente</t>
        </is>
      </c>
      <c r="J56" s="124" t="inlineStr">
        <is>
          <t>hestarita@sena.edu.co</t>
        </is>
      </c>
      <c r="K56" s="53" t="inlineStr">
        <is>
          <t>https://industrialyaviacionatlco.blogspot.com/2021/02/proceso-de-evaluacion-y-certificacion.html</t>
        </is>
      </c>
      <c r="L56" s="161" t="inlineStr">
        <is>
          <t>CORREGIDO</t>
        </is>
      </c>
      <c r="M56" s="30" t="n"/>
    </row>
    <row r="57" ht="30" customHeight="1" s="182">
      <c r="A57" s="158" t="inlineStr">
        <is>
          <t>Colombia</t>
        </is>
      </c>
      <c r="B57" s="158" t="inlineStr">
        <is>
          <t>Formación técnica pública</t>
        </is>
      </c>
      <c r="C57" s="158" t="inlineStr">
        <is>
          <t>REGIONAL ATLANTICO</t>
        </is>
      </c>
      <c r="D57" s="158" t="inlineStr">
        <is>
          <t>CENTRO PARA EL DESARROLLO AGROECOLOGICO Y AGROINDUSTRIAL -SABANALARGA-</t>
        </is>
      </c>
      <c r="E57" s="73" t="n"/>
      <c r="F57" s="153" t="inlineStr">
        <is>
          <t>Subdirección de Centro (Dirección Académica)</t>
        </is>
      </c>
      <c r="G57" s="18" t="inlineStr">
        <is>
          <t>https://cedagro.blogspot.com/2025/10/resultados-oficiales-nueva.html</t>
        </is>
      </c>
      <c r="H57" s="124" t="inlineStr">
        <is>
          <t>Maria Nelly Flórez Rodríguez</t>
        </is>
      </c>
      <c r="I57" s="169" t="inlineStr">
        <is>
          <t>no disponible publicamente</t>
        </is>
      </c>
      <c r="J57" s="203" t="inlineStr">
        <is>
          <t>mnflorezro@sena.edu.co</t>
        </is>
      </c>
      <c r="K57" s="52" t="inlineStr">
        <is>
          <t>https://cedagro.blogspot.com/2025/10/resultados-oficiales-nueva.html</t>
        </is>
      </c>
      <c r="L57" s="35" t="inlineStr">
        <is>
          <t>CORREGIDO</t>
        </is>
      </c>
      <c r="M57" s="30" t="n"/>
    </row>
    <row r="58" ht="30" customHeight="1" s="182">
      <c r="A58" s="158" t="inlineStr">
        <is>
          <t>Colombia</t>
        </is>
      </c>
      <c r="B58" s="158" t="inlineStr">
        <is>
          <t>Formación técnica pública</t>
        </is>
      </c>
      <c r="C58" s="158" t="inlineStr">
        <is>
          <t>REGIONAL BOLIVAR</t>
        </is>
      </c>
      <c r="D58" s="158" t="inlineStr">
        <is>
          <t>CENTRO DE COMERCIO Y SERVICIOS - CARTAGENA</t>
        </is>
      </c>
      <c r="E58" s="73" t="n"/>
      <c r="F58" s="153" t="inlineStr">
        <is>
          <t>Subdirección de Centro (Dirección Académica)</t>
        </is>
      </c>
      <c r="G58" s="18" t="inlineStr">
        <is>
          <t>https://cysbolivar.blogspot.com/p/directorio.html</t>
        </is>
      </c>
      <c r="H58" s="124" t="inlineStr">
        <is>
          <t>Carlos Estarita Serrano</t>
        </is>
      </c>
      <c r="I58" s="124" t="inlineStr">
        <is>
          <t>6697100 Ext. 52510</t>
        </is>
      </c>
      <c r="J58" s="124" t="inlineStr">
        <is>
          <t>cestarita@sena.edu.co</t>
        </is>
      </c>
      <c r="K58" s="52" t="inlineStr">
        <is>
          <t>https://cysbolivar.blogspot.com/p/directorio.html</t>
        </is>
      </c>
      <c r="L58" s="147" t="inlineStr">
        <is>
          <t>CONFIRMADO</t>
        </is>
      </c>
      <c r="M58" s="30" t="n"/>
    </row>
    <row r="59" ht="30" customHeight="1" s="182">
      <c r="A59" s="158" t="inlineStr">
        <is>
          <t>Colombia</t>
        </is>
      </c>
      <c r="B59" s="158" t="inlineStr">
        <is>
          <t>Formación técnica pública</t>
        </is>
      </c>
      <c r="C59" s="158" t="inlineStr">
        <is>
          <t>REGIONAL BOLIVAR</t>
        </is>
      </c>
      <c r="D59" s="158" t="inlineStr">
        <is>
          <t>CENTRO PARA LA INDUSTRIA PETROQUIMICA -CARTAGENA-</t>
        </is>
      </c>
      <c r="E59" s="73" t="n"/>
      <c r="F59" s="153" t="inlineStr">
        <is>
          <t>Subdirección de Centro (Dirección Académica)</t>
        </is>
      </c>
      <c r="G59" s="18" t="inlineStr">
        <is>
          <t>https://cipbolivar.blogspot.com/p/directorio.html</t>
        </is>
      </c>
      <c r="H59" s="124" t="inlineStr">
        <is>
          <t>Jorge Villanueva</t>
        </is>
      </c>
      <c r="I59" s="169" t="inlineStr">
        <is>
          <t>no disponible publicamente</t>
        </is>
      </c>
      <c r="J59" s="124" t="inlineStr">
        <is>
          <t>jvillanueva@sena.edu.co</t>
        </is>
      </c>
      <c r="K59" s="52" t="inlineStr">
        <is>
          <t>https://cipbolivar.blogspot.com/p/directorio.html</t>
        </is>
      </c>
      <c r="L59" s="35" t="inlineStr">
        <is>
          <t>CORREGIDO</t>
        </is>
      </c>
      <c r="M59" s="30" t="n"/>
    </row>
    <row r="60" ht="30" customHeight="1" s="182">
      <c r="A60" s="158" t="inlineStr">
        <is>
          <t>Colombia</t>
        </is>
      </c>
      <c r="B60" s="158" t="inlineStr">
        <is>
          <t>Formación técnica pública</t>
        </is>
      </c>
      <c r="C60" s="158" t="inlineStr">
        <is>
          <t>REGIONAL BOLIVAR</t>
        </is>
      </c>
      <c r="D60" s="158" t="inlineStr">
        <is>
          <t>CENTRO AGROEMPRESARIAL Y MINERO - CARTAGENA-</t>
        </is>
      </c>
      <c r="E60" s="73" t="n"/>
      <c r="F60" s="153" t="inlineStr">
        <is>
          <t>Subdirección de Centro (Dirección Académica)</t>
        </is>
      </c>
      <c r="G60" s="18" t="inlineStr">
        <is>
          <t>http://caymbolivar.blogspot.com</t>
        </is>
      </c>
      <c r="H60" s="124" t="inlineStr">
        <is>
          <t>Sandra Torres Benavides</t>
        </is>
      </c>
      <c r="I60" s="124" t="inlineStr">
        <is>
          <t>no disponible publicamente</t>
        </is>
      </c>
      <c r="J60" s="124" t="inlineStr">
        <is>
          <t>storres@sena.edu.co</t>
        </is>
      </c>
      <c r="K60" s="52" t="inlineStr">
        <is>
          <t>http://caymbolivar.blogspot.com</t>
        </is>
      </c>
      <c r="L60" s="35" t="inlineStr">
        <is>
          <t>CONFIRMADO</t>
        </is>
      </c>
      <c r="M60" s="30" t="n"/>
    </row>
    <row r="61" ht="30" customHeight="1" s="182">
      <c r="A61" s="158" t="inlineStr">
        <is>
          <t>Colombia</t>
        </is>
      </c>
      <c r="B61" s="158" t="inlineStr">
        <is>
          <t>Formación técnica pública</t>
        </is>
      </c>
      <c r="C61" s="158" t="inlineStr">
        <is>
          <t>REGIONAL BOLIVAR</t>
        </is>
      </c>
      <c r="D61" s="158" t="inlineStr">
        <is>
          <t>CENTRO INTERNACIONAL NAUTICO, FLUVIAL Y PORTUARIO - CARTAGENA-</t>
        </is>
      </c>
      <c r="E61" s="73" t="n"/>
      <c r="F61" s="153" t="inlineStr">
        <is>
          <t>Subdirección de Centro (Dirección Académica)</t>
        </is>
      </c>
      <c r="G61" s="18" t="inlineStr">
        <is>
          <t>http://nauticobolivar.blogspot.com</t>
        </is>
      </c>
      <c r="H61" s="124" t="inlineStr">
        <is>
          <t>Aleidys María Sarabia Blanco</t>
        </is>
      </c>
      <c r="I61" s="124" t="inlineStr">
        <is>
          <t>6697100 Ext. 52711</t>
        </is>
      </c>
      <c r="J61" s="124" t="inlineStr">
        <is>
          <t>asarabia@sena.edu.co</t>
        </is>
      </c>
      <c r="K61" s="52" t="inlineStr">
        <is>
          <t>http://nauticobolivar.blogspot.com</t>
        </is>
      </c>
      <c r="L61" s="35" t="inlineStr">
        <is>
          <t>CONFIRMADO</t>
        </is>
      </c>
      <c r="M61" s="30" t="n"/>
    </row>
    <row r="62" ht="30" customHeight="1" s="182">
      <c r="A62" s="158" t="inlineStr">
        <is>
          <t>Colombia</t>
        </is>
      </c>
      <c r="B62" s="158" t="inlineStr">
        <is>
          <t>Formación técnica pública</t>
        </is>
      </c>
      <c r="C62" s="158" t="inlineStr">
        <is>
          <t>REGIONAL BOYACA</t>
        </is>
      </c>
      <c r="D62" s="158" t="inlineStr">
        <is>
          <t>CENTRO DE DESARROLLO AGROPECUARIUO Y AGROINDUSTRIAL – DUITAMA</t>
        </is>
      </c>
      <c r="E62" s="73" t="n"/>
      <c r="F62" s="153" t="inlineStr">
        <is>
          <t>Subdirección de Centro (Dirección Académica)</t>
        </is>
      </c>
      <c r="G62" s="18" t="inlineStr">
        <is>
          <t>https://cedeagro.blogspot.com/p/informacion-del-centro.html</t>
        </is>
      </c>
      <c r="H62" s="124" t="inlineStr">
        <is>
          <t>Enith Yadira Ramírez Camargo</t>
        </is>
      </c>
      <c r="I62" s="169" t="inlineStr">
        <is>
          <t>NO DIsponible publicamente</t>
        </is>
      </c>
      <c r="J62" s="203" t="inlineStr">
        <is>
          <t>eramirezc@sena.edu.co</t>
        </is>
      </c>
      <c r="K62" s="52" t="inlineStr">
        <is>
          <t>https://cedeagro.blogspot.com/p/informacion-del-centro.html</t>
        </is>
      </c>
      <c r="L62" s="35" t="inlineStr">
        <is>
          <t>CORREGIDO</t>
        </is>
      </c>
      <c r="M62" s="30" t="n"/>
    </row>
    <row r="63" ht="30" customHeight="1" s="182">
      <c r="A63" s="158" t="inlineStr">
        <is>
          <t>Colombia</t>
        </is>
      </c>
      <c r="B63" s="158" t="inlineStr">
        <is>
          <t>Formación técnica pública</t>
        </is>
      </c>
      <c r="C63" s="158" t="inlineStr">
        <is>
          <t>REGIONAL BOYACA</t>
        </is>
      </c>
      <c r="D63" s="158" t="inlineStr">
        <is>
          <t>CENTRO MINERO -MORCA-</t>
        </is>
      </c>
      <c r="E63" s="73" t="n"/>
      <c r="F63" s="153" t="inlineStr">
        <is>
          <t>Subdirección de Centro (Dirección Académica)</t>
        </is>
      </c>
      <c r="G63" s="18" t="inlineStr">
        <is>
          <t>https://centronacionalminero.blogspot.com/2010/02/</t>
        </is>
      </c>
      <c r="H63" s="124" t="inlineStr">
        <is>
          <t>Deisy Milena Mesa Fagua</t>
        </is>
      </c>
      <c r="I63" s="169" t="n">
        <v>3054042146</v>
      </c>
      <c r="J63" s="124" t="inlineStr">
        <is>
          <t>dmmesa@sena.edu.co</t>
        </is>
      </c>
      <c r="K63" s="76" t="inlineStr">
        <is>
          <t>https://caprendizaje.sena.edu.co/sgva/sgva_diseno/pag/ListaCentros.aspx</t>
        </is>
      </c>
      <c r="L63" s="186" t="inlineStr">
        <is>
          <t>REVISADO CON OBSERVACIONES</t>
        </is>
      </c>
      <c r="M63" s="30" t="inlineStr">
        <is>
          <t>No hay unidades de contacto en la pagina web, los que agregue son los de la base de datos</t>
        </is>
      </c>
    </row>
    <row r="64" ht="30" customHeight="1" s="182">
      <c r="A64" s="158" t="inlineStr">
        <is>
          <t>Colombia</t>
        </is>
      </c>
      <c r="B64" s="158" t="inlineStr">
        <is>
          <t>Formación técnica pública</t>
        </is>
      </c>
      <c r="C64" s="158" t="inlineStr">
        <is>
          <t>REGIONAL BOYACA</t>
        </is>
      </c>
      <c r="D64" s="158" t="inlineStr">
        <is>
          <t>CENTRO DE GESTION ADMINISTRATIVA Y FORTALECIMIENTO EMPRESARIAL -TUNJA-</t>
        </is>
      </c>
      <c r="E64" s="73" t="n"/>
      <c r="F64" s="153" t="inlineStr">
        <is>
          <t>Subdirección de Centro (Dirección Académica)</t>
        </is>
      </c>
      <c r="G64" s="18" t="inlineStr">
        <is>
          <t>https://senacentrogestiontunja.blogspot.com/2026/08/haz-que-tu-voz-cuente-y-representa-tus.html</t>
        </is>
      </c>
      <c r="H64" s="124" t="inlineStr">
        <is>
          <t>Susana Marcela Burgos Ojeda</t>
        </is>
      </c>
      <c r="I64" s="169" t="n">
        <v>3174947049</v>
      </c>
      <c r="J64" s="124" t="inlineStr">
        <is>
          <t>sburgos@sena.edu.co</t>
        </is>
      </c>
      <c r="K64" s="49" t="inlineStr">
        <is>
          <t>https://caprendizaje.sena.edu.co/sgva/sgva_diseno/pag/ListaCentros.aspx</t>
        </is>
      </c>
      <c r="L64" s="186" t="inlineStr">
        <is>
          <t>REVISADO CON OBSERVACIONES</t>
        </is>
      </c>
      <c r="M64" s="30" t="inlineStr">
        <is>
          <t>No hay unidades de contacto en la pagina web, los que agregue son los de la base de datos</t>
        </is>
      </c>
    </row>
    <row r="65" ht="30" customHeight="1" s="182">
      <c r="A65" s="158" t="inlineStr">
        <is>
          <t>Colombia</t>
        </is>
      </c>
      <c r="B65" s="158" t="inlineStr">
        <is>
          <t>Formación técnica pública</t>
        </is>
      </c>
      <c r="C65" s="158" t="inlineStr">
        <is>
          <t>REGIONAL BOYACA</t>
        </is>
      </c>
      <c r="D65" s="158" t="inlineStr">
        <is>
          <t>CENTRO INDUSTRIAL DE MANTENIMIENTO Y MANUFACTURA -SOGAMOSO-</t>
        </is>
      </c>
      <c r="E65" s="73" t="n"/>
      <c r="F65" s="153" t="inlineStr">
        <is>
          <t>Subdirección de Centro (Dirección Académica)</t>
        </is>
      </c>
      <c r="G65" s="18" t="inlineStr">
        <is>
          <t>https://centroindustrialmantenimientointegral.blogspot.com</t>
        </is>
      </c>
      <c r="H65" s="124" t="inlineStr">
        <is>
          <t>Jorge Ricardo Rozo Hernández</t>
        </is>
      </c>
      <c r="I65" s="124" t="inlineStr">
        <is>
          <t>no disponible públicamente</t>
        </is>
      </c>
      <c r="J65" s="124" t="inlineStr">
        <is>
          <t>contratoaprendizajecimm@sena.edu.co</t>
        </is>
      </c>
      <c r="K65" s="52" t="inlineStr">
        <is>
          <t>https://centroindustrialmantenimientointegral.blogspot.com</t>
        </is>
      </c>
      <c r="L65" s="186" t="inlineStr">
        <is>
          <t>REVISADO CON OBSERVACIONES</t>
        </is>
      </c>
      <c r="M65" s="30" t="n"/>
    </row>
    <row r="66" ht="30" customHeight="1" s="182">
      <c r="A66" s="158" t="inlineStr">
        <is>
          <t>Colombia</t>
        </is>
      </c>
      <c r="B66" s="158" t="inlineStr">
        <is>
          <t>Formación técnica pública</t>
        </is>
      </c>
      <c r="C66" s="158" t="inlineStr">
        <is>
          <t>REGIONAL BOYACA</t>
        </is>
      </c>
      <c r="D66" s="158" t="inlineStr">
        <is>
          <t>CENTRO DE LA INNOVACION AGROINDUSTRIAL Y DE SERVICIOS - PUERTO BOYACA</t>
        </is>
      </c>
      <c r="E66" s="73" t="n"/>
      <c r="F66" s="153" t="inlineStr">
        <is>
          <t>Subdirección de Centro (Dirección Académica)</t>
        </is>
      </c>
      <c r="G66" s="73" t="inlineStr">
        <is>
          <t>no disponible publicamente</t>
        </is>
      </c>
      <c r="H66" s="124" t="inlineStr">
        <is>
          <t>José Fernando Torres Navarro</t>
        </is>
      </c>
      <c r="I66" s="169" t="n">
        <v>3209984351</v>
      </c>
      <c r="J66" s="124" t="inlineStr">
        <is>
          <t>jftorres@sena.edu.co</t>
        </is>
      </c>
      <c r="K66" s="76" t="inlineStr">
        <is>
          <t>https://caprendizaje.sena.edu.co/sgva/sgva_diseno/pag/ListaCentros.aspx</t>
        </is>
      </c>
      <c r="L66" s="186" t="inlineStr">
        <is>
          <t>CONFIRMADO</t>
        </is>
      </c>
      <c r="M66" s="30" t="n"/>
    </row>
    <row r="67" ht="30" customHeight="1" s="182">
      <c r="A67" s="158" t="inlineStr">
        <is>
          <t>Colombia</t>
        </is>
      </c>
      <c r="B67" s="158" t="inlineStr">
        <is>
          <t>Formación técnica pública</t>
        </is>
      </c>
      <c r="C67" s="158" t="inlineStr">
        <is>
          <t>REGIONAL CALDAS</t>
        </is>
      </c>
      <c r="D67" s="158" t="inlineStr">
        <is>
          <t>CENTRO PECUARIO AGROEMPRESARIAL -LA DORADA-</t>
        </is>
      </c>
      <c r="E67" s="73" t="n"/>
      <c r="F67" s="153" t="inlineStr">
        <is>
          <t>Subdirección de Centro (Dirección Académica)</t>
        </is>
      </c>
      <c r="G67" s="73" t="inlineStr">
        <is>
          <t>no disponible publicamente</t>
        </is>
      </c>
      <c r="H67" s="124" t="inlineStr">
        <is>
          <t>Natalia Gomez Vasco y Verónica Bedoya Marin</t>
        </is>
      </c>
      <c r="I67" s="124" t="inlineStr">
        <is>
          <t>3105275842 3136861662</t>
        </is>
      </c>
      <c r="J67" s="124" t="inlineStr">
        <is>
          <t>ngomezv@sena.edu.co / vbedoyam@sena.edu.co</t>
        </is>
      </c>
      <c r="K67" s="76" t="inlineStr">
        <is>
          <t>https://caprendizaje.sena.edu.co/sgva/sgva_diseno/pag/ListaCentros.aspx</t>
        </is>
      </c>
      <c r="L67" s="186" t="inlineStr">
        <is>
          <t>CONFIRMADO</t>
        </is>
      </c>
      <c r="M67" s="30" t="n"/>
    </row>
    <row r="68" ht="30" customHeight="1" s="182">
      <c r="A68" s="158" t="inlineStr">
        <is>
          <t>Colombia</t>
        </is>
      </c>
      <c r="B68" s="158" t="inlineStr">
        <is>
          <t>Formación técnica pública</t>
        </is>
      </c>
      <c r="C68" s="158" t="inlineStr">
        <is>
          <t>REGIONAL CALDAS</t>
        </is>
      </c>
      <c r="D68" s="158" t="inlineStr">
        <is>
          <t>CENTRO DE COMERCIO Y SERVICIOS -MANIZALES-</t>
        </is>
      </c>
      <c r="E68" s="73" t="n"/>
      <c r="F68" s="153" t="inlineStr">
        <is>
          <t>Subdirección de Centro (Dirección Académica)</t>
        </is>
      </c>
      <c r="G68" s="18" t="inlineStr">
        <is>
          <t>https://centrocomerciocaldas.blogspot.com/2025/07/</t>
        </is>
      </c>
      <c r="H68" s="124" t="inlineStr">
        <is>
          <t>Mateo Galvis Ospina y Verónica Bedoya</t>
        </is>
      </c>
      <c r="I68" s="124" t="inlineStr">
        <is>
          <t>3146718886 3136861662</t>
        </is>
      </c>
      <c r="J68" s="124" t="inlineStr">
        <is>
          <t>mateo.galvis@sena.edu.co / vbedoyam@sena.edu.co</t>
        </is>
      </c>
      <c r="K68" s="76" t="inlineStr">
        <is>
          <t>https://caprendizaje.sena.edu.co/sgva/sgva_diseno/pag/ListaCentros.aspx</t>
        </is>
      </c>
      <c r="L68" s="186" t="inlineStr">
        <is>
          <t>CONFIRMADO</t>
        </is>
      </c>
      <c r="M68" s="30" t="n"/>
    </row>
    <row r="69" ht="30" customHeight="1" s="182">
      <c r="A69" s="158" t="inlineStr">
        <is>
          <t>Colombia</t>
        </is>
      </c>
      <c r="B69" s="158" t="inlineStr">
        <is>
          <t>Formación técnica pública</t>
        </is>
      </c>
      <c r="C69" s="158" t="inlineStr">
        <is>
          <t>REGIONAL CALDAS</t>
        </is>
      </c>
      <c r="D69" s="158" t="inlineStr">
        <is>
          <t>CENTRO PARA LA FORMACION CAFETERA -MANIZALES-</t>
        </is>
      </c>
      <c r="E69" s="73" t="n"/>
      <c r="F69" s="153" t="inlineStr">
        <is>
          <t>Subdirección de Centro (Dirección Académica)</t>
        </is>
      </c>
      <c r="G69" s="33" t="inlineStr">
        <is>
          <t>https://senacentroformacioncafetera.blogspot.com/p/quienes-somos.html</t>
        </is>
      </c>
      <c r="H69" s="124" t="inlineStr">
        <is>
          <t>Valentina Aristizabal Agudelo y Cesar Augusto Largo</t>
        </is>
      </c>
      <c r="I69" s="124" t="inlineStr">
        <is>
          <t>3136863227 3188657066</t>
        </is>
      </c>
      <c r="J69" s="124" t="inlineStr">
        <is>
          <t>varistizabala@sena.edu.co / vbedoyam@sena.edu.co</t>
        </is>
      </c>
      <c r="K69" s="76" t="inlineStr">
        <is>
          <t>https://caprendizaje.sena.edu.co/sgva/sgva_diseno/pag/ListaCentros.aspx</t>
        </is>
      </c>
      <c r="L69" s="186" t="inlineStr">
        <is>
          <t>PENDIENTE</t>
        </is>
      </c>
      <c r="M69" s="30" t="n"/>
    </row>
    <row r="70" ht="30" customHeight="1" s="182">
      <c r="A70" s="158" t="inlineStr">
        <is>
          <t>Colombia</t>
        </is>
      </c>
      <c r="B70" s="158" t="inlineStr">
        <is>
          <t>Formación técnica pública</t>
        </is>
      </c>
      <c r="C70" s="158" t="inlineStr">
        <is>
          <t>REGIONAL CALDAS</t>
        </is>
      </c>
      <c r="D70" s="158" t="inlineStr">
        <is>
          <t>CENTRO DE AUTOMATIZACION INDUSTRIAL -MANIZALES-</t>
        </is>
      </c>
      <c r="E70" s="73" t="n"/>
      <c r="F70" s="153" t="inlineStr">
        <is>
          <t>Subdirección de Centro (Dirección Académica)</t>
        </is>
      </c>
      <c r="G70" s="73" t="n"/>
      <c r="H70" s="124" t="inlineStr">
        <is>
          <t>Camilo Ospina y Verónica Bedoya</t>
        </is>
      </c>
      <c r="I70" s="124" t="inlineStr">
        <is>
          <t>3164055561 3136861662</t>
        </is>
      </c>
      <c r="J70" s="124" t="inlineStr">
        <is>
          <t>cospina@sena.edu.co / vbedoyam@sena.edu.co</t>
        </is>
      </c>
      <c r="K70" s="76" t="inlineStr">
        <is>
          <t>https://caprendizaje.sena.edu.co/sgva/sgva_diseno/pag/ListaCentros.aspx</t>
        </is>
      </c>
      <c r="L70" s="186" t="inlineStr">
        <is>
          <t>PENDIENTE</t>
        </is>
      </c>
      <c r="M70" s="30" t="n"/>
    </row>
    <row r="71" ht="30" customHeight="1" s="182">
      <c r="A71" s="158" t="inlineStr">
        <is>
          <t>Colombia</t>
        </is>
      </c>
      <c r="B71" s="158" t="inlineStr">
        <is>
          <t>Formación técnica pública</t>
        </is>
      </c>
      <c r="C71" s="158" t="inlineStr">
        <is>
          <t>REGIONAL CALDAS</t>
        </is>
      </c>
      <c r="D71" s="158" t="inlineStr">
        <is>
          <t>CENTRO DE PROCESOS INDUSTRIALES -MANIZALES-</t>
        </is>
      </c>
      <c r="E71" s="73" t="n"/>
      <c r="F71" s="153" t="inlineStr">
        <is>
          <t>Subdirección de Centro (Dirección Académica)</t>
        </is>
      </c>
      <c r="G71" s="73" t="n"/>
      <c r="H71" s="124" t="inlineStr">
        <is>
          <t>Alexandra Corrales Lopez y Cesar Augusto Largo</t>
        </is>
      </c>
      <c r="I71" s="124" t="inlineStr">
        <is>
          <t>3207438588 3136863227</t>
        </is>
      </c>
      <c r="J71" s="124" t="inlineStr">
        <is>
          <t>acorrales@sena.edu.co / calargo@sena.edu.co</t>
        </is>
      </c>
      <c r="K71" s="76" t="inlineStr">
        <is>
          <t>https://caprendizaje.sena.edu.co/sgva/sgva_diseno/pag/ListaCentros.aspx</t>
        </is>
      </c>
      <c r="L71" s="186" t="inlineStr">
        <is>
          <t>PENDIENTE</t>
        </is>
      </c>
      <c r="M71" s="30" t="n"/>
    </row>
    <row r="72" ht="30" customHeight="1" s="182">
      <c r="A72" s="158" t="inlineStr">
        <is>
          <t>Colombia</t>
        </is>
      </c>
      <c r="B72" s="158" t="inlineStr">
        <is>
          <t>Formación técnica pública</t>
        </is>
      </c>
      <c r="C72" s="158" t="inlineStr">
        <is>
          <t>REGIONAL CAQUETA</t>
        </is>
      </c>
      <c r="D72" s="158" t="inlineStr">
        <is>
          <t>CENTRO TECNOLOGICO DE LA AMAZONIA -FLORENCIA-</t>
        </is>
      </c>
      <c r="E72" s="73" t="n"/>
      <c r="F72" s="153" t="inlineStr">
        <is>
          <t>Subdirección de Centro (Dirección Académica)</t>
        </is>
      </c>
      <c r="G72" s="73" t="n"/>
      <c r="H72" s="124" t="inlineStr">
        <is>
          <t>Eliana Fernanda Anacona Gomez</t>
        </is>
      </c>
      <c r="I72" s="169" t="n">
        <v>3126416465</v>
      </c>
      <c r="J72" s="124" t="inlineStr">
        <is>
          <t>efanacona@sena.edu.co</t>
        </is>
      </c>
      <c r="K72" s="76" t="inlineStr">
        <is>
          <t>https://caprendizaje.sena.edu.co/sgva/sgva_diseno/pag/ListaCentros.aspx</t>
        </is>
      </c>
      <c r="L72" s="186" t="inlineStr">
        <is>
          <t>PENDIENTE</t>
        </is>
      </c>
      <c r="M72" s="30" t="n"/>
    </row>
    <row r="73" ht="30" customHeight="1" s="182">
      <c r="A73" s="158" t="inlineStr">
        <is>
          <t>Colombia</t>
        </is>
      </c>
      <c r="B73" s="158" t="inlineStr">
        <is>
          <t>Formación técnica pública</t>
        </is>
      </c>
      <c r="C73" s="158" t="inlineStr">
        <is>
          <t>REGIONAL CASANARE</t>
        </is>
      </c>
      <c r="D73" s="158" t="inlineStr">
        <is>
          <t>CENTRO AGROINDUSTRIAL Y FORTALECIMIENTO EMPRESARIAL DE CASANARE -YOPAL-</t>
        </is>
      </c>
      <c r="E73" s="73" t="n"/>
      <c r="F73" s="153" t="inlineStr">
        <is>
          <t>Subdirección de Centro (Dirección Académica)</t>
        </is>
      </c>
      <c r="G73" s="73" t="n"/>
      <c r="H73" s="124" t="inlineStr">
        <is>
          <t>LEVIS CERPA RUIZ</t>
        </is>
      </c>
      <c r="I73" s="124" t="inlineStr">
        <is>
          <t>6356018 Ext. 84760</t>
        </is>
      </c>
      <c r="J73" s="124" t="inlineStr">
        <is>
          <t>lcerpa@sena.edu.co</t>
        </is>
      </c>
      <c r="K73" s="76" t="inlineStr">
        <is>
          <t>https://caprendizaje.sena.edu.co/sgva/sgva_diseno/pag/ListaCentros.aspx</t>
        </is>
      </c>
      <c r="L73" s="186" t="inlineStr">
        <is>
          <t>PENDIENTE</t>
        </is>
      </c>
      <c r="M73" s="30" t="n"/>
    </row>
    <row r="74" ht="30" customHeight="1" s="182">
      <c r="A74" s="158" t="inlineStr">
        <is>
          <t>Colombia</t>
        </is>
      </c>
      <c r="B74" s="158" t="inlineStr">
        <is>
          <t>Formación técnica pública</t>
        </is>
      </c>
      <c r="C74" s="158" t="inlineStr">
        <is>
          <t>REGIONAL CAUCA</t>
        </is>
      </c>
      <c r="D74" s="158" t="inlineStr">
        <is>
          <t>CENTRO DE COMERCIO Y SERVICIOS -POPAYAN-</t>
        </is>
      </c>
      <c r="E74" s="73" t="n"/>
      <c r="F74" s="153" t="inlineStr">
        <is>
          <t>Subdirección de Centro (Dirección Académica)</t>
        </is>
      </c>
      <c r="G74" s="73" t="n"/>
      <c r="H74" s="124" t="inlineStr">
        <is>
          <t>DORIS WILLMA ROBLES</t>
        </is>
      </c>
      <c r="I74" s="124" t="inlineStr">
        <is>
          <t>5461500 Ext. 22445</t>
        </is>
      </c>
      <c r="J74" s="124" t="inlineStr">
        <is>
          <t>dwrobles@sena.edu.co</t>
        </is>
      </c>
      <c r="K74" s="76" t="inlineStr">
        <is>
          <t>https://caprendizaje.sena.edu.co/sgva/sgva_diseno/pag/ListaCentros.aspx</t>
        </is>
      </c>
      <c r="L74" s="186" t="inlineStr">
        <is>
          <t>PENDIENTE</t>
        </is>
      </c>
      <c r="M74" s="30" t="n"/>
    </row>
    <row r="75" ht="30" customHeight="1" s="182">
      <c r="A75" s="158" t="inlineStr">
        <is>
          <t>Colombia</t>
        </is>
      </c>
      <c r="B75" s="158" t="inlineStr">
        <is>
          <t>Formación técnica pública</t>
        </is>
      </c>
      <c r="C75" s="158" t="inlineStr">
        <is>
          <t>REGIONAL CAUCA</t>
        </is>
      </c>
      <c r="D75" s="158" t="inlineStr">
        <is>
          <t>CENTRO INDUSTRIAL -POPAYAN-</t>
        </is>
      </c>
      <c r="E75" s="73" t="n"/>
      <c r="F75" s="153" t="inlineStr">
        <is>
          <t>Subdirección de Centro (Dirección Académica)</t>
        </is>
      </c>
      <c r="G75" s="73" t="n"/>
      <c r="H75" s="124" t="inlineStr">
        <is>
          <t>EMER DE JESUS GALINDEZ OJEDA</t>
        </is>
      </c>
      <c r="I75" s="124" t="inlineStr">
        <is>
          <t>5461500 Ext. 22349</t>
        </is>
      </c>
      <c r="J75" s="124" t="inlineStr">
        <is>
          <t>caprendizajectpi@sena.edu.co</t>
        </is>
      </c>
      <c r="K75" s="76" t="inlineStr">
        <is>
          <t>https://caprendizaje.sena.edu.co/sgva/sgva_diseno/pag/ListaCentros.aspx</t>
        </is>
      </c>
      <c r="L75" s="186" t="inlineStr">
        <is>
          <t>PENDIENTE</t>
        </is>
      </c>
      <c r="M75" s="30" t="n"/>
    </row>
    <row r="76" ht="30" customHeight="1" s="182">
      <c r="A76" s="158" t="inlineStr">
        <is>
          <t>Colombia</t>
        </is>
      </c>
      <c r="B76" s="158" t="inlineStr">
        <is>
          <t>Formación técnica pública</t>
        </is>
      </c>
      <c r="C76" s="158" t="inlineStr">
        <is>
          <t>REGIONAL CAUCA</t>
        </is>
      </c>
      <c r="D76" s="158" t="inlineStr">
        <is>
          <t>CENTRO AGROPECUARIO -POPAYAN-</t>
        </is>
      </c>
      <c r="E76" s="80" t="n"/>
      <c r="F76" s="153" t="inlineStr">
        <is>
          <t>Subdirección de Centro (Dirección Académica)</t>
        </is>
      </c>
      <c r="G76" s="80" t="n"/>
      <c r="H76" s="124" t="inlineStr">
        <is>
          <t>MAYRA ISABEL HURTADO ORDOÑEZ</t>
        </is>
      </c>
      <c r="I76" s="124" t="inlineStr">
        <is>
          <t>5461500 Ext. 22183</t>
        </is>
      </c>
      <c r="J76" s="124" t="inlineStr">
        <is>
          <t>mhurtadoo@sena.edu.co</t>
        </is>
      </c>
      <c r="K76" s="76" t="inlineStr">
        <is>
          <t>https://caprendizaje.sena.edu.co/sgva/sgva_diseno/pag/ListaCentros.aspx</t>
        </is>
      </c>
      <c r="L76" s="186" t="inlineStr">
        <is>
          <t>PENDIENTE</t>
        </is>
      </c>
      <c r="M76" s="82" t="n"/>
    </row>
    <row r="77" ht="15.75" customHeight="1" s="182">
      <c r="A77" s="158" t="inlineStr">
        <is>
          <t>Colombia</t>
        </is>
      </c>
      <c r="B77" s="158" t="inlineStr">
        <is>
          <t>Formación técnica pública</t>
        </is>
      </c>
      <c r="C77" s="158" t="inlineStr">
        <is>
          <t>REGIONAL CESAR</t>
        </is>
      </c>
      <c r="D77" s="158" t="inlineStr">
        <is>
          <t>CENTRO BIOTECNOLOGICO DEL CARIBE -VALLEDUPAR-</t>
        </is>
      </c>
      <c r="E77" s="98" t="n"/>
      <c r="F77" s="153" t="inlineStr">
        <is>
          <t>Subdirección de Centro (Dirección Académica)</t>
        </is>
      </c>
      <c r="G77" s="98" t="n"/>
      <c r="H77" s="124" t="inlineStr">
        <is>
          <t>EFRAIN ZAPATA LONDOÑO</t>
        </is>
      </c>
      <c r="I77" s="124" t="inlineStr">
        <is>
          <t>5710101 Ext. 53272</t>
        </is>
      </c>
      <c r="J77" s="124" t="inlineStr">
        <is>
          <t>ezapatalo@sena.edu.co</t>
        </is>
      </c>
      <c r="K77" s="76" t="inlineStr">
        <is>
          <t>https://caprendizaje.sena.edu.co/sgva/sgva_diseno/pag/ListaCentros.aspx</t>
        </is>
      </c>
      <c r="L77" s="186" t="inlineStr">
        <is>
          <t>PENDIENTE</t>
        </is>
      </c>
      <c r="M77" s="86" t="n"/>
    </row>
    <row r="78" ht="15.75" customHeight="1" s="182">
      <c r="A78" s="158" t="inlineStr">
        <is>
          <t>Colombia</t>
        </is>
      </c>
      <c r="B78" s="158" t="inlineStr">
        <is>
          <t>Formación técnica pública</t>
        </is>
      </c>
      <c r="C78" s="158" t="inlineStr">
        <is>
          <t>REGIONAL CESAR</t>
        </is>
      </c>
      <c r="D78" s="158" t="inlineStr">
        <is>
          <t>CENTRO AGROEMPRESARIAL -AGUACHICA-</t>
        </is>
      </c>
      <c r="E78" s="98" t="n"/>
      <c r="F78" s="153" t="inlineStr">
        <is>
          <t>Subdirección de Centro (Dirección Académica)</t>
        </is>
      </c>
      <c r="G78" s="98" t="n"/>
      <c r="H78" s="124" t="inlineStr">
        <is>
          <t>DIOMAR ALFONSO PINO GONZALEZ</t>
        </is>
      </c>
      <c r="I78" s="124" t="inlineStr">
        <is>
          <t>5654700 Ext. 53261</t>
        </is>
      </c>
      <c r="J78" s="124" t="inlineStr">
        <is>
          <t>dapinog@sena.edu.co</t>
        </is>
      </c>
      <c r="K78" s="76" t="inlineStr">
        <is>
          <t>https://caprendizaje.sena.edu.co/sgva/sgva_diseno/pag/ListaCentros.aspx</t>
        </is>
      </c>
      <c r="L78" s="186" t="inlineStr">
        <is>
          <t>PENDIENTE</t>
        </is>
      </c>
      <c r="M78" s="86" t="n"/>
    </row>
    <row r="79" ht="15.75" customHeight="1" s="182">
      <c r="A79" s="158" t="inlineStr">
        <is>
          <t>Colombia</t>
        </is>
      </c>
      <c r="B79" s="158" t="inlineStr">
        <is>
          <t>Formación técnica pública</t>
        </is>
      </c>
      <c r="C79" s="158" t="inlineStr">
        <is>
          <t>REGIONAL CESAR</t>
        </is>
      </c>
      <c r="D79" s="158" t="inlineStr">
        <is>
          <t>CENTRO DE INNOVACION Y DE GESTIÓN EMPRESARIAL Y CULTURAL</t>
        </is>
      </c>
      <c r="E79" s="98" t="n"/>
      <c r="F79" s="153" t="inlineStr">
        <is>
          <t>Subdirección de Centro (Dirección Académica)</t>
        </is>
      </c>
      <c r="G79" s="98" t="n"/>
      <c r="H79" s="124" t="inlineStr">
        <is>
          <t>DORIS ZOBEIDA PULIDO RUBIO</t>
        </is>
      </c>
      <c r="I79" s="124" t="inlineStr">
        <is>
          <t>5461500 Ext. 52924</t>
        </is>
      </c>
      <c r="J79" s="124" t="inlineStr">
        <is>
          <t>dpulidor@sena.edu.co</t>
        </is>
      </c>
      <c r="K79" s="76" t="inlineStr">
        <is>
          <t>https://caprendizaje.sena.edu.co/sgva/sgva_diseno/pag/ListaCentros.aspx</t>
        </is>
      </c>
      <c r="L79" s="186" t="inlineStr">
        <is>
          <t>PENDIENTE</t>
        </is>
      </c>
      <c r="M79" s="86" t="n"/>
    </row>
    <row r="80" ht="15.75" customHeight="1" s="182">
      <c r="A80" s="158" t="inlineStr">
        <is>
          <t>Colombia</t>
        </is>
      </c>
      <c r="B80" s="158" t="inlineStr">
        <is>
          <t>Formación técnica pública</t>
        </is>
      </c>
      <c r="C80" s="158" t="inlineStr">
        <is>
          <t>REGIONAL CHOCO</t>
        </is>
      </c>
      <c r="D80" s="158" t="inlineStr">
        <is>
          <t>CENTRO DE RECURSOS NATURALES, INDUSTRIA Y BIODIVERSIDAD -QUIBDO-</t>
        </is>
      </c>
      <c r="E80" s="98" t="n"/>
      <c r="F80" s="153" t="inlineStr">
        <is>
          <t>Subdirección de Centro (Dirección Académica)</t>
        </is>
      </c>
      <c r="G80" s="98" t="n"/>
      <c r="H80" s="124" t="inlineStr">
        <is>
          <t>JORGE IVAN BLANDON CAICEDO</t>
        </is>
      </c>
      <c r="I80" s="124" t="inlineStr">
        <is>
          <t>6723800 Ext. 44423.</t>
        </is>
      </c>
      <c r="J80" s="124" t="inlineStr">
        <is>
          <t>jiblandon@sena.edu.co</t>
        </is>
      </c>
      <c r="K80" s="76" t="inlineStr">
        <is>
          <t>https://caprendizaje.sena.edu.co/sgva/sgva_diseno/pag/ListaCentros.aspx</t>
        </is>
      </c>
      <c r="L80" s="186" t="inlineStr">
        <is>
          <t>PENDIENTE</t>
        </is>
      </c>
      <c r="M80" s="86" t="n"/>
    </row>
    <row r="81" ht="15.75" customHeight="1" s="182">
      <c r="A81" s="158" t="inlineStr">
        <is>
          <t>Colombia</t>
        </is>
      </c>
      <c r="B81" s="158" t="inlineStr">
        <is>
          <t>Formación técnica pública</t>
        </is>
      </c>
      <c r="C81" s="158" t="inlineStr">
        <is>
          <t>REGIONAL CORDOBA</t>
        </is>
      </c>
      <c r="D81" s="158" t="inlineStr">
        <is>
          <t>CENTRO DE COMERCIO, INDUSTRIA Y TURISMO DE CORDOBA -MONTERIA-</t>
        </is>
      </c>
      <c r="E81" s="98" t="n"/>
      <c r="F81" s="153" t="inlineStr">
        <is>
          <t>Subdirección de Centro (Dirección Académica)</t>
        </is>
      </c>
      <c r="G81" s="98" t="n"/>
      <c r="H81" s="124" t="inlineStr">
        <is>
          <t>JOSE JAVIER VAZQUEZ COGOLLO</t>
        </is>
      </c>
      <c r="I81" s="169" t="n">
        <v>3025324694</v>
      </c>
      <c r="J81" s="124" t="inlineStr">
        <is>
          <t>jovasquez@sena.edu.co</t>
        </is>
      </c>
      <c r="K81" s="76" t="inlineStr">
        <is>
          <t>https://caprendizaje.sena.edu.co/sgva/sgva_diseno/pag/ListaCentros.aspx</t>
        </is>
      </c>
      <c r="L81" s="186" t="inlineStr">
        <is>
          <t>PENDIENTE</t>
        </is>
      </c>
      <c r="M81" s="86" t="n"/>
    </row>
    <row r="82" ht="15.75" customHeight="1" s="182">
      <c r="A82" s="158" t="inlineStr">
        <is>
          <t>Colombia</t>
        </is>
      </c>
      <c r="B82" s="158" t="inlineStr">
        <is>
          <t>Formación técnica pública</t>
        </is>
      </c>
      <c r="C82" s="158" t="inlineStr">
        <is>
          <t>REGIONAL CORDOBA</t>
        </is>
      </c>
      <c r="D82" s="158" t="inlineStr">
        <is>
          <t>CENTRO AGROPECUARIO Y DE BIOTECNOLOGIA EL PORVENIR -MONTERIA-</t>
        </is>
      </c>
      <c r="E82" s="98" t="n"/>
      <c r="F82" s="153" t="inlineStr">
        <is>
          <t>Subdirección de Centro (Dirección Académica)</t>
        </is>
      </c>
      <c r="G82" s="98" t="n"/>
      <c r="H82" s="124" t="inlineStr">
        <is>
          <t>JOSE JAVIER VASQUEZ COGOLLO</t>
        </is>
      </c>
      <c r="I82" s="169" t="n">
        <v>3025324694</v>
      </c>
      <c r="J82" s="124" t="inlineStr">
        <is>
          <t>jovasquez@sena.edu.co</t>
        </is>
      </c>
      <c r="K82" s="76" t="inlineStr">
        <is>
          <t>https://caprendizaje.sena.edu.co/sgva/sgva_diseno/pag/ListaCentros.aspx</t>
        </is>
      </c>
      <c r="L82" s="186" t="inlineStr">
        <is>
          <t>PENDIENTE</t>
        </is>
      </c>
      <c r="M82" s="86" t="n"/>
    </row>
    <row r="83" ht="15.75" customHeight="1" s="182">
      <c r="A83" s="158" t="inlineStr">
        <is>
          <t>Colombia</t>
        </is>
      </c>
      <c r="B83" s="158" t="inlineStr">
        <is>
          <t>Formación técnica pública</t>
        </is>
      </c>
      <c r="C83" s="158" t="inlineStr">
        <is>
          <t>REGIONAL CUNDINAMARCA</t>
        </is>
      </c>
      <c r="D83" s="158" t="inlineStr">
        <is>
          <t>CENTRO DE DESARROLLO INDUSTRIAL, EMPRESARIAL Y CAMPESINO -SOACHA-</t>
        </is>
      </c>
      <c r="E83" s="98" t="n"/>
      <c r="F83" s="153" t="inlineStr">
        <is>
          <t>Subdirección de Centro (Dirección Académica)</t>
        </is>
      </c>
      <c r="G83" s="98" t="n"/>
      <c r="H83" s="124" t="inlineStr">
        <is>
          <t>JOSE ORLANDO CONTRERAS VELASQUEZ</t>
        </is>
      </c>
      <c r="I83" s="124" t="inlineStr">
        <is>
          <t>no disponible públicamente</t>
        </is>
      </c>
      <c r="J83" s="124" t="inlineStr">
        <is>
          <t>jcontrerasv@sena.edu.co</t>
        </is>
      </c>
      <c r="K83" s="76" t="inlineStr">
        <is>
          <t>https://caprendizaje.sena.edu.co/sgva/sgva_diseno/pag/ListaCentros.aspx</t>
        </is>
      </c>
      <c r="L83" s="186" t="inlineStr">
        <is>
          <t>PENDIENTE</t>
        </is>
      </c>
      <c r="M83" s="86" t="n"/>
    </row>
    <row r="84" ht="15.75" customHeight="1" s="182">
      <c r="A84" s="158" t="inlineStr">
        <is>
          <t>Colombia</t>
        </is>
      </c>
      <c r="B84" s="158" t="inlineStr">
        <is>
          <t>Formación técnica pública</t>
        </is>
      </c>
      <c r="C84" s="158" t="inlineStr">
        <is>
          <t>REGIONAL CUNDINAMARCA</t>
        </is>
      </c>
      <c r="D84" s="158" t="inlineStr">
        <is>
          <t>CENTRO DE DESARROLLO AGROINDUSTRIAL Y EMPRESARIAL -VILLETA-</t>
        </is>
      </c>
      <c r="E84" s="98" t="n"/>
      <c r="F84" s="153" t="inlineStr">
        <is>
          <t>Subdirección de Centro (Dirección Académica)</t>
        </is>
      </c>
      <c r="G84" s="98" t="n"/>
      <c r="H84" s="124" t="inlineStr">
        <is>
          <t>KELLY JOHANNA MARTINEZ RAMIREZ</t>
        </is>
      </c>
      <c r="I84" s="124" t="inlineStr">
        <is>
          <t>018000 910270</t>
        </is>
      </c>
      <c r="J84" s="124" t="inlineStr">
        <is>
          <t>jmartinezr@sena.edu.co</t>
        </is>
      </c>
      <c r="K84" s="76" t="inlineStr">
        <is>
          <t>https://caprendizaje.sena.edu.co/sgva/sgva_diseno/pag/ListaCentros.aspx</t>
        </is>
      </c>
      <c r="L84" s="186" t="inlineStr">
        <is>
          <t>PENDIENTE</t>
        </is>
      </c>
      <c r="M84" s="86" t="n"/>
    </row>
    <row r="85" ht="15.75" customHeight="1" s="182">
      <c r="A85" s="158" t="inlineStr">
        <is>
          <t>Colombia</t>
        </is>
      </c>
      <c r="B85" s="158" t="inlineStr">
        <is>
          <t>Formación técnica pública</t>
        </is>
      </c>
      <c r="C85" s="158" t="inlineStr">
        <is>
          <t>REGIONAL CUNDINAMARCA</t>
        </is>
      </c>
      <c r="D85" s="158" t="inlineStr">
        <is>
          <t>CENTRO AGROECOLOGICO Y EMPRESARIAL -FUSAGASUGA-</t>
        </is>
      </c>
      <c r="E85" s="98" t="n"/>
      <c r="F85" s="153" t="inlineStr">
        <is>
          <t>Subdirección de Centro (Dirección Académica)</t>
        </is>
      </c>
      <c r="G85" s="98" t="n"/>
      <c r="H85" s="124" t="inlineStr">
        <is>
          <t>SANDRA MILENA SANCHEZ CUBILLOS</t>
        </is>
      </c>
      <c r="I85" s="124" t="inlineStr">
        <is>
          <t>018000 910270</t>
        </is>
      </c>
      <c r="J85" s="124" t="inlineStr">
        <is>
          <t>smsanchezc@sena.edu.co</t>
        </is>
      </c>
      <c r="K85" s="76" t="inlineStr">
        <is>
          <t>https://caprendizaje.sena.edu.co/sgva/sgva_diseno/pag/ListaCentros.aspx</t>
        </is>
      </c>
      <c r="L85" s="186" t="inlineStr">
        <is>
          <t>PENDIENTE</t>
        </is>
      </c>
      <c r="M85" s="86" t="n"/>
    </row>
    <row r="86" ht="15.75" customHeight="1" s="182">
      <c r="A86" s="158" t="inlineStr">
        <is>
          <t>Colombia</t>
        </is>
      </c>
      <c r="B86" s="158" t="inlineStr">
        <is>
          <t>Formación técnica pública</t>
        </is>
      </c>
      <c r="C86" s="158" t="inlineStr">
        <is>
          <t>REGIONAL CUNDINAMARCA</t>
        </is>
      </c>
      <c r="D86" s="158" t="inlineStr">
        <is>
          <t>CENTRO MULTISECTORIAL Y DEL DESARROLLO CAMPESINO -GIRARDOT-</t>
        </is>
      </c>
      <c r="E86" s="98" t="n"/>
      <c r="F86" s="153" t="inlineStr">
        <is>
          <t>Subdirección de Centro (Dirección Académica)</t>
        </is>
      </c>
      <c r="G86" s="98" t="n"/>
      <c r="H86" s="124" t="inlineStr">
        <is>
          <t>YUDI LIZBETH MORENO GARCIA</t>
        </is>
      </c>
      <c r="I86" s="124" t="inlineStr">
        <is>
          <t>018000 910270</t>
        </is>
      </c>
      <c r="J86" s="124" t="inlineStr">
        <is>
          <t>ylmoreno@sena.edu.co</t>
        </is>
      </c>
      <c r="K86" s="76" t="inlineStr">
        <is>
          <t>https://caprendizaje.sena.edu.co/sgva/sgva_diseno/pag/ListaCentros.aspx</t>
        </is>
      </c>
      <c r="L86" s="186" t="inlineStr">
        <is>
          <t>PENDIENTE</t>
        </is>
      </c>
      <c r="M86" s="86" t="n"/>
    </row>
    <row r="87" ht="15.75" customHeight="1" s="182">
      <c r="A87" s="158" t="inlineStr">
        <is>
          <t>Colombia</t>
        </is>
      </c>
      <c r="B87" s="158" t="inlineStr">
        <is>
          <t>Formación técnica pública</t>
        </is>
      </c>
      <c r="C87" s="158" t="inlineStr">
        <is>
          <t>REGIONAL CUNDINAMARCA</t>
        </is>
      </c>
      <c r="D87" s="158" t="inlineStr">
        <is>
          <t>CENTRO DE BIOTECNOLOGIA AGROPECUARIA -MOSQUERA-</t>
        </is>
      </c>
      <c r="E87" s="98" t="n"/>
      <c r="F87" s="153" t="inlineStr">
        <is>
          <t>Subdirección de Centro (Dirección Académica)</t>
        </is>
      </c>
      <c r="G87" s="98" t="n"/>
      <c r="H87" s="124" t="inlineStr">
        <is>
          <t>CINDY MARCELA RIAÑO</t>
        </is>
      </c>
      <c r="I87" s="124" t="inlineStr">
        <is>
          <t>018000 910270</t>
        </is>
      </c>
      <c r="J87" s="124" t="inlineStr">
        <is>
          <t>cmriano@sena.edu.co</t>
        </is>
      </c>
      <c r="K87" s="76" t="inlineStr">
        <is>
          <t>https://caprendizaje.sena.edu.co/sgva/sgva_diseno/pag/ListaCentros.aspx</t>
        </is>
      </c>
      <c r="L87" s="186" t="inlineStr">
        <is>
          <t>PENDIENTE</t>
        </is>
      </c>
      <c r="M87" s="86" t="n"/>
    </row>
    <row r="88" ht="15.75" customHeight="1" s="182">
      <c r="A88" s="158" t="inlineStr">
        <is>
          <t>Colombia</t>
        </is>
      </c>
      <c r="B88" s="158" t="inlineStr">
        <is>
          <t>Formación técnica pública</t>
        </is>
      </c>
      <c r="C88" s="158" t="inlineStr">
        <is>
          <t>REGIONAL CUNDINAMARCA</t>
        </is>
      </c>
      <c r="D88" s="158" t="inlineStr">
        <is>
          <t>CENTRO DE DESARROLLO AGROEMPRESARIAL -CHIA-</t>
        </is>
      </c>
      <c r="E88" s="98" t="n"/>
      <c r="F88" s="153" t="inlineStr">
        <is>
          <t>Subdirección de Centro (Dirección Académica)</t>
        </is>
      </c>
      <c r="G88" s="98" t="n"/>
      <c r="H88" s="124" t="inlineStr">
        <is>
          <t>MARISOL HERNANDEZ GOMEZ</t>
        </is>
      </c>
      <c r="I88" s="169" t="n">
        <v>18000910270</v>
      </c>
      <c r="J88" s="124" t="inlineStr">
        <is>
          <t>marhernandez@sena.edu.co</t>
        </is>
      </c>
      <c r="K88" s="76" t="inlineStr">
        <is>
          <t>https://caprendizaje.sena.edu.co/sgva/sgva_diseno/pag/ListaCentros.aspx</t>
        </is>
      </c>
      <c r="L88" s="186" t="inlineStr">
        <is>
          <t>PENDIENTE</t>
        </is>
      </c>
      <c r="M88" s="86" t="n"/>
    </row>
    <row r="89" ht="15.75" customHeight="1" s="182">
      <c r="A89" s="158" t="inlineStr">
        <is>
          <t>Colombia</t>
        </is>
      </c>
      <c r="B89" s="158" t="inlineStr">
        <is>
          <t>Formación técnica pública</t>
        </is>
      </c>
      <c r="C89" s="158" t="inlineStr">
        <is>
          <t>REGIONAL DISTRITO CAPITAL</t>
        </is>
      </c>
      <c r="D89" s="158" t="inlineStr">
        <is>
          <t>CENTRO DE TECNOLOGIAS PARA LA CONSTRUCCION Y LA MADERA</t>
        </is>
      </c>
      <c r="E89" s="98" t="n"/>
      <c r="F89" s="153" t="inlineStr">
        <is>
          <t>Subdirección de Centro (Dirección Académica)</t>
        </is>
      </c>
      <c r="G89" s="98" t="n"/>
      <c r="H89" s="124" t="inlineStr">
        <is>
          <t>BLANCA ROSA AMARANTO MERIÑO</t>
        </is>
      </c>
      <c r="I89" s="124" t="inlineStr">
        <is>
          <t>5461600 Ext. 14807 - 14764</t>
        </is>
      </c>
      <c r="J89" s="124" t="inlineStr">
        <is>
          <t>ramaranto@sena.edu.co</t>
        </is>
      </c>
      <c r="K89" s="76" t="inlineStr">
        <is>
          <t>https://caprendizaje.sena.edu.co/sgva/sgva_diseno/pag/ListaCentros.aspx</t>
        </is>
      </c>
      <c r="L89" s="186" t="inlineStr">
        <is>
          <t>PENDIENTE</t>
        </is>
      </c>
      <c r="M89" s="86" t="n"/>
    </row>
    <row r="90" ht="15.75" customHeight="1" s="182">
      <c r="A90" s="158" t="inlineStr">
        <is>
          <t>Colombia</t>
        </is>
      </c>
      <c r="B90" s="158" t="inlineStr">
        <is>
          <t>Formación técnica pública</t>
        </is>
      </c>
      <c r="C90" s="158" t="inlineStr">
        <is>
          <t>REGIONAL DISTRITO CAPITAL</t>
        </is>
      </c>
      <c r="D90" s="158" t="inlineStr">
        <is>
          <t>CENTRO DE ELECTRICIDAD, ELECTRONICA Y TELECOMUNICACIONES</t>
        </is>
      </c>
      <c r="E90" s="98" t="n"/>
      <c r="F90" s="153" t="inlineStr">
        <is>
          <t>Subdirección de Centro (Dirección Académica)</t>
        </is>
      </c>
      <c r="G90" s="98" t="n"/>
      <c r="H90" s="124" t="inlineStr">
        <is>
          <t>ELISA JOHANA CARBONELL</t>
        </is>
      </c>
      <c r="I90" s="169" t="n">
        <v>5461600</v>
      </c>
      <c r="J90" s="124" t="inlineStr">
        <is>
          <t>relacionesceet@sena.edu.co</t>
        </is>
      </c>
      <c r="K90" s="76" t="inlineStr">
        <is>
          <t>https://caprendizaje.sena.edu.co/sgva/sgva_diseno/pag/ListaCentros.aspx</t>
        </is>
      </c>
      <c r="L90" s="186" t="inlineStr">
        <is>
          <t>PENDIENTE</t>
        </is>
      </c>
      <c r="M90" s="86" t="n"/>
    </row>
    <row r="91" ht="15.75" customHeight="1" s="182">
      <c r="A91" s="158" t="inlineStr">
        <is>
          <t>Colombia</t>
        </is>
      </c>
      <c r="B91" s="158" t="inlineStr">
        <is>
          <t>Formación técnica pública</t>
        </is>
      </c>
      <c r="C91" s="158" t="inlineStr">
        <is>
          <t>REGIONAL DISTRITO CAPITAL</t>
        </is>
      </c>
      <c r="D91" s="158" t="inlineStr">
        <is>
          <t>CENTRO DE GESTION INDUSTRIAL</t>
        </is>
      </c>
      <c r="E91" s="98" t="n"/>
      <c r="F91" s="153" t="inlineStr">
        <is>
          <t>Subdirección de Centro (Dirección Académica)</t>
        </is>
      </c>
      <c r="G91" s="98" t="n"/>
      <c r="H91" s="124" t="inlineStr">
        <is>
          <t>YASMIN SUÁREZ CARDENAS</t>
        </is>
      </c>
      <c r="I91" s="124" t="inlineStr">
        <is>
          <t>5461600 IP 15505 - 5461600 IP 15498</t>
        </is>
      </c>
      <c r="J91" s="124" t="inlineStr">
        <is>
          <t>ysuarezca@sena.edu.co</t>
        </is>
      </c>
      <c r="K91" s="76" t="inlineStr">
        <is>
          <t>https://caprendizaje.sena.edu.co/sgva/sgva_diseno/pag/ListaCentros.aspx</t>
        </is>
      </c>
      <c r="L91" s="186" t="inlineStr">
        <is>
          <t>PENDIENTE</t>
        </is>
      </c>
      <c r="M91" s="86" t="n"/>
    </row>
    <row r="92" ht="15.75" customHeight="1" s="182">
      <c r="A92" s="158" t="inlineStr">
        <is>
          <t>Colombia</t>
        </is>
      </c>
      <c r="B92" s="158" t="inlineStr">
        <is>
          <t>Formación técnica pública</t>
        </is>
      </c>
      <c r="C92" s="158" t="inlineStr">
        <is>
          <t>REGIONAL DISTRITO CAPITAL</t>
        </is>
      </c>
      <c r="D92" s="158" t="inlineStr">
        <is>
          <t>CENTRO DE MANUFACTURA EN TEXTILES Y CUERO</t>
        </is>
      </c>
      <c r="E92" s="98" t="n"/>
      <c r="F92" s="153" t="inlineStr">
        <is>
          <t>Subdirección de Centro (Dirección Académica)</t>
        </is>
      </c>
      <c r="G92" s="98" t="n"/>
      <c r="H92" s="124" t="inlineStr">
        <is>
          <t>Carlos Augusto Silva Téllez</t>
        </is>
      </c>
      <c r="I92" s="124" t="inlineStr">
        <is>
          <t>311 887 0645</t>
        </is>
      </c>
      <c r="J92" s="124" t="inlineStr">
        <is>
          <t>csilvat@sena.edu.co</t>
        </is>
      </c>
      <c r="K92" s="76" t="inlineStr">
        <is>
          <t>https://caprendizaje.sena.edu.co/sgva/sgva_diseno/pag/ListaCentros.aspx</t>
        </is>
      </c>
      <c r="L92" s="186" t="inlineStr">
        <is>
          <t>PENDIENTE</t>
        </is>
      </c>
      <c r="M92" s="86" t="n"/>
    </row>
    <row r="93" ht="15.75" customHeight="1" s="182">
      <c r="A93" s="158" t="inlineStr">
        <is>
          <t>Colombia</t>
        </is>
      </c>
      <c r="B93" s="158" t="inlineStr">
        <is>
          <t>Formación técnica pública</t>
        </is>
      </c>
      <c r="C93" s="158" t="inlineStr">
        <is>
          <t>REGIONAL DISTRITO CAPITAL</t>
        </is>
      </c>
      <c r="D93" s="158" t="inlineStr">
        <is>
          <t>CENTRO DE TECNOLOGIAS DEL TRANSPORTE</t>
        </is>
      </c>
      <c r="E93" s="98" t="n"/>
      <c r="F93" s="153" t="inlineStr">
        <is>
          <t>Subdirección de Centro (Dirección Académica)</t>
        </is>
      </c>
      <c r="G93" s="98" t="n"/>
      <c r="H93" s="124" t="inlineStr">
        <is>
          <t>JOHN JAIRO MOLINA ROBLES</t>
        </is>
      </c>
      <c r="I93" s="169" t="n">
        <v>5461600</v>
      </c>
      <c r="J93" s="124" t="inlineStr">
        <is>
          <t>jjmolinar@sena.edu.co</t>
        </is>
      </c>
      <c r="K93" s="76" t="inlineStr">
        <is>
          <t>https://caprendizaje.sena.edu.co/sgva/sgva_diseno/pag/ListaCentros.aspx</t>
        </is>
      </c>
      <c r="L93" s="218" t="inlineStr">
        <is>
          <t>PENDIENTE</t>
        </is>
      </c>
      <c r="M93" s="86" t="n"/>
    </row>
    <row r="94" ht="15.75" customHeight="1" s="182">
      <c r="A94" s="158" t="inlineStr">
        <is>
          <t>Colombia</t>
        </is>
      </c>
      <c r="B94" s="158" t="inlineStr">
        <is>
          <t>Formación técnica pública</t>
        </is>
      </c>
      <c r="C94" s="158" t="inlineStr">
        <is>
          <t>REGIONAL DISTRITO CAPITAL</t>
        </is>
      </c>
      <c r="D94" s="158" t="inlineStr">
        <is>
          <t>CENTRO METALMECANICO</t>
        </is>
      </c>
      <c r="E94" s="98" t="n"/>
      <c r="F94" s="153" t="inlineStr">
        <is>
          <t>Subdirección de Centro (Dirección Académica)</t>
        </is>
      </c>
      <c r="G94" s="98" t="n"/>
      <c r="H94" s="124" t="inlineStr">
        <is>
          <t>Alejandra Catalina Fernández Hernández</t>
        </is>
      </c>
      <c r="I94" s="124" t="inlineStr">
        <is>
          <t>5461600 Ext.</t>
        </is>
      </c>
      <c r="J94" s="124" t="inlineStr">
        <is>
          <t>acfernandez@sena.edu.co</t>
        </is>
      </c>
      <c r="K94" s="76" t="inlineStr">
        <is>
          <t>https://caprendizaje.sena.edu.co/sgva/sgva_diseno/pag/ListaCentros.aspx</t>
        </is>
      </c>
      <c r="L94" s="218" t="inlineStr">
        <is>
          <t>PENDIENTE</t>
        </is>
      </c>
      <c r="M94" s="86" t="n"/>
    </row>
    <row r="95" ht="15.75" customHeight="1" s="182">
      <c r="A95" s="158" t="inlineStr">
        <is>
          <t>Colombia</t>
        </is>
      </c>
      <c r="B95" s="158" t="inlineStr">
        <is>
          <t>Formación técnica pública</t>
        </is>
      </c>
      <c r="C95" s="158" t="inlineStr">
        <is>
          <t>REGIONAL DISTRITO CAPITAL</t>
        </is>
      </c>
      <c r="D95" s="158" t="inlineStr">
        <is>
          <t>CENTRO DE MATERIALES Y ENSAYOS</t>
        </is>
      </c>
      <c r="E95" s="98" t="n"/>
      <c r="F95" s="153" t="inlineStr">
        <is>
          <t>Subdirección de Centro (Dirección Académica)</t>
        </is>
      </c>
      <c r="G95" s="98" t="n"/>
      <c r="H95" s="124" t="inlineStr">
        <is>
          <t>VANESSA PATIÑO BELTRAN</t>
        </is>
      </c>
      <c r="I95" s="124" t="inlineStr">
        <is>
          <t>5461600 Ext. 15541 CEL 3132006800</t>
        </is>
      </c>
      <c r="J95" s="124" t="inlineStr">
        <is>
          <t>vpatinob@sena.edu.co</t>
        </is>
      </c>
      <c r="K95" s="76" t="inlineStr">
        <is>
          <t>https://caprendizaje.sena.edu.co/sgva/sgva_diseno/pag/ListaCentros.aspx</t>
        </is>
      </c>
      <c r="L95" s="218" t="inlineStr">
        <is>
          <t>PENDIENTE</t>
        </is>
      </c>
      <c r="M95" s="86" t="n"/>
    </row>
    <row r="96" ht="15.75" customHeight="1" s="182">
      <c r="A96" s="158" t="inlineStr">
        <is>
          <t>Colombia</t>
        </is>
      </c>
      <c r="B96" s="158" t="inlineStr">
        <is>
          <t>Formación técnica pública</t>
        </is>
      </c>
      <c r="C96" s="158" t="inlineStr">
        <is>
          <t>REGIONAL DISTRITO CAPITAL</t>
        </is>
      </c>
      <c r="D96" s="158" t="inlineStr">
        <is>
          <t>CENTRO DE DISEÑO METROLOGIA Y CALIDAD</t>
        </is>
      </c>
      <c r="E96" s="98" t="n"/>
      <c r="F96" s="153" t="inlineStr">
        <is>
          <t>Subdirección de Centro (Dirección Académica)</t>
        </is>
      </c>
      <c r="G96" s="98" t="n"/>
      <c r="H96" s="124" t="inlineStr">
        <is>
          <t>HEDSON ALEJANDRO RODRIGUEZ GARCIA</t>
        </is>
      </c>
      <c r="I96" s="124" t="inlineStr">
        <is>
          <t>5461600 Ext 15541</t>
        </is>
      </c>
      <c r="J96" s="124" t="inlineStr">
        <is>
          <t>harodriguez@sena.edu.co</t>
        </is>
      </c>
      <c r="K96" s="76" t="inlineStr">
        <is>
          <t>https://caprendizaje.sena.edu.co/sgva/sgva_diseno/pag/ListaCentros.aspx</t>
        </is>
      </c>
      <c r="L96" s="218" t="inlineStr">
        <is>
          <t>PENDIENTE</t>
        </is>
      </c>
      <c r="M96" s="86" t="n"/>
    </row>
    <row r="97" ht="15.75" customHeight="1" s="182">
      <c r="A97" s="158" t="inlineStr">
        <is>
          <t>Colombia</t>
        </is>
      </c>
      <c r="B97" s="158" t="inlineStr">
        <is>
          <t>Formación técnica pública</t>
        </is>
      </c>
      <c r="C97" s="158" t="inlineStr">
        <is>
          <t>REGIONAL DISTRITO CAPITAL</t>
        </is>
      </c>
      <c r="D97" s="158" t="inlineStr">
        <is>
          <t>CENTRO PARA LA INDUSTRIA DE LA COMUNICACION GRAFICA</t>
        </is>
      </c>
      <c r="E97" s="98" t="n"/>
      <c r="F97" s="153" t="inlineStr">
        <is>
          <t>Subdirección de Centro (Dirección Académica)</t>
        </is>
      </c>
      <c r="G97" s="98" t="n"/>
      <c r="H97" s="124" t="inlineStr">
        <is>
          <t>Dairy Alejandra Tinoco Vergara</t>
        </is>
      </c>
      <c r="I97" s="169" t="n">
        <v>3161848172</v>
      </c>
      <c r="J97" s="124" t="inlineStr">
        <is>
          <t>dtinoco@sena.edu.co</t>
        </is>
      </c>
      <c r="K97" s="76" t="inlineStr">
        <is>
          <t>https://caprendizaje.sena.edu.co/sgva/sgva_diseno/pag/ListaCentros.aspx</t>
        </is>
      </c>
      <c r="L97" s="218" t="inlineStr">
        <is>
          <t>PENDIENTE</t>
        </is>
      </c>
      <c r="M97" s="86" t="n"/>
    </row>
    <row r="98" ht="15.75" customHeight="1" s="182">
      <c r="A98" s="158" t="inlineStr">
        <is>
          <t>Colombia</t>
        </is>
      </c>
      <c r="B98" s="158" t="inlineStr">
        <is>
          <t>Formación técnica pública</t>
        </is>
      </c>
      <c r="C98" s="158" t="inlineStr">
        <is>
          <t>REGIONAL DISTRITO CAPITAL</t>
        </is>
      </c>
      <c r="D98" s="158" t="inlineStr">
        <is>
          <t>CENTRO DE GESTION DE MERCADOS, LOGISTICA Y TECNOLOGIAS DE LA INFORMACION</t>
        </is>
      </c>
      <c r="E98" s="98" t="n"/>
      <c r="F98" s="153" t="inlineStr">
        <is>
          <t>Subdirección de Centro (Dirección Académica)</t>
        </is>
      </c>
      <c r="G98" s="98" t="n"/>
      <c r="H98" s="124" t="inlineStr">
        <is>
          <t>Yeimi Alejandra Godoy Barrios</t>
        </is>
      </c>
      <c r="I98" s="169" t="n">
        <v>3204083837</v>
      </c>
      <c r="J98" s="124" t="inlineStr">
        <is>
          <t>yagodoy@sena.edu.co</t>
        </is>
      </c>
      <c r="K98" s="76" t="inlineStr">
        <is>
          <t>https://caprendizaje.sena.edu.co/sgva/sgva_diseno/pag/ListaCentros.aspx</t>
        </is>
      </c>
      <c r="L98" s="218" t="inlineStr">
        <is>
          <t>PENDIENTE</t>
        </is>
      </c>
      <c r="M98" s="86" t="n"/>
    </row>
    <row r="99" ht="15.75" customHeight="1" s="182">
      <c r="A99" s="158" t="inlineStr">
        <is>
          <t>Colombia</t>
        </is>
      </c>
      <c r="B99" s="158" t="inlineStr">
        <is>
          <t>Formación técnica pública</t>
        </is>
      </c>
      <c r="C99" s="158" t="inlineStr">
        <is>
          <t>REGIONAL DISTRITO CAPITAL</t>
        </is>
      </c>
      <c r="D99" s="158" t="inlineStr">
        <is>
          <t>CENTRO DE FORMACION EN ACTIVIDAD FISICA Y CULTURA</t>
        </is>
      </c>
      <c r="E99" s="98" t="n"/>
      <c r="F99" s="153" t="inlineStr">
        <is>
          <t>Subdirección de Centro (Dirección Académica)</t>
        </is>
      </c>
      <c r="G99" s="98" t="n"/>
      <c r="H99" s="124" t="inlineStr">
        <is>
          <t>MARLEN EMILSE RODRIGUEZ MARIN</t>
        </is>
      </c>
      <c r="I99" s="169" t="n">
        <v>3057631621</v>
      </c>
      <c r="J99" s="124" t="inlineStr">
        <is>
          <t>marlen.rodriguez@sena.edu.co</t>
        </is>
      </c>
      <c r="K99" s="76" t="inlineStr">
        <is>
          <t>https://caprendizaje.sena.edu.co/sgva/sgva_diseno/pag/ListaCentros.aspx</t>
        </is>
      </c>
      <c r="L99" s="218" t="inlineStr">
        <is>
          <t>PENDIENTE</t>
        </is>
      </c>
      <c r="M99" s="86" t="n"/>
    </row>
    <row r="100" ht="15.75" customHeight="1" s="182">
      <c r="A100" s="158" t="inlineStr">
        <is>
          <t>Colombia</t>
        </is>
      </c>
      <c r="B100" s="158" t="inlineStr">
        <is>
          <t>Formación técnica pública</t>
        </is>
      </c>
      <c r="C100" s="158" t="inlineStr">
        <is>
          <t>REGIONAL DISTRITO CAPITAL</t>
        </is>
      </c>
      <c r="D100" s="158" t="inlineStr">
        <is>
          <t>CENTRO DE FORMACION DE TALENTO HUMANO EN SALUD</t>
        </is>
      </c>
      <c r="E100" s="98" t="n"/>
      <c r="F100" s="153" t="inlineStr">
        <is>
          <t>Subdirección de Centro (Dirección Académica)</t>
        </is>
      </c>
      <c r="G100" s="98" t="n"/>
      <c r="H100" s="124" t="inlineStr">
        <is>
          <t>MILTON DARIO ACERO</t>
        </is>
      </c>
      <c r="I100" s="124" t="inlineStr">
        <is>
          <t>5461500 EXT. 15949</t>
        </is>
      </c>
      <c r="J100" s="124" t="inlineStr">
        <is>
          <t>macerot@sena.edu.co</t>
        </is>
      </c>
      <c r="K100" s="76" t="inlineStr">
        <is>
          <t>https://caprendizaje.sena.edu.co/sgva/sgva_diseno/pag/ListaCentros.aspx</t>
        </is>
      </c>
      <c r="L100" s="218" t="inlineStr">
        <is>
          <t>PENDIENTE</t>
        </is>
      </c>
      <c r="M100" s="86" t="n"/>
    </row>
    <row r="101" ht="15.75" customHeight="1" s="182">
      <c r="A101" s="158" t="inlineStr">
        <is>
          <t>Colombia</t>
        </is>
      </c>
      <c r="B101" s="158" t="inlineStr">
        <is>
          <t>Formación técnica pública</t>
        </is>
      </c>
      <c r="C101" s="158" t="inlineStr">
        <is>
          <t>REGIONAL DISTRITO CAPITAL</t>
        </is>
      </c>
      <c r="D101" s="158" t="inlineStr">
        <is>
          <t>CENTRO DE GESTION ADMINISTRATIVA</t>
        </is>
      </c>
      <c r="E101" s="98" t="n"/>
      <c r="F101" s="153" t="inlineStr">
        <is>
          <t>Subdirección de Centro (Dirección Académica)</t>
        </is>
      </c>
      <c r="G101" s="98" t="n"/>
      <c r="H101" s="124" t="inlineStr">
        <is>
          <t>YOLANDA BOLIVAR SIERRA</t>
        </is>
      </c>
      <c r="I101" s="124" t="inlineStr">
        <is>
          <t>5461500 Ext:16021</t>
        </is>
      </c>
      <c r="J101" s="124" t="inlineStr">
        <is>
          <t>ybolivars@sena.edu.co</t>
        </is>
      </c>
      <c r="K101" s="76" t="inlineStr">
        <is>
          <t>https://caprendizaje.sena.edu.co/sgva/sgva_diseno/pag/ListaCentros.aspx</t>
        </is>
      </c>
      <c r="L101" s="218" t="inlineStr">
        <is>
          <t>PENDIENTE</t>
        </is>
      </c>
      <c r="M101" s="86" t="n"/>
    </row>
    <row r="102" ht="15.75" customHeight="1" s="182">
      <c r="A102" s="158" t="inlineStr">
        <is>
          <t>Colombia</t>
        </is>
      </c>
      <c r="B102" s="158" t="inlineStr">
        <is>
          <t>Formación técnica pública</t>
        </is>
      </c>
      <c r="C102" s="158" t="inlineStr">
        <is>
          <t>REGIONAL DISTRITO CAPITAL</t>
        </is>
      </c>
      <c r="D102" s="158" t="inlineStr">
        <is>
          <t>CENTRO DE SERVICIOS FINANCIEROS</t>
        </is>
      </c>
      <c r="E102" s="98" t="n"/>
      <c r="F102" s="153" t="inlineStr">
        <is>
          <t>Subdirección de Centro (Dirección Académica)</t>
        </is>
      </c>
      <c r="G102" s="98" t="n"/>
      <c r="H102" s="124" t="inlineStr">
        <is>
          <t>SANDRA PATRICIA SANCHEZ MARTINEZ</t>
        </is>
      </c>
      <c r="I102" s="124" t="inlineStr">
        <is>
          <t>5461600 Ext. 14652-13506</t>
        </is>
      </c>
      <c r="J102" s="124" t="inlineStr">
        <is>
          <t>spsanchez@sena.edu.co</t>
        </is>
      </c>
      <c r="K102" s="76" t="inlineStr">
        <is>
          <t>https://caprendizaje.sena.edu.co/sgva/sgva_diseno/pag/ListaCentros.aspx</t>
        </is>
      </c>
      <c r="L102" s="218" t="inlineStr">
        <is>
          <t>PENDIENTE</t>
        </is>
      </c>
      <c r="M102" s="86" t="n"/>
    </row>
    <row r="103" ht="15.75" customHeight="1" s="182">
      <c r="A103" s="158" t="inlineStr">
        <is>
          <t>Colombia</t>
        </is>
      </c>
      <c r="B103" s="158" t="inlineStr">
        <is>
          <t>Formación técnica pública</t>
        </is>
      </c>
      <c r="C103" s="158" t="inlineStr">
        <is>
          <t>REGIONAL DISTRITO CAPITAL</t>
        </is>
      </c>
      <c r="D103" s="158" t="inlineStr">
        <is>
          <t>CENTRO NACIONAL DE HOTELERIA, TURISMO Y ALIMENTOS</t>
        </is>
      </c>
      <c r="E103" s="98" t="n"/>
      <c r="F103" s="153" t="inlineStr">
        <is>
          <t>Subdirección de Centro (Dirección Académica)</t>
        </is>
      </c>
      <c r="G103" s="98" t="n"/>
      <c r="H103" s="124" t="inlineStr">
        <is>
          <t>Diana Marcela Hurtado Muñoz</t>
        </is>
      </c>
      <c r="I103" s="169" t="n">
        <v>5960100</v>
      </c>
      <c r="J103" s="124" t="inlineStr">
        <is>
          <t>dhurtadom@sena.edu.co</t>
        </is>
      </c>
      <c r="K103" s="76" t="inlineStr">
        <is>
          <t>https://caprendizaje.sena.edu.co/sgva/sgva_diseno/pag/ListaCentros.aspx</t>
        </is>
      </c>
      <c r="L103" s="218" t="inlineStr">
        <is>
          <t>PENDIENTE</t>
        </is>
      </c>
      <c r="M103" s="86" t="n"/>
    </row>
    <row r="104" ht="15.75" customHeight="1" s="182">
      <c r="A104" s="158" t="inlineStr">
        <is>
          <t>Colombia</t>
        </is>
      </c>
      <c r="B104" s="158" t="inlineStr">
        <is>
          <t>Formación técnica pública</t>
        </is>
      </c>
      <c r="C104" s="158" t="inlineStr">
        <is>
          <t>REGIONAL GUAINIA</t>
        </is>
      </c>
      <c r="D104" s="158" t="inlineStr">
        <is>
          <t>CENTRO AMBIENTAL Y ECOTURISTICO DEL NORORIENTE AMAZONICO -PUERTO INIRIDA-</t>
        </is>
      </c>
      <c r="E104" s="98" t="n"/>
      <c r="F104" s="153" t="inlineStr">
        <is>
          <t>Subdirección de Centro (Dirección Académica)</t>
        </is>
      </c>
      <c r="G104" s="98" t="n"/>
      <c r="H104" s="124" t="inlineStr">
        <is>
          <t>ALEXIS AGUILAR COMAYAN</t>
        </is>
      </c>
      <c r="I104" s="169" t="n">
        <v>3219279752</v>
      </c>
      <c r="J104" s="124" t="inlineStr">
        <is>
          <t>aaguilar@sena.edu.co</t>
        </is>
      </c>
      <c r="K104" s="76" t="inlineStr">
        <is>
          <t>https://caprendizaje.sena.edu.co/sgva/sgva_diseno/pag/ListaCentros.aspx</t>
        </is>
      </c>
      <c r="L104" s="218" t="inlineStr">
        <is>
          <t>PENDIENTE</t>
        </is>
      </c>
      <c r="M104" s="86" t="n"/>
    </row>
    <row r="105" ht="15.75" customHeight="1" s="182">
      <c r="A105" s="158" t="inlineStr">
        <is>
          <t>Colombia</t>
        </is>
      </c>
      <c r="B105" s="158" t="inlineStr">
        <is>
          <t>Formación técnica pública</t>
        </is>
      </c>
      <c r="C105" s="158" t="inlineStr">
        <is>
          <t>REGIONAL GUAVIARE</t>
        </is>
      </c>
      <c r="D105" s="158" t="inlineStr">
        <is>
          <t>CENTRO DE DESARROLLO AGROINDUSTRIAL, TURISTICO Y TECNOLOGICO DEL GUAVIARE -SAN JOSE DEL GUAVIARE-</t>
        </is>
      </c>
      <c r="E105" s="98" t="n"/>
      <c r="F105" s="153" t="inlineStr">
        <is>
          <t>Subdirección de Centro (Dirección Académica)</t>
        </is>
      </c>
      <c r="G105" s="98" t="n"/>
      <c r="H105" s="124" t="inlineStr">
        <is>
          <t>Argenia Cantor Alvares</t>
        </is>
      </c>
      <c r="I105" s="169" t="n">
        <v>3144450919</v>
      </c>
      <c r="J105" s="124" t="inlineStr">
        <is>
          <t>acantora@sena.edu.co</t>
        </is>
      </c>
      <c r="K105" s="76" t="inlineStr">
        <is>
          <t>https://caprendizaje.sena.edu.co/sgva/sgva_diseno/pag/ListaCentros.aspx</t>
        </is>
      </c>
      <c r="L105" s="218" t="inlineStr">
        <is>
          <t>PENDIENTE</t>
        </is>
      </c>
      <c r="M105" s="86" t="n"/>
    </row>
    <row r="106" ht="15.75" customHeight="1" s="182">
      <c r="A106" s="158" t="inlineStr">
        <is>
          <t>Colombia</t>
        </is>
      </c>
      <c r="B106" s="158" t="inlineStr">
        <is>
          <t>Formación técnica pública</t>
        </is>
      </c>
      <c r="C106" s="158" t="inlineStr">
        <is>
          <t>REGIONAL HUILA</t>
        </is>
      </c>
      <c r="D106" s="158" t="inlineStr">
        <is>
          <t>CENTRO DE FORMACION AGROINDUSTRIAL -CAMPOALEGRE-</t>
        </is>
      </c>
      <c r="E106" s="98" t="n"/>
      <c r="F106" s="153" t="inlineStr">
        <is>
          <t>Subdirección de Centro (Dirección Académica)</t>
        </is>
      </c>
      <c r="G106" s="98" t="n"/>
      <c r="H106" s="124" t="inlineStr">
        <is>
          <t>Marleny Suarez Burgos</t>
        </is>
      </c>
      <c r="I106" s="169" t="n">
        <v>3212284007</v>
      </c>
      <c r="J106" s="124" t="inlineStr">
        <is>
          <t>msuarezb@sena.edu.co</t>
        </is>
      </c>
      <c r="K106" s="76" t="inlineStr">
        <is>
          <t>https://caprendizaje.sena.edu.co/sgva/sgva_diseno/pag/ListaCentros.aspx</t>
        </is>
      </c>
      <c r="L106" s="218" t="inlineStr">
        <is>
          <t>PENDIENTE</t>
        </is>
      </c>
      <c r="M106" s="86" t="n"/>
    </row>
    <row r="107" ht="15.75" customHeight="1" s="182">
      <c r="A107" s="158" t="inlineStr">
        <is>
          <t>Colombia</t>
        </is>
      </c>
      <c r="B107" s="158" t="inlineStr">
        <is>
          <t>Formación técnica pública</t>
        </is>
      </c>
      <c r="C107" s="158" t="inlineStr">
        <is>
          <t>REGIONAL HUILA</t>
        </is>
      </c>
      <c r="D107" s="158" t="inlineStr">
        <is>
          <t>CENTRO AGROEMPRESARIAL Y DESARROLLO PECUARIO DEL HUILA -GARZON-</t>
        </is>
      </c>
      <c r="E107" s="98" t="n"/>
      <c r="F107" s="153" t="inlineStr">
        <is>
          <t>Subdirección de Centro (Dirección Académica)</t>
        </is>
      </c>
      <c r="G107" s="98" t="n"/>
      <c r="H107" s="124" t="inlineStr">
        <is>
          <t>Olga Guzmán Quintero</t>
        </is>
      </c>
      <c r="I107" s="169" t="n">
        <v>3168509459</v>
      </c>
      <c r="J107" s="124" t="inlineStr">
        <is>
          <t>ocguzmanq@sena.edu.co</t>
        </is>
      </c>
      <c r="K107" s="76" t="inlineStr">
        <is>
          <t>https://caprendizaje.sena.edu.co/sgva/sgva_diseno/pag/ListaCentros.aspx</t>
        </is>
      </c>
      <c r="L107" s="218" t="inlineStr">
        <is>
          <t>PENDIENTE</t>
        </is>
      </c>
      <c r="M107" s="86" t="n"/>
    </row>
    <row r="108" ht="15.75" customHeight="1" s="182">
      <c r="A108" s="158" t="inlineStr">
        <is>
          <t>Colombia</t>
        </is>
      </c>
      <c r="B108" s="158" t="inlineStr">
        <is>
          <t>Formación técnica pública</t>
        </is>
      </c>
      <c r="C108" s="158" t="inlineStr">
        <is>
          <t>REGIONAL HUILA</t>
        </is>
      </c>
      <c r="D108" s="158" t="inlineStr">
        <is>
          <t>CENTRO DE DESARROLLO AGROEMPRESARIAL Y TURISTICO DEL HUILA -LA PLATA-</t>
        </is>
      </c>
      <c r="E108" s="98" t="n"/>
      <c r="F108" s="153" t="inlineStr">
        <is>
          <t>Subdirección de Centro (Dirección Académica)</t>
        </is>
      </c>
      <c r="G108" s="98" t="n"/>
      <c r="H108" s="124" t="inlineStr">
        <is>
          <t>Laura Sofía Parra Palechor</t>
        </is>
      </c>
      <c r="I108" s="169" t="n">
        <v>3133635186</v>
      </c>
      <c r="J108" s="124" t="inlineStr">
        <is>
          <t>lsparra@sena.edu.co</t>
        </is>
      </c>
      <c r="K108" s="76" t="inlineStr">
        <is>
          <t>https://caprendizaje.sena.edu.co/sgva/sgva_diseno/pag/ListaCentros.aspx</t>
        </is>
      </c>
      <c r="L108" s="218" t="inlineStr">
        <is>
          <t>PENDIENTE</t>
        </is>
      </c>
      <c r="M108" s="86" t="n"/>
    </row>
    <row r="109" ht="15.75" customHeight="1" s="182">
      <c r="A109" s="158" t="inlineStr">
        <is>
          <t>Colombia</t>
        </is>
      </c>
      <c r="B109" s="158" t="inlineStr">
        <is>
          <t>Formación técnica pública</t>
        </is>
      </c>
      <c r="C109" s="158" t="inlineStr">
        <is>
          <t>REGIONAL HUILA</t>
        </is>
      </c>
      <c r="D109" s="158" t="inlineStr">
        <is>
          <t>CENTRO DE LA INDUSTRIA, LA EMPRESA Y LOS SERVICIOS -NEIVA-</t>
        </is>
      </c>
      <c r="E109" s="98" t="n"/>
      <c r="F109" s="153" t="inlineStr">
        <is>
          <t>Subdirección de Centro (Dirección Académica)</t>
        </is>
      </c>
      <c r="G109" s="98" t="n"/>
      <c r="H109" s="124" t="inlineStr">
        <is>
          <t>Maira Fernanda Gaona Vargas</t>
        </is>
      </c>
      <c r="I109" s="169" t="n">
        <v>3167552795</v>
      </c>
      <c r="J109" s="124" t="inlineStr">
        <is>
          <t>mfgaona@sena.edu.co</t>
        </is>
      </c>
      <c r="K109" s="76" t="inlineStr">
        <is>
          <t>https://caprendizaje.sena.edu.co/sgva/sgva_diseno/pag/ListaCentros.aspx</t>
        </is>
      </c>
      <c r="L109" s="218" t="inlineStr">
        <is>
          <t>PENDIENTE</t>
        </is>
      </c>
      <c r="M109" s="86" t="n"/>
    </row>
    <row r="110" ht="15.75" customHeight="1" s="182">
      <c r="A110" s="158" t="inlineStr">
        <is>
          <t>Colombia</t>
        </is>
      </c>
      <c r="B110" s="158" t="inlineStr">
        <is>
          <t>Formación técnica pública</t>
        </is>
      </c>
      <c r="C110" s="158" t="inlineStr">
        <is>
          <t>REGIONAL HUILA</t>
        </is>
      </c>
      <c r="D110" s="158" t="inlineStr">
        <is>
          <t>CENTRO DE GESTION Y DESARROLLO SOSTENIBLE SURCOLOMBIANO -PITALITO-</t>
        </is>
      </c>
      <c r="E110" s="98" t="n"/>
      <c r="F110" s="153" t="inlineStr">
        <is>
          <t>Subdirección de Centro (Dirección Académica)</t>
        </is>
      </c>
      <c r="G110" s="98" t="n"/>
      <c r="H110" s="124" t="inlineStr">
        <is>
          <t>Hernán Darío Rodríguez Burgos</t>
        </is>
      </c>
      <c r="I110" s="169" t="n">
        <v>3204427198</v>
      </c>
      <c r="J110" s="124" t="inlineStr">
        <is>
          <t>hdrodriguezb@sena.edu.co</t>
        </is>
      </c>
      <c r="K110" s="76" t="inlineStr">
        <is>
          <t>https://caprendizaje.sena.edu.co/sgva/sgva_diseno/pag/ListaCentros.aspx</t>
        </is>
      </c>
      <c r="L110" s="218" t="inlineStr">
        <is>
          <t>PENDIENTE</t>
        </is>
      </c>
      <c r="M110" s="86" t="n"/>
    </row>
    <row r="111" ht="15.75" customHeight="1" s="182">
      <c r="A111" s="158" t="inlineStr">
        <is>
          <t>Colombia</t>
        </is>
      </c>
      <c r="B111" s="158" t="inlineStr">
        <is>
          <t>Formación técnica pública</t>
        </is>
      </c>
      <c r="C111" s="158" t="inlineStr">
        <is>
          <t>REGIONAL LA GUAJIRA</t>
        </is>
      </c>
      <c r="D111" s="158" t="inlineStr">
        <is>
          <t>CENTRO INDUSTRIAL Y DE ENERGIAS ALTERNATIVAS -RIOHACHA-</t>
        </is>
      </c>
      <c r="E111" s="98" t="n"/>
      <c r="F111" s="153" t="inlineStr">
        <is>
          <t>Subdirección de Centro (Dirección Académica)</t>
        </is>
      </c>
      <c r="G111" s="98" t="n"/>
      <c r="H111" s="124" t="inlineStr">
        <is>
          <t>NERILIS MOVIL REDONDO</t>
        </is>
      </c>
      <c r="I111" s="169" t="n">
        <v>3013149545</v>
      </c>
      <c r="J111" s="124" t="inlineStr">
        <is>
          <t>nmovil@sena.edu.co</t>
        </is>
      </c>
      <c r="K111" s="76" t="inlineStr">
        <is>
          <t>https://caprendizaje.sena.edu.co/sgva/sgva_diseno/pag/ListaCentros.aspx</t>
        </is>
      </c>
      <c r="L111" s="218" t="inlineStr">
        <is>
          <t>PENDIENTE</t>
        </is>
      </c>
      <c r="M111" s="86" t="n"/>
    </row>
    <row r="112" ht="15.75" customHeight="1" s="182">
      <c r="A112" s="158" t="inlineStr">
        <is>
          <t>Colombia</t>
        </is>
      </c>
      <c r="B112" s="158" t="inlineStr">
        <is>
          <t>Formación técnica pública</t>
        </is>
      </c>
      <c r="C112" s="158" t="inlineStr">
        <is>
          <t>REGIONAL LA GUAJIRA</t>
        </is>
      </c>
      <c r="D112" s="158" t="inlineStr">
        <is>
          <t>CENTRO AGROEMPRESARIAL Y ACUICOLA -RIOHACHA-</t>
        </is>
      </c>
      <c r="E112" s="98" t="n"/>
      <c r="F112" s="153" t="inlineStr">
        <is>
          <t>Subdirección de Centro (Dirección Académica)</t>
        </is>
      </c>
      <c r="G112" s="98" t="n"/>
      <c r="H112" s="124" t="inlineStr">
        <is>
          <t>Ketty Johana Morales Alvis</t>
        </is>
      </c>
      <c r="I112" s="169" t="n">
        <v>3153658854</v>
      </c>
      <c r="J112" s="124" t="inlineStr">
        <is>
          <t>kjmorales@sena.edu.co</t>
        </is>
      </c>
      <c r="K112" s="76" t="inlineStr">
        <is>
          <t>https://caprendizaje.sena.edu.co/sgva/sgva_diseno/pag/ListaCentros.aspx</t>
        </is>
      </c>
      <c r="L112" s="218" t="inlineStr">
        <is>
          <t>PENDIENTE</t>
        </is>
      </c>
      <c r="M112" s="86" t="n"/>
    </row>
    <row r="113" ht="15.75" customHeight="1" s="182">
      <c r="A113" s="158" t="inlineStr">
        <is>
          <t>Colombia</t>
        </is>
      </c>
      <c r="B113" s="158" t="inlineStr">
        <is>
          <t>Formación técnica pública</t>
        </is>
      </c>
      <c r="C113" s="158" t="inlineStr">
        <is>
          <t>REGIONAL MAGDALENA</t>
        </is>
      </c>
      <c r="D113" s="158" t="inlineStr">
        <is>
          <t>CENTRO ACUICOLA Y AGROINDUSTRIAL DE GAIRA -SANTA MARTA-</t>
        </is>
      </c>
      <c r="E113" s="98" t="n"/>
      <c r="F113" s="153" t="inlineStr">
        <is>
          <t>Subdirección de Centro (Dirección Académica)</t>
        </is>
      </c>
      <c r="G113" s="98" t="n"/>
      <c r="H113" s="124" t="inlineStr">
        <is>
          <t>ANA MARIA LONDOÑO COLORADO</t>
        </is>
      </c>
      <c r="I113" s="124" t="inlineStr">
        <is>
          <t>4211880 Ext. 54139</t>
        </is>
      </c>
      <c r="J113" s="124" t="inlineStr">
        <is>
          <t>amlondonoc@sena.edu.co</t>
        </is>
      </c>
      <c r="K113" s="76" t="inlineStr">
        <is>
          <t>https://caprendizaje.sena.edu.co/sgva/sgva_diseno/pag/ListaCentros.aspx</t>
        </is>
      </c>
      <c r="L113" s="218" t="inlineStr">
        <is>
          <t>PENDIENTE</t>
        </is>
      </c>
      <c r="M113" s="86" t="n"/>
    </row>
    <row r="114" ht="15.75" customHeight="1" s="182">
      <c r="A114" s="158" t="inlineStr">
        <is>
          <t>Colombia</t>
        </is>
      </c>
      <c r="B114" s="158" t="inlineStr">
        <is>
          <t>Formación técnica pública</t>
        </is>
      </c>
      <c r="C114" s="158" t="inlineStr">
        <is>
          <t>REGIONAL MAGDALENA</t>
        </is>
      </c>
      <c r="D114" s="158" t="inlineStr">
        <is>
          <t>CENTRO DE LOGISTICA Y PROMOCION ECOTURISTICA DEL MAGDALENA -SANTA MARTA-</t>
        </is>
      </c>
      <c r="E114" s="98" t="n"/>
      <c r="F114" s="153" t="inlineStr">
        <is>
          <t>Subdirección de Centro (Dirección Académica)</t>
        </is>
      </c>
      <c r="G114" s="98" t="n"/>
      <c r="H114" s="124" t="inlineStr">
        <is>
          <t>ENITH JOHANNA PABUENA CACERES</t>
        </is>
      </c>
      <c r="I114" s="124" t="inlineStr">
        <is>
          <t>4211880 Ext. 53914</t>
        </is>
      </c>
      <c r="J114" s="124" t="inlineStr">
        <is>
          <t>epabuena@sena.edu.co</t>
        </is>
      </c>
      <c r="K114" s="76" t="inlineStr">
        <is>
          <t>https://caprendizaje.sena.edu.co/sgva/sgva_diseno/pag/ListaCentros.aspx</t>
        </is>
      </c>
      <c r="L114" s="218" t="inlineStr">
        <is>
          <t>PENDIENTE</t>
        </is>
      </c>
      <c r="M114" s="86" t="n"/>
    </row>
    <row r="115" ht="15.75" customHeight="1" s="182">
      <c r="A115" s="158" t="inlineStr">
        <is>
          <t>Colombia</t>
        </is>
      </c>
      <c r="B115" s="158" t="inlineStr">
        <is>
          <t>Formación técnica pública</t>
        </is>
      </c>
      <c r="C115" s="158" t="inlineStr">
        <is>
          <t>REGIONAL META</t>
        </is>
      </c>
      <c r="D115" s="158" t="inlineStr">
        <is>
          <t>CENTRO DE INDUSTRIA Y SERVICIOS DEL META -VILLAVICENCIO-</t>
        </is>
      </c>
      <c r="E115" s="98" t="n"/>
      <c r="F115" s="153" t="inlineStr">
        <is>
          <t>Subdirección de Centro (Dirección Académica)</t>
        </is>
      </c>
      <c r="G115" s="98" t="n"/>
      <c r="H115" s="124" t="inlineStr">
        <is>
          <t>JUAN MATEO LEON BARRAGAN</t>
        </is>
      </c>
      <c r="I115" s="169" t="n">
        <v>3005724397</v>
      </c>
      <c r="J115" s="124" t="inlineStr">
        <is>
          <t>jmleon@sena.edu.co</t>
        </is>
      </c>
      <c r="K115" s="76" t="inlineStr">
        <is>
          <t>https://caprendizaje.sena.edu.co/sgva/sgva_diseno/pag/ListaCentros.aspx</t>
        </is>
      </c>
      <c r="L115" s="218" t="inlineStr">
        <is>
          <t>PENDIENTE</t>
        </is>
      </c>
      <c r="M115" s="86" t="n"/>
    </row>
    <row r="116" ht="15.75" customHeight="1" s="182">
      <c r="A116" s="158" t="inlineStr">
        <is>
          <t>Colombia</t>
        </is>
      </c>
      <c r="B116" s="158" t="inlineStr">
        <is>
          <t>Formación técnica pública</t>
        </is>
      </c>
      <c r="C116" s="158" t="inlineStr">
        <is>
          <t>REGIONAL META</t>
        </is>
      </c>
      <c r="D116" s="158" t="inlineStr">
        <is>
          <t>CENTRO AGROINDUSTRIAL DEL META - VILLAVICENCIO-</t>
        </is>
      </c>
      <c r="E116" s="98" t="n"/>
      <c r="F116" s="153" t="inlineStr">
        <is>
          <t>Subdirección de Centro (Dirección Académica)</t>
        </is>
      </c>
      <c r="G116" s="98" t="n"/>
      <c r="H116" s="124" t="inlineStr">
        <is>
          <t>JOSE DOMINGO CASTAÑEDA LOPEZ</t>
        </is>
      </c>
      <c r="I116" s="169" t="n">
        <v>3227288381</v>
      </c>
      <c r="J116" s="124" t="inlineStr">
        <is>
          <t>jcastanedal@sena.edu.co</t>
        </is>
      </c>
      <c r="K116" s="76" t="inlineStr">
        <is>
          <t>https://caprendizaje.sena.edu.co/sgva/sgva_diseno/pag/ListaCentros.aspx</t>
        </is>
      </c>
      <c r="L116" s="218" t="inlineStr">
        <is>
          <t>PENDIENTE</t>
        </is>
      </c>
      <c r="M116" s="86" t="n"/>
    </row>
    <row r="117" ht="15.75" customHeight="1" s="182">
      <c r="A117" s="158" t="inlineStr">
        <is>
          <t>Colombia</t>
        </is>
      </c>
      <c r="B117" s="158" t="inlineStr">
        <is>
          <t>Formación técnica pública</t>
        </is>
      </c>
      <c r="C117" s="158" t="inlineStr">
        <is>
          <t>REGIONAL NARIÑO</t>
        </is>
      </c>
      <c r="D117" s="158" t="inlineStr">
        <is>
          <t>CENTRO SUR COLOMBIANO DE LOGÍSTICA INTERNACIONAL -IPIALES-</t>
        </is>
      </c>
      <c r="E117" s="98" t="n"/>
      <c r="F117" s="153" t="inlineStr">
        <is>
          <t>Subdirección de Centro (Dirección Académica)</t>
        </is>
      </c>
      <c r="G117" s="98" t="n"/>
      <c r="H117" s="124" t="inlineStr">
        <is>
          <t>Alicia Del Carmen Cardona Quintero</t>
        </is>
      </c>
      <c r="I117" s="124" t="inlineStr">
        <is>
          <t>316 3456788</t>
        </is>
      </c>
      <c r="J117" s="124" t="inlineStr">
        <is>
          <t>accardonaq@sena.edu.co</t>
        </is>
      </c>
      <c r="K117" s="76" t="inlineStr">
        <is>
          <t>https://caprendizaje.sena.edu.co/sgva/sgva_diseno/pag/ListaCentros.aspx</t>
        </is>
      </c>
      <c r="L117" s="218" t="inlineStr">
        <is>
          <t>PENDIENTE</t>
        </is>
      </c>
      <c r="M117" s="86" t="n"/>
    </row>
    <row r="118" ht="15.75" customHeight="1" s="182">
      <c r="A118" s="158" t="inlineStr">
        <is>
          <t>Colombia</t>
        </is>
      </c>
      <c r="B118" s="158" t="inlineStr">
        <is>
          <t>Formación técnica pública</t>
        </is>
      </c>
      <c r="C118" s="158" t="inlineStr">
        <is>
          <t>REGIONAL NARIÑO</t>
        </is>
      </c>
      <c r="D118" s="158" t="inlineStr">
        <is>
          <t>CENTRO AGROINDUSTRIAL Y PESQUERO DE LA COSTA PACIFICA -TUMACO-</t>
        </is>
      </c>
      <c r="E118" s="98" t="n"/>
      <c r="F118" s="153" t="inlineStr">
        <is>
          <t>Subdirección de Centro (Dirección Académica)</t>
        </is>
      </c>
      <c r="G118" s="98" t="n"/>
      <c r="H118" s="124" t="inlineStr">
        <is>
          <t>JOHANA VELASQUEZ CORTEZ</t>
        </is>
      </c>
      <c r="I118" s="124" t="inlineStr">
        <is>
          <t>313 555849</t>
        </is>
      </c>
      <c r="J118" s="124" t="inlineStr">
        <is>
          <t>jvelasquezc@sena.edu.co</t>
        </is>
      </c>
      <c r="K118" s="76" t="inlineStr">
        <is>
          <t>https://caprendizaje.sena.edu.co/sgva/sgva_diseno/pag/ListaCentros.aspx</t>
        </is>
      </c>
      <c r="L118" s="218" t="inlineStr">
        <is>
          <t>PENDIENTE</t>
        </is>
      </c>
      <c r="M118" s="86" t="n"/>
    </row>
    <row r="119" ht="15.75" customHeight="1" s="182">
      <c r="A119" s="158" t="inlineStr">
        <is>
          <t>Colombia</t>
        </is>
      </c>
      <c r="B119" s="158" t="inlineStr">
        <is>
          <t>Formación técnica pública</t>
        </is>
      </c>
      <c r="C119" s="158" t="inlineStr">
        <is>
          <t>REGIONAL NARIÑO</t>
        </is>
      </c>
      <c r="D119" s="158" t="inlineStr">
        <is>
          <t>CENTRO INTERNACIONAL DE PRODUCCIÓN LIMPIA - LOPE - SAN JUAN DE PASTO-</t>
        </is>
      </c>
      <c r="E119" s="98" t="n"/>
      <c r="F119" s="153" t="inlineStr">
        <is>
          <t>Subdirección de Centro (Dirección Académica)</t>
        </is>
      </c>
      <c r="G119" s="98" t="n"/>
      <c r="H119" s="124" t="inlineStr">
        <is>
          <t>CRISTIAN MAURICIO CASTILLO VILLOTA</t>
        </is>
      </c>
      <c r="I119" s="124" t="inlineStr">
        <is>
          <t>7304656 Ext. 72101-72114</t>
        </is>
      </c>
      <c r="J119" s="124" t="inlineStr">
        <is>
          <t>cmcastillo@sena.edu.co</t>
        </is>
      </c>
      <c r="K119" s="76" t="inlineStr">
        <is>
          <t>https://caprendizaje.sena.edu.co/sgva/sgva_diseno/pag/ListaCentros.aspx</t>
        </is>
      </c>
      <c r="L119" s="218" t="inlineStr">
        <is>
          <t>PENDIENTE</t>
        </is>
      </c>
      <c r="M119" s="86" t="n"/>
    </row>
    <row r="120" ht="15.75" customHeight="1" s="182">
      <c r="A120" s="158" t="inlineStr">
        <is>
          <t>Colombia</t>
        </is>
      </c>
      <c r="B120" s="158" t="inlineStr">
        <is>
          <t>Formación técnica pública</t>
        </is>
      </c>
      <c r="C120" s="158" t="inlineStr">
        <is>
          <t>REGIONAL NORTE DE SANTANDER</t>
        </is>
      </c>
      <c r="D120" s="158" t="inlineStr">
        <is>
          <t>CENTRO DE LA INDUSTRIA, LA EMPRESA Y LOS SERVICIOS -CUCUTA-</t>
        </is>
      </c>
      <c r="E120" s="98" t="n"/>
      <c r="F120" s="153" t="inlineStr">
        <is>
          <t>Subdirección de Centro (Dirección Académica)</t>
        </is>
      </c>
      <c r="G120" s="98" t="n"/>
      <c r="H120" s="124" t="inlineStr">
        <is>
          <t>Martha Paola Correal Ureña</t>
        </is>
      </c>
      <c r="I120" s="169" t="n">
        <v>3144698554</v>
      </c>
      <c r="J120" s="124" t="inlineStr">
        <is>
          <t>mpcorreal@sena.edu.co</t>
        </is>
      </c>
      <c r="K120" s="76" t="inlineStr">
        <is>
          <t>https://caprendizaje.sena.edu.co/sgva/sgva_diseno/pag/ListaCentros.aspx</t>
        </is>
      </c>
      <c r="L120" s="218" t="inlineStr">
        <is>
          <t>PENDIENTE</t>
        </is>
      </c>
      <c r="M120" s="86" t="n"/>
    </row>
    <row r="121" ht="15.75" customHeight="1" s="182">
      <c r="A121" s="158" t="inlineStr">
        <is>
          <t>Colombia</t>
        </is>
      </c>
      <c r="B121" s="158" t="inlineStr">
        <is>
          <t>Formación técnica pública</t>
        </is>
      </c>
      <c r="C121" s="158" t="inlineStr">
        <is>
          <t>REGIONAL NORTE DE SANTANDER</t>
        </is>
      </c>
      <c r="D121" s="158" t="inlineStr">
        <is>
          <t>CENTRO DE FORMACION PARA EL DESARROLLO RURAL Y MINERO -CUCUTA-</t>
        </is>
      </c>
      <c r="E121" s="98" t="n"/>
      <c r="F121" s="153" t="inlineStr">
        <is>
          <t>Subdirección de Centro (Dirección Académica)</t>
        </is>
      </c>
      <c r="G121" s="98" t="n"/>
      <c r="H121" s="124" t="inlineStr">
        <is>
          <t>Johneder Melgarejo Castaneda</t>
        </is>
      </c>
      <c r="I121" s="169" t="n">
        <v>3203469172</v>
      </c>
      <c r="J121" s="124" t="inlineStr">
        <is>
          <t>jmelgarejo@sena.edu.co</t>
        </is>
      </c>
      <c r="K121" s="76" t="inlineStr">
        <is>
          <t>https://caprendizaje.sena.edu.co/sgva/sgva_diseno/pag/ListaCentros.aspx</t>
        </is>
      </c>
      <c r="L121" s="218" t="inlineStr">
        <is>
          <t>PENDIENTE</t>
        </is>
      </c>
      <c r="M121" s="86" t="n"/>
    </row>
    <row r="122" ht="15.75" customHeight="1" s="182">
      <c r="A122" s="158" t="inlineStr">
        <is>
          <t>Colombia</t>
        </is>
      </c>
      <c r="B122" s="158" t="inlineStr">
        <is>
          <t>Formación técnica pública</t>
        </is>
      </c>
      <c r="C122" s="158" t="inlineStr">
        <is>
          <t>REGIONAL PUTUMAYO</t>
        </is>
      </c>
      <c r="D122" s="158" t="inlineStr">
        <is>
          <t>CENTRO AGROFORESTAL Y ACUICOLA ARAPAIMA -PUERTO ASIS-</t>
        </is>
      </c>
      <c r="E122" s="98" t="n"/>
      <c r="F122" s="153" t="inlineStr">
        <is>
          <t>Subdirección de Centro (Dirección Académica)</t>
        </is>
      </c>
      <c r="G122" s="98" t="n"/>
      <c r="H122" s="124" t="inlineStr">
        <is>
          <t>Yasmin Giselle Buesaquillo Lopez</t>
        </is>
      </c>
      <c r="I122" s="124" t="inlineStr">
        <is>
          <t>321 3702683</t>
        </is>
      </c>
      <c r="J122" s="124" t="inlineStr">
        <is>
          <t>ygbuesaquillo@sena.edu.co / rciputumayo@sena.edu.co</t>
        </is>
      </c>
      <c r="K122" s="76" t="inlineStr">
        <is>
          <t>https://caprendizaje.sena.edu.co/sgva/sgva_diseno/pag/ListaCentros.aspx</t>
        </is>
      </c>
      <c r="L122" s="218" t="inlineStr">
        <is>
          <t>PENDIENTE</t>
        </is>
      </c>
      <c r="M122" s="86" t="n"/>
    </row>
    <row r="123" ht="15.75" customHeight="1" s="182">
      <c r="A123" s="158" t="inlineStr">
        <is>
          <t>Colombia</t>
        </is>
      </c>
      <c r="B123" s="158" t="inlineStr">
        <is>
          <t>Formación técnica pública</t>
        </is>
      </c>
      <c r="C123" s="158" t="inlineStr">
        <is>
          <t>REGIONAL QUINDIO</t>
        </is>
      </c>
      <c r="D123" s="158" t="inlineStr">
        <is>
          <t>CENTRO AGROINDUSTRIAL -ARMENIA-</t>
        </is>
      </c>
      <c r="E123" s="98" t="n"/>
      <c r="F123" s="153" t="inlineStr">
        <is>
          <t>Subdirección de Centro (Dirección Académica)</t>
        </is>
      </c>
      <c r="G123" s="98" t="n"/>
      <c r="H123" s="124" t="inlineStr">
        <is>
          <t>Gladys Miryam Fernández García y Paola Andrea Castro Mora</t>
        </is>
      </c>
      <c r="I123" s="124" t="inlineStr">
        <is>
          <t>601-5461500</t>
        </is>
      </c>
      <c r="J123" s="124" t="inlineStr">
        <is>
          <t>gfernandez@sena.edu.co / etapapracticaagro@sena.edu.co / pacastrom@sena.edu.co</t>
        </is>
      </c>
      <c r="K123" s="76" t="inlineStr">
        <is>
          <t>https://caprendizaje.sena.edu.co/sgva/sgva_diseno/pag/ListaCentros.aspx</t>
        </is>
      </c>
      <c r="L123" s="218" t="inlineStr">
        <is>
          <t>PENDIENTE</t>
        </is>
      </c>
      <c r="M123" s="86" t="n"/>
    </row>
    <row r="124" ht="15.75" customHeight="1" s="182">
      <c r="A124" s="158" t="inlineStr">
        <is>
          <t>Colombia</t>
        </is>
      </c>
      <c r="B124" s="158" t="inlineStr">
        <is>
          <t>Formación técnica pública</t>
        </is>
      </c>
      <c r="C124" s="158" t="inlineStr">
        <is>
          <t>REGIONAL QUINDIO</t>
        </is>
      </c>
      <c r="D124" s="158" t="inlineStr">
        <is>
          <t>CENTRO PARA EL DESARROLLO TECNOLÓGICO DE LA CONSTRUCCIÓN -ARMENIA-</t>
        </is>
      </c>
      <c r="E124" s="98" t="n"/>
      <c r="F124" s="153" t="inlineStr">
        <is>
          <t>Subdirección de Centro (Dirección Académica)</t>
        </is>
      </c>
      <c r="G124" s="98" t="n"/>
      <c r="H124" s="124" t="inlineStr">
        <is>
          <t>Donaldo Andrés Beltrán Prieto y Laura Marcela Otero Ríos</t>
        </is>
      </c>
      <c r="I124" s="124" t="inlineStr">
        <is>
          <t>(6) 7461417 IP-62665 - 3217730062 - 3185599426</t>
        </is>
      </c>
      <c r="J124" s="124" t="inlineStr">
        <is>
          <t>dbeltranp@sena.edu.co / etapaproductiva9231@sena.edu.co / lmrioso@sena.edu.co</t>
        </is>
      </c>
      <c r="K124" s="76" t="inlineStr">
        <is>
          <t>https://caprendizaje.sena.edu.co/sgva/sgva_diseno/pag/ListaCentros.aspx</t>
        </is>
      </c>
      <c r="L124" s="218" t="inlineStr">
        <is>
          <t>PENDIENTE</t>
        </is>
      </c>
      <c r="M124" s="86" t="n"/>
    </row>
    <row r="125" ht="15.75" customHeight="1" s="182">
      <c r="A125" s="158" t="inlineStr">
        <is>
          <t>Colombia</t>
        </is>
      </c>
      <c r="B125" s="158" t="inlineStr">
        <is>
          <t>Formación técnica pública</t>
        </is>
      </c>
      <c r="C125" s="158" t="inlineStr">
        <is>
          <t>REGIONAL QUINDIO</t>
        </is>
      </c>
      <c r="D125" s="158" t="inlineStr">
        <is>
          <t>CENTRO DE COMERCIO Y TURISMO -ARMENIA-</t>
        </is>
      </c>
      <c r="E125" s="98" t="n"/>
      <c r="F125" s="153" t="inlineStr">
        <is>
          <t>Subdirección de Centro (Dirección Académica)</t>
        </is>
      </c>
      <c r="G125" s="98" t="n"/>
      <c r="H125" s="124" t="inlineStr">
        <is>
          <t>Sebastian Herrera Beltran y Aleidy Johana Quintero García</t>
        </is>
      </c>
      <c r="I125" s="124" t="inlineStr">
        <is>
          <t>(6) 7461417 IP-62692 - (6)7461417 IP 62671</t>
        </is>
      </c>
      <c r="J125" s="124" t="inlineStr">
        <is>
          <t>seherrerab@sena.edu.co / etapaproductivacyt@sena.edu.co / ajquintero@sena.edu.co</t>
        </is>
      </c>
      <c r="K125" s="76" t="inlineStr">
        <is>
          <t>https://caprendizaje.sena.edu.co/sgva/sgva_diseno/pag/ListaCentros.aspx</t>
        </is>
      </c>
      <c r="L125" s="218" t="inlineStr">
        <is>
          <t>PENDIENTE</t>
        </is>
      </c>
      <c r="M125" s="86" t="n"/>
    </row>
    <row r="126" ht="15.75" customHeight="1" s="182">
      <c r="A126" s="158" t="inlineStr">
        <is>
          <t>Colombia</t>
        </is>
      </c>
      <c r="B126" s="158" t="inlineStr">
        <is>
          <t>Formación técnica pública</t>
        </is>
      </c>
      <c r="C126" s="158" t="inlineStr">
        <is>
          <t>REGIONAL RISARALDA</t>
        </is>
      </c>
      <c r="D126" s="158" t="inlineStr">
        <is>
          <t>CENTRO DE COMERCIO Y SERVICIOS -PEREIRA-</t>
        </is>
      </c>
      <c r="E126" s="98" t="n"/>
      <c r="F126" s="153" t="inlineStr">
        <is>
          <t>Subdirección de Centro (Dirección Académica)</t>
        </is>
      </c>
      <c r="G126" s="98" t="n"/>
      <c r="H126" s="124" t="inlineStr">
        <is>
          <t>SANTIAGO VASQUEZ AGUIRRE</t>
        </is>
      </c>
      <c r="I126" s="124" t="inlineStr">
        <is>
          <t>3158014525 ((solo whatsapp)</t>
        </is>
      </c>
      <c r="J126" s="124" t="inlineStr">
        <is>
          <t>svasquez@sena.edu.co</t>
        </is>
      </c>
      <c r="K126" s="76" t="inlineStr">
        <is>
          <t>https://caprendizaje.sena.edu.co/sgva/sgva_diseno/pag/ListaCentros.aspx</t>
        </is>
      </c>
      <c r="L126" s="218" t="inlineStr">
        <is>
          <t>PENDIENTE</t>
        </is>
      </c>
      <c r="M126" s="86" t="n"/>
    </row>
    <row r="127" ht="15.75" customHeight="1" s="182">
      <c r="A127" s="158" t="inlineStr">
        <is>
          <t>Colombia</t>
        </is>
      </c>
      <c r="B127" s="158" t="inlineStr">
        <is>
          <t>Formación técnica pública</t>
        </is>
      </c>
      <c r="C127" s="158" t="inlineStr">
        <is>
          <t>REGIONAL RISARALDA</t>
        </is>
      </c>
      <c r="D127" s="158" t="inlineStr">
        <is>
          <t>CENTRO DE ATENCION SECTOR AGROPECUARIO -PEREIRA-</t>
        </is>
      </c>
      <c r="E127" s="98" t="n"/>
      <c r="F127" s="153" t="inlineStr">
        <is>
          <t>Subdirección de Centro (Dirección Académica)</t>
        </is>
      </c>
      <c r="G127" s="98" t="n"/>
      <c r="H127" s="124" t="inlineStr">
        <is>
          <t>GLADYS LUCIA CESPEDES DE LOS RIOS</t>
        </is>
      </c>
      <c r="I127" s="169" t="n">
        <v>3025137456</v>
      </c>
      <c r="J127" s="124" t="inlineStr">
        <is>
          <t>glcespedes@sena.edu.co</t>
        </is>
      </c>
      <c r="K127" s="76" t="inlineStr">
        <is>
          <t>https://caprendizaje.sena.edu.co/sgva/sgva_diseno/pag/ListaCentros.aspx</t>
        </is>
      </c>
      <c r="L127" s="218" t="inlineStr">
        <is>
          <t>PENDIENTE</t>
        </is>
      </c>
      <c r="M127" s="86" t="n"/>
    </row>
    <row r="128" ht="15.75" customHeight="1" s="182">
      <c r="A128" s="158" t="inlineStr">
        <is>
          <t>Colombia</t>
        </is>
      </c>
      <c r="B128" s="158" t="inlineStr">
        <is>
          <t>Formación técnica pública</t>
        </is>
      </c>
      <c r="C128" s="158" t="inlineStr">
        <is>
          <t>REGIONAL RISARALDA</t>
        </is>
      </c>
      <c r="D128" s="158" t="inlineStr">
        <is>
          <t>CENTRO DE DISEÑO E INNOVACION TEGNOLOGICA INDUSTRIAL- DOS QUEBRADAS-</t>
        </is>
      </c>
      <c r="E128" s="98" t="n"/>
      <c r="F128" s="153" t="inlineStr">
        <is>
          <t>Subdirección de Centro (Dirección Académica)</t>
        </is>
      </c>
      <c r="G128" s="98" t="n"/>
      <c r="H128" s="124" t="inlineStr">
        <is>
          <t>LUZ MARINA FRANCO BURITICA</t>
        </is>
      </c>
      <c r="I128" s="124" t="inlineStr">
        <is>
          <t>3244195399 (solo whatsapp)</t>
        </is>
      </c>
      <c r="J128" s="124" t="inlineStr">
        <is>
          <t>lfrancob@sena.edu.co</t>
        </is>
      </c>
      <c r="K128" s="76" t="inlineStr">
        <is>
          <t>https://caprendizaje.sena.edu.co/sgva/sgva_diseno/pag/ListaCentros.aspx</t>
        </is>
      </c>
      <c r="L128" s="218" t="inlineStr">
        <is>
          <t>PENDIENTE</t>
        </is>
      </c>
      <c r="M128" s="86" t="n"/>
    </row>
    <row r="129" ht="15.75" customHeight="1" s="182">
      <c r="A129" s="158" t="inlineStr">
        <is>
          <t>Colombia</t>
        </is>
      </c>
      <c r="B129" s="158" t="inlineStr">
        <is>
          <t>Formación técnica pública</t>
        </is>
      </c>
      <c r="C129" s="158" t="inlineStr">
        <is>
          <t>REGIONAL SAN ANDRES PROVIDENCIA</t>
        </is>
      </c>
      <c r="D129" s="158" t="inlineStr">
        <is>
          <t>CENTRO DE FORMACION TURISTICA, GENTE DE MAR Y DE SERVICIOS -SAN ANDRES-</t>
        </is>
      </c>
      <c r="E129" s="98" t="n"/>
      <c r="F129" s="153" t="inlineStr">
        <is>
          <t>Subdirección de Centro (Dirección Académica)</t>
        </is>
      </c>
      <c r="G129" s="98" t="n"/>
      <c r="H129" s="124" t="inlineStr">
        <is>
          <t>ZUNILDA VALENCIA VALENCIA</t>
        </is>
      </c>
      <c r="I129" s="124" t="inlineStr">
        <is>
          <t>5123066 Ext. 85023</t>
        </is>
      </c>
      <c r="J129" s="124" t="inlineStr">
        <is>
          <t>zvalencia@sena.edu.co</t>
        </is>
      </c>
      <c r="K129" s="76" t="inlineStr">
        <is>
          <t>https://caprendizaje.sena.edu.co/sgva/sgva_diseno/pag/ListaCentros.aspx</t>
        </is>
      </c>
      <c r="L129" s="218" t="inlineStr">
        <is>
          <t>PENDIENTE</t>
        </is>
      </c>
      <c r="M129" s="86" t="n"/>
    </row>
    <row r="130" ht="15.75" customHeight="1" s="182">
      <c r="A130" s="158" t="inlineStr">
        <is>
          <t>Colombia</t>
        </is>
      </c>
      <c r="B130" s="158" t="inlineStr">
        <is>
          <t>Formación técnica pública</t>
        </is>
      </c>
      <c r="C130" s="158" t="inlineStr">
        <is>
          <t>REGIONAL SANTANDER</t>
        </is>
      </c>
      <c r="D130" s="158" t="inlineStr">
        <is>
          <t>CENTRO INDUSTRIAL DE MANTENIMIENTO INTEGRAL -GIRON-</t>
        </is>
      </c>
      <c r="E130" s="98" t="n"/>
      <c r="F130" s="153" t="inlineStr">
        <is>
          <t>Subdirección de Centro (Dirección Académica)</t>
        </is>
      </c>
      <c r="G130" s="98" t="n"/>
      <c r="H130" s="124" t="inlineStr">
        <is>
          <t>GLORIA HURTADO GONZALEZ</t>
        </is>
      </c>
      <c r="I130" s="124" t="inlineStr">
        <is>
          <t>6800600 Ext. 73356</t>
        </is>
      </c>
      <c r="J130" s="124" t="inlineStr">
        <is>
          <t>ghurtadog@sena.edu.co</t>
        </is>
      </c>
      <c r="K130" s="76" t="inlineStr">
        <is>
          <t>https://caprendizaje.sena.edu.co/sgva/sgva_diseno/pag/ListaCentros.aspx</t>
        </is>
      </c>
      <c r="L130" s="218" t="inlineStr">
        <is>
          <t>PENDIENTE</t>
        </is>
      </c>
      <c r="M130" s="86" t="n"/>
    </row>
    <row r="131" ht="15.75" customHeight="1" s="182">
      <c r="A131" s="158" t="inlineStr">
        <is>
          <t>Colombia</t>
        </is>
      </c>
      <c r="B131" s="158" t="inlineStr">
        <is>
          <t>Formación técnica pública</t>
        </is>
      </c>
      <c r="C131" s="158" t="inlineStr">
        <is>
          <t>REGIONAL SANTANDER</t>
        </is>
      </c>
      <c r="D131" s="158" t="inlineStr">
        <is>
          <t>CENTRO INDUSTRIAL DEL DISEÑO Y LA MANUFACTURA -FLORIDA BLANCA-</t>
        </is>
      </c>
      <c r="E131" s="98" t="n"/>
      <c r="F131" s="153" t="inlineStr">
        <is>
          <t>Subdirección de Centro (Dirección Académica)</t>
        </is>
      </c>
      <c r="G131" s="98" t="n"/>
      <c r="H131" s="124" t="inlineStr">
        <is>
          <t>LUIS MARTIN CARTAGENA MARTINEZ</t>
        </is>
      </c>
      <c r="I131" s="169" t="n">
        <v>3102569509</v>
      </c>
      <c r="J131" s="124" t="inlineStr">
        <is>
          <t>lumaca@sena.edu.co</t>
        </is>
      </c>
      <c r="K131" s="76" t="inlineStr">
        <is>
          <t>https://caprendizaje.sena.edu.co/sgva/sgva_diseno/pag/ListaCentros.aspx</t>
        </is>
      </c>
      <c r="L131" s="218" t="inlineStr">
        <is>
          <t>PENDIENTE</t>
        </is>
      </c>
      <c r="M131" s="86" t="n"/>
    </row>
    <row r="132" ht="15.75" customHeight="1" s="182">
      <c r="A132" s="158" t="inlineStr">
        <is>
          <t>Colombia</t>
        </is>
      </c>
      <c r="B132" s="158" t="inlineStr">
        <is>
          <t>Formación técnica pública</t>
        </is>
      </c>
      <c r="C132" s="158" t="inlineStr">
        <is>
          <t>REGIONAL SANTANDER</t>
        </is>
      </c>
      <c r="D132" s="158" t="inlineStr">
        <is>
          <t>CENTRO DE ATENCION AL SECTOR AGROPECUARIO -PIEDECUESTA-</t>
        </is>
      </c>
      <c r="E132" s="98" t="n"/>
      <c r="F132" s="153" t="inlineStr">
        <is>
          <t>Subdirección de Centro (Dirección Académica)</t>
        </is>
      </c>
      <c r="G132" s="98" t="n"/>
      <c r="H132" s="124" t="inlineStr">
        <is>
          <t>LUIS FERNANDO REYES SILVA</t>
        </is>
      </c>
      <c r="I132" s="169" t="n">
        <v>3125753523</v>
      </c>
      <c r="J132" s="124" t="inlineStr">
        <is>
          <t>lreyess@sena.edu.co</t>
        </is>
      </c>
      <c r="K132" s="76" t="inlineStr">
        <is>
          <t>https://caprendizaje.sena.edu.co/sgva/sgva_diseno/pag/ListaCentros.aspx</t>
        </is>
      </c>
      <c r="L132" s="218" t="inlineStr">
        <is>
          <t>PENDIENTE</t>
        </is>
      </c>
      <c r="M132" s="86" t="n"/>
    </row>
    <row r="133" ht="15.75" customHeight="1" s="182">
      <c r="A133" s="158" t="inlineStr">
        <is>
          <t>Colombia</t>
        </is>
      </c>
      <c r="B133" s="158" t="inlineStr">
        <is>
          <t>Formación técnica pública</t>
        </is>
      </c>
      <c r="C133" s="158" t="inlineStr">
        <is>
          <t>REGIONAL SANTANDER</t>
        </is>
      </c>
      <c r="D133" s="158" t="inlineStr">
        <is>
          <t>CENTRO DE SERVICIOS EMPRESARIALES Y TURISTICOS-BUCARAMANGA-</t>
        </is>
      </c>
      <c r="E133" s="98" t="n"/>
      <c r="F133" s="153" t="inlineStr">
        <is>
          <t>Subdirección de Centro (Dirección Académica)</t>
        </is>
      </c>
      <c r="G133" s="98" t="n"/>
      <c r="H133" s="124" t="inlineStr">
        <is>
          <t>FERNANDO ENRIQUE GOMEZ CASTELLANOS</t>
        </is>
      </c>
      <c r="I133" s="124" t="inlineStr">
        <is>
          <t>6800600 Ext. 73131</t>
        </is>
      </c>
      <c r="J133" s="124" t="inlineStr">
        <is>
          <t>fegomezc@sena.edu.co</t>
        </is>
      </c>
      <c r="K133" s="76" t="inlineStr">
        <is>
          <t>https://caprendizaje.sena.edu.co/sgva/sgva_diseno/pag/ListaCentros.aspx</t>
        </is>
      </c>
      <c r="L133" s="218" t="inlineStr">
        <is>
          <t>PENDIENTE</t>
        </is>
      </c>
      <c r="M133" s="86" t="n"/>
    </row>
    <row r="134" ht="15.75" customHeight="1" s="182">
      <c r="A134" s="158" t="inlineStr">
        <is>
          <t>Colombia</t>
        </is>
      </c>
      <c r="B134" s="158" t="inlineStr">
        <is>
          <t>Formación técnica pública</t>
        </is>
      </c>
      <c r="C134" s="158" t="inlineStr">
        <is>
          <t>REGIONAL SANTANDER</t>
        </is>
      </c>
      <c r="D134" s="158" t="inlineStr">
        <is>
          <t>CENTRO INDUSTRIAL Y DEL DESARROLLO TECNOLOGICO-BARRANCABERMEJA-</t>
        </is>
      </c>
      <c r="E134" s="98" t="n"/>
      <c r="F134" s="153" t="inlineStr">
        <is>
          <t>Subdirección de Centro (Dirección Académica)</t>
        </is>
      </c>
      <c r="G134" s="98" t="n"/>
      <c r="H134" s="124" t="inlineStr">
        <is>
          <t>YENNY PAOLA JEREZ AGUILAR</t>
        </is>
      </c>
      <c r="I134" s="124" t="inlineStr">
        <is>
          <t>(7)6222932 ext 73654</t>
        </is>
      </c>
      <c r="J134" s="124" t="inlineStr">
        <is>
          <t>ypjerez@sena.edu.co</t>
        </is>
      </c>
      <c r="K134" s="76" t="inlineStr">
        <is>
          <t>https://caprendizaje.sena.edu.co/sgva/sgva_diseno/pag/ListaCentros.aspx</t>
        </is>
      </c>
      <c r="L134" s="218" t="inlineStr">
        <is>
          <t>PENDIENTE</t>
        </is>
      </c>
      <c r="M134" s="86" t="n"/>
    </row>
    <row r="135" ht="15.75" customHeight="1" s="182">
      <c r="A135" s="158" t="inlineStr">
        <is>
          <t>Colombia</t>
        </is>
      </c>
      <c r="B135" s="158" t="inlineStr">
        <is>
          <t>Formación técnica pública</t>
        </is>
      </c>
      <c r="C135" s="158" t="inlineStr">
        <is>
          <t>REGIONAL SANTANDER</t>
        </is>
      </c>
      <c r="D135" s="158" t="inlineStr">
        <is>
          <t>CENTRO AGROTURISTICO -SAN GIL-</t>
        </is>
      </c>
      <c r="E135" s="98" t="n"/>
      <c r="F135" s="153" t="inlineStr">
        <is>
          <t>Subdirección de Centro (Dirección Académica)</t>
        </is>
      </c>
      <c r="G135" s="98" t="n"/>
      <c r="H135" s="124" t="inlineStr">
        <is>
          <t>LUZ MARINA ARENAS VILLAR</t>
        </is>
      </c>
      <c r="I135" s="169" t="n">
        <v>3204111898</v>
      </c>
      <c r="J135" s="124" t="inlineStr">
        <is>
          <t>lmarenasv@sena.edu.co</t>
        </is>
      </c>
      <c r="K135" s="76" t="inlineStr">
        <is>
          <t>https://caprendizaje.sena.edu.co/sgva/sgva_diseno/pag/ListaCentros.aspx</t>
        </is>
      </c>
      <c r="L135" s="218" t="inlineStr">
        <is>
          <t>PENDIENTE</t>
        </is>
      </c>
      <c r="M135" s="86" t="n"/>
    </row>
    <row r="136" ht="15.75" customHeight="1" s="182">
      <c r="A136" s="158" t="inlineStr">
        <is>
          <t>Colombia</t>
        </is>
      </c>
      <c r="B136" s="158" t="inlineStr">
        <is>
          <t>Formación técnica pública</t>
        </is>
      </c>
      <c r="C136" s="158" t="inlineStr">
        <is>
          <t>REGIONAL SANTANDER</t>
        </is>
      </c>
      <c r="D136" s="158" t="inlineStr">
        <is>
          <t>CENTRO AGROEMPRESARIAL Y TURISTICO DE LOS ANDES -MALAGA-</t>
        </is>
      </c>
      <c r="E136" s="98" t="n"/>
      <c r="F136" s="153" t="inlineStr">
        <is>
          <t>Subdirección de Centro (Dirección Académica)</t>
        </is>
      </c>
      <c r="G136" s="98" t="n"/>
      <c r="H136" s="124" t="inlineStr">
        <is>
          <t>CAROLINA MESA BARRERA</t>
        </is>
      </c>
      <c r="I136" s="124" t="inlineStr">
        <is>
          <t>6800600 Ext. 73058</t>
        </is>
      </c>
      <c r="J136" s="124" t="inlineStr">
        <is>
          <t>cmesab@sena.edu.co</t>
        </is>
      </c>
      <c r="K136" s="76" t="inlineStr">
        <is>
          <t>https://caprendizaje.sena.edu.co/sgva/sgva_diseno/pag/ListaCentros.aspx</t>
        </is>
      </c>
      <c r="L136" s="218" t="inlineStr">
        <is>
          <t>PENDIENTE</t>
        </is>
      </c>
      <c r="M136" s="86" t="n"/>
    </row>
    <row r="137" ht="15.75" customHeight="1" s="182">
      <c r="A137" s="158" t="inlineStr">
        <is>
          <t>Colombia</t>
        </is>
      </c>
      <c r="B137" s="158" t="inlineStr">
        <is>
          <t>Formación técnica pública</t>
        </is>
      </c>
      <c r="C137" s="158" t="inlineStr">
        <is>
          <t>REGIONAL SANTANDER</t>
        </is>
      </c>
      <c r="D137" s="158" t="inlineStr">
        <is>
          <t>CENTRO DE GESTION AGROEMPRESARIAL DEL ORIENTE -VELEZ-</t>
        </is>
      </c>
      <c r="E137" s="98" t="n"/>
      <c r="F137" s="153" t="inlineStr">
        <is>
          <t>Subdirección de Centro (Dirección Académica)</t>
        </is>
      </c>
      <c r="G137" s="98" t="n"/>
      <c r="H137" s="124" t="inlineStr">
        <is>
          <t>FRANCY NATHALY CASTILLO</t>
        </is>
      </c>
      <c r="I137" s="169" t="n">
        <v>3184043132</v>
      </c>
      <c r="J137" s="124" t="inlineStr">
        <is>
          <t>fncastillo@sena.edu.co</t>
        </is>
      </c>
      <c r="K137" s="76" t="inlineStr">
        <is>
          <t>https://caprendizaje.sena.edu.co/sgva/sgva_diseno/pag/ListaCentros.aspx</t>
        </is>
      </c>
      <c r="L137" s="218" t="inlineStr">
        <is>
          <t>PENDIENTE</t>
        </is>
      </c>
      <c r="M137" s="86" t="n"/>
    </row>
    <row r="138" ht="15.75" customHeight="1" s="182">
      <c r="A138" s="158" t="inlineStr">
        <is>
          <t>Colombia</t>
        </is>
      </c>
      <c r="B138" s="158" t="inlineStr">
        <is>
          <t>Formación técnica pública</t>
        </is>
      </c>
      <c r="C138" s="158" t="inlineStr">
        <is>
          <t>REGIONAL SUCRE</t>
        </is>
      </c>
      <c r="D138" s="158" t="inlineStr">
        <is>
          <t>CENTRO DE LA IMNOVACION LA TECNOLOGIA Y LOS SERVICIOS -SINCELEJO-</t>
        </is>
      </c>
      <c r="E138" s="98" t="n"/>
      <c r="F138" s="153" t="inlineStr">
        <is>
          <t>Subdirección de Centro (Dirección Académica)</t>
        </is>
      </c>
      <c r="G138" s="98" t="n"/>
      <c r="H138" s="124" t="inlineStr">
        <is>
          <t>Juan Antonio Ramírez Ayala</t>
        </is>
      </c>
      <c r="I138" s="169" t="n">
        <v>3103328642</v>
      </c>
      <c r="J138" s="124" t="inlineStr">
        <is>
          <t>jaramireza@sena.edu.co</t>
        </is>
      </c>
      <c r="K138" s="76" t="inlineStr">
        <is>
          <t>https://caprendizaje.sena.edu.co/sgva/sgva_diseno/pag/ListaCentros.aspx</t>
        </is>
      </c>
      <c r="L138" s="218" t="inlineStr">
        <is>
          <t>PENDIENTE</t>
        </is>
      </c>
      <c r="M138" s="86" t="n"/>
    </row>
    <row r="139" ht="15.75" customHeight="1" s="182">
      <c r="A139" s="158" t="inlineStr">
        <is>
          <t>Colombia</t>
        </is>
      </c>
      <c r="B139" s="158" t="inlineStr">
        <is>
          <t>Formación técnica pública</t>
        </is>
      </c>
      <c r="C139" s="158" t="inlineStr">
        <is>
          <t>REGIONAL TOLIMA</t>
        </is>
      </c>
      <c r="D139" s="158" t="inlineStr">
        <is>
          <t>CENTRO DE COMERCIO Y SERVICIOS -IBAGUE-</t>
        </is>
      </c>
      <c r="E139" s="98" t="n"/>
      <c r="F139" s="153" t="inlineStr">
        <is>
          <t>Subdirección de Centro (Dirección Académica)</t>
        </is>
      </c>
      <c r="G139" s="98" t="n"/>
      <c r="H139" s="124" t="inlineStr">
        <is>
          <t>MAYRA VALENTINA GUERRERO VELASQUEZ</t>
        </is>
      </c>
      <c r="I139" s="169" t="n">
        <v>3006935944</v>
      </c>
      <c r="J139" s="124" t="inlineStr">
        <is>
          <t>mvguerrero@sena.edu.co</t>
        </is>
      </c>
      <c r="K139" s="76" t="inlineStr">
        <is>
          <t>https://caprendizaje.sena.edu.co/sgva/sgva_diseno/pag/ListaCentros.aspx</t>
        </is>
      </c>
      <c r="L139" s="218" t="inlineStr">
        <is>
          <t>PENDIENTE</t>
        </is>
      </c>
      <c r="M139" s="86" t="n"/>
    </row>
    <row r="140" ht="15.75" customHeight="1" s="182">
      <c r="A140" s="158" t="inlineStr">
        <is>
          <t>Colombia</t>
        </is>
      </c>
      <c r="B140" s="158" t="inlineStr">
        <is>
          <t>Formación técnica pública</t>
        </is>
      </c>
      <c r="C140" s="158" t="inlineStr">
        <is>
          <t>REGIONAL TOLIMA</t>
        </is>
      </c>
      <c r="D140" s="158" t="inlineStr">
        <is>
          <t>CENTRO AGROPECUARIO LA GRANJA -IBAGUE-</t>
        </is>
      </c>
      <c r="E140" s="98" t="n"/>
      <c r="F140" s="153" t="inlineStr">
        <is>
          <t>Subdirección de Centro (Dirección Académica)</t>
        </is>
      </c>
      <c r="G140" s="98" t="n"/>
      <c r="H140" s="124" t="inlineStr">
        <is>
          <t>DIANA PENTALFA</t>
        </is>
      </c>
      <c r="I140" s="124" t="inlineStr">
        <is>
          <t>no disponible públicamente</t>
        </is>
      </c>
      <c r="J140" s="124" t="inlineStr">
        <is>
          <t>caprendizajegranja@sena.edu.co</t>
        </is>
      </c>
      <c r="K140" s="76" t="inlineStr">
        <is>
          <t>https://caprendizaje.sena.edu.co/sgva/sgva_diseno/pag/ListaCentros.aspx</t>
        </is>
      </c>
      <c r="L140" s="218" t="inlineStr">
        <is>
          <t>PENDIENTE</t>
        </is>
      </c>
      <c r="M140" s="86" t="n"/>
    </row>
    <row r="141" ht="15.75" customHeight="1" s="182">
      <c r="A141" s="158" t="inlineStr">
        <is>
          <t>Colombia</t>
        </is>
      </c>
      <c r="B141" s="158" t="inlineStr">
        <is>
          <t>Formación técnica pública</t>
        </is>
      </c>
      <c r="C141" s="158" t="inlineStr">
        <is>
          <t>REGIONAL TOLIMA</t>
        </is>
      </c>
      <c r="D141" s="158" t="inlineStr">
        <is>
          <t>CENTRO DE INDUSTRIA Y CONSTRUCCION -IBAGUE-</t>
        </is>
      </c>
      <c r="E141" s="98" t="n"/>
      <c r="F141" s="153" t="inlineStr">
        <is>
          <t>Subdirección de Centro (Dirección Académica)</t>
        </is>
      </c>
      <c r="G141" s="98" t="n"/>
      <c r="H141" s="124" t="inlineStr">
        <is>
          <t>MARIANA ANDREA CASTRILLÓN MEDINA</t>
        </is>
      </c>
      <c r="I141" s="124" t="inlineStr">
        <is>
          <t>2709600 - EXT. 84695</t>
        </is>
      </c>
      <c r="J141" s="124" t="inlineStr">
        <is>
          <t>mcastrillonm@sena.edu.co</t>
        </is>
      </c>
      <c r="K141" s="76" t="inlineStr">
        <is>
          <t>https://caprendizaje.sena.edu.co/sgva/sgva_diseno/pag/ListaCentros.aspx</t>
        </is>
      </c>
      <c r="L141" s="218" t="inlineStr">
        <is>
          <t>PENDIENTE</t>
        </is>
      </c>
      <c r="M141" s="86" t="n"/>
    </row>
    <row r="142" ht="15.75" customHeight="1" s="182">
      <c r="A142" s="158" t="inlineStr">
        <is>
          <t>Colombia</t>
        </is>
      </c>
      <c r="B142" s="158" t="inlineStr">
        <is>
          <t>Formación técnica pública</t>
        </is>
      </c>
      <c r="C142" s="158" t="inlineStr">
        <is>
          <t>REGIONAL VALLE DEL CAUCA</t>
        </is>
      </c>
      <c r="D142" s="158" t="inlineStr">
        <is>
          <t>CENTRO DE ELECTRICIDAD Y AUTOMATIZACION INDUSTRIAL -CALI-</t>
        </is>
      </c>
      <c r="E142" s="98" t="n"/>
      <c r="F142" s="153" t="inlineStr">
        <is>
          <t>Subdirección de Centro (Dirección Académica)</t>
        </is>
      </c>
      <c r="G142" s="98" t="n"/>
      <c r="H142" s="124" t="inlineStr">
        <is>
          <t>FANNY CLEMENCIA MONTENEGRO MAYA</t>
        </is>
      </c>
      <c r="I142" s="169" t="n">
        <v>4315800</v>
      </c>
      <c r="J142" s="124" t="inlineStr">
        <is>
          <t>fcmontenegro@sena.edu.co</t>
        </is>
      </c>
      <c r="K142" s="76" t="inlineStr">
        <is>
          <t>https://caprendizaje.sena.edu.co/sgva/sgva_diseno/pag/ListaCentros.aspx</t>
        </is>
      </c>
      <c r="L142" s="218" t="inlineStr">
        <is>
          <t>PENDIENTE</t>
        </is>
      </c>
      <c r="M142" s="86" t="n"/>
    </row>
    <row r="143" ht="15.75" customHeight="1" s="182">
      <c r="A143" s="158" t="inlineStr">
        <is>
          <t>Colombia</t>
        </is>
      </c>
      <c r="B143" s="158" t="inlineStr">
        <is>
          <t>Formación técnica pública</t>
        </is>
      </c>
      <c r="C143" s="158" t="inlineStr">
        <is>
          <t>REGIONAL VALLE DEL CAUCA</t>
        </is>
      </c>
      <c r="D143" s="158" t="inlineStr">
        <is>
          <t>CENTRO DE LA CONSTRUCCION -CALI-</t>
        </is>
      </c>
      <c r="E143" s="98" t="n"/>
      <c r="F143" s="153" t="inlineStr">
        <is>
          <t>Subdirección de Centro (Dirección Académica)</t>
        </is>
      </c>
      <c r="G143" s="98" t="n"/>
      <c r="H143" s="124" t="inlineStr">
        <is>
          <t>ANGELICA LOZADA MORENO</t>
        </is>
      </c>
      <c r="I143" s="169" t="n">
        <v>4315800</v>
      </c>
      <c r="J143" s="124" t="inlineStr">
        <is>
          <t>alozada@sena.edu.co</t>
        </is>
      </c>
      <c r="K143" s="76" t="inlineStr">
        <is>
          <t>https://caprendizaje.sena.edu.co/sgva/sgva_diseno/pag/ListaCentros.aspx</t>
        </is>
      </c>
      <c r="L143" s="218" t="inlineStr">
        <is>
          <t>PENDIENTE</t>
        </is>
      </c>
      <c r="M143" s="86" t="n"/>
    </row>
    <row r="144" ht="15.75" customHeight="1" s="182">
      <c r="A144" s="158" t="inlineStr">
        <is>
          <t>Colombia</t>
        </is>
      </c>
      <c r="B144" s="158" t="inlineStr">
        <is>
          <t>Formación técnica pública</t>
        </is>
      </c>
      <c r="C144" s="158" t="inlineStr">
        <is>
          <t>REGIONAL VALLE DEL CAUCA</t>
        </is>
      </c>
      <c r="D144" s="158" t="inlineStr">
        <is>
          <t>CENTRO DE DISEÑO TECNOLOGICO INDUSTRIAL -CALI-</t>
        </is>
      </c>
      <c r="E144" s="98" t="n"/>
      <c r="F144" s="153" t="inlineStr">
        <is>
          <t>Subdirección de Centro (Dirección Académica)</t>
        </is>
      </c>
      <c r="G144" s="98" t="n"/>
      <c r="H144" s="124" t="inlineStr">
        <is>
          <t>PAOLA ANDREA CASTAÑO FLOR</t>
        </is>
      </c>
      <c r="I144" s="124" t="inlineStr">
        <is>
          <t>4315800 - 4315872 Ext. 22562</t>
        </is>
      </c>
      <c r="J144" s="124" t="inlineStr">
        <is>
          <t>pacastanof@sena.edu.co</t>
        </is>
      </c>
      <c r="K144" s="76" t="inlineStr">
        <is>
          <t>https://caprendizaje.sena.edu.co/sgva/sgva_diseno/pag/ListaCentros.aspx</t>
        </is>
      </c>
      <c r="L144" s="218" t="inlineStr">
        <is>
          <t>PENDIENTE</t>
        </is>
      </c>
      <c r="M144" s="86" t="n"/>
    </row>
    <row r="145" ht="15.75" customHeight="1" s="182">
      <c r="A145" s="158" t="inlineStr">
        <is>
          <t>Colombia</t>
        </is>
      </c>
      <c r="B145" s="158" t="inlineStr">
        <is>
          <t>Formación técnica pública</t>
        </is>
      </c>
      <c r="C145" s="158" t="inlineStr">
        <is>
          <t>REGIONAL VALLE DEL CAUCA</t>
        </is>
      </c>
      <c r="D145" s="158" t="inlineStr">
        <is>
          <t>CENTRO NACIONAL DE ASITENCIA TECNICA A LA INDUSTRIA ASTIN -CALI-</t>
        </is>
      </c>
      <c r="E145" s="98" t="n"/>
      <c r="F145" s="153" t="inlineStr">
        <is>
          <t>Subdirección de Centro (Dirección Académica)</t>
        </is>
      </c>
      <c r="G145" s="98" t="n"/>
      <c r="H145" s="124" t="inlineStr">
        <is>
          <t>GLORIA NELSY RAMIREZ RUIZ</t>
        </is>
      </c>
      <c r="I145" s="124" t="inlineStr">
        <is>
          <t>4315800 Ext. 23034</t>
        </is>
      </c>
      <c r="J145" s="124" t="inlineStr">
        <is>
          <t>gnramirezr@sena.edu.co</t>
        </is>
      </c>
      <c r="K145" s="76" t="inlineStr">
        <is>
          <t>https://caprendizaje.sena.edu.co/sgva/sgva_diseno/pag/ListaCentros.aspx</t>
        </is>
      </c>
      <c r="L145" s="218" t="inlineStr">
        <is>
          <t>PENDIENTE</t>
        </is>
      </c>
      <c r="M145" s="86" t="n"/>
    </row>
    <row r="146" ht="15.75" customHeight="1" s="182">
      <c r="A146" s="158" t="inlineStr">
        <is>
          <t>Colombia</t>
        </is>
      </c>
      <c r="B146" s="158" t="inlineStr">
        <is>
          <t>Formación técnica pública</t>
        </is>
      </c>
      <c r="C146" s="158" t="inlineStr">
        <is>
          <t>REGIONAL VALLE DEL CAUCA</t>
        </is>
      </c>
      <c r="D146" s="158" t="inlineStr">
        <is>
          <t>CENTRO AGROPECUARIO DE BUGA -BUGA-</t>
        </is>
      </c>
      <c r="E146" s="98" t="n"/>
      <c r="F146" s="153" t="inlineStr">
        <is>
          <t>Subdirección de Centro (Dirección Académica)</t>
        </is>
      </c>
      <c r="G146" s="98" t="n"/>
      <c r="H146" s="124" t="inlineStr">
        <is>
          <t>MARÍA CLAUDIA RAMIREZ MARTINEZ</t>
        </is>
      </c>
      <c r="I146" s="124" t="inlineStr">
        <is>
          <t>2376305 Ext. 23275</t>
        </is>
      </c>
      <c r="J146" s="124" t="inlineStr">
        <is>
          <t>macramirez@sena.edu.co</t>
        </is>
      </c>
      <c r="K146" s="76" t="inlineStr">
        <is>
          <t>https://caprendizaje.sena.edu.co/sgva/sgva_diseno/pag/ListaCentros.aspx</t>
        </is>
      </c>
      <c r="L146" s="218" t="inlineStr">
        <is>
          <t>PENDIENTE</t>
        </is>
      </c>
      <c r="M146" s="86" t="n"/>
    </row>
    <row r="147" ht="15.75" customHeight="1" s="182">
      <c r="A147" s="158" t="inlineStr">
        <is>
          <t>Colombia</t>
        </is>
      </c>
      <c r="B147" s="158" t="inlineStr">
        <is>
          <t>Formación técnica pública</t>
        </is>
      </c>
      <c r="C147" s="158" t="inlineStr">
        <is>
          <t>REGIONAL VALLE DEL CAUCA</t>
        </is>
      </c>
      <c r="D147" s="158" t="inlineStr">
        <is>
          <t>CENTRO LATINOAMERICANO DE ESPECIES MENORES -TULUA-</t>
        </is>
      </c>
      <c r="E147" s="98" t="n"/>
      <c r="F147" s="153" t="inlineStr">
        <is>
          <t>Subdirección de Centro (Dirección Académica)</t>
        </is>
      </c>
      <c r="G147" s="98" t="n"/>
      <c r="H147" s="124" t="inlineStr">
        <is>
          <t>SANDRA PATRICIA ARIAS HERNANDEZ</t>
        </is>
      </c>
      <c r="I147" s="124" t="inlineStr">
        <is>
          <t>316 2233508</t>
        </is>
      </c>
      <c r="J147" s="124" t="inlineStr">
        <is>
          <t>sariash@sena.edu.co</t>
        </is>
      </c>
      <c r="K147" s="76" t="inlineStr">
        <is>
          <t>https://caprendizaje.sena.edu.co/sgva/sgva_diseno/pag/ListaCentros.aspx</t>
        </is>
      </c>
      <c r="L147" s="218" t="inlineStr">
        <is>
          <t>PENDIENTE</t>
        </is>
      </c>
      <c r="M147" s="86" t="n"/>
    </row>
    <row r="148" ht="15.75" customHeight="1" s="182">
      <c r="A148" s="158" t="inlineStr">
        <is>
          <t>Colombia</t>
        </is>
      </c>
      <c r="B148" s="158" t="inlineStr">
        <is>
          <t>Formación técnica pública</t>
        </is>
      </c>
      <c r="C148" s="158" t="inlineStr">
        <is>
          <t>REGIONAL VALLE DEL CAUCA</t>
        </is>
      </c>
      <c r="D148" s="158" t="inlineStr">
        <is>
          <t>CENTRO NAUTICO PESQUERO -BUENAVENTURA-</t>
        </is>
      </c>
      <c r="E148" s="98" t="n"/>
      <c r="F148" s="153" t="inlineStr">
        <is>
          <t>Subdirección de Centro (Dirección Académica)</t>
        </is>
      </c>
      <c r="G148" s="98" t="n"/>
      <c r="H148" s="124" t="inlineStr">
        <is>
          <t>EMILSE SUGEY CAMACHO MOSQUERA</t>
        </is>
      </c>
      <c r="I148" s="124" t="inlineStr">
        <is>
          <t>5461500 EXT 23429</t>
        </is>
      </c>
      <c r="J148" s="124" t="inlineStr">
        <is>
          <t>escamachom@sena.edu.co</t>
        </is>
      </c>
      <c r="K148" s="76" t="inlineStr">
        <is>
          <t>https://caprendizaje.sena.edu.co/sgva/sgva_diseno/pag/ListaCentros.aspx</t>
        </is>
      </c>
      <c r="L148" s="218" t="inlineStr">
        <is>
          <t>PENDIENTE</t>
        </is>
      </c>
      <c r="M148" s="86" t="n"/>
    </row>
    <row r="149" ht="15.75" customHeight="1" s="182">
      <c r="A149" s="158" t="inlineStr">
        <is>
          <t>Colombia</t>
        </is>
      </c>
      <c r="B149" s="158" t="inlineStr">
        <is>
          <t>Formación técnica pública</t>
        </is>
      </c>
      <c r="C149" s="158" t="inlineStr">
        <is>
          <t>REGIONAL VALLE DEL CAUCA</t>
        </is>
      </c>
      <c r="D149" s="158" t="inlineStr">
        <is>
          <t>CENTRO DE GESTION TECNOLOGICA DE SERVICIOS -CALI-</t>
        </is>
      </c>
      <c r="E149" s="98" t="n"/>
      <c r="F149" s="153" t="inlineStr">
        <is>
          <t>Subdirección de Centro (Dirección Académica)</t>
        </is>
      </c>
      <c r="G149" s="98" t="n"/>
      <c r="H149" s="124" t="inlineStr">
        <is>
          <t>JULIAN ALBERTO NUÑEZ VIVEROS</t>
        </is>
      </c>
      <c r="I149" s="124" t="inlineStr">
        <is>
          <t>4315800 Ext. 22790</t>
        </is>
      </c>
      <c r="J149" s="124" t="inlineStr">
        <is>
          <t>jnunezv@sena.edu.co</t>
        </is>
      </c>
      <c r="K149" s="76" t="inlineStr">
        <is>
          <t>https://caprendizaje.sena.edu.co/sgva/sgva_diseno/pag/ListaCentros.aspx</t>
        </is>
      </c>
      <c r="L149" s="218" t="inlineStr">
        <is>
          <t>PENDIENTE</t>
        </is>
      </c>
      <c r="M149" s="86" t="n"/>
    </row>
    <row r="150" ht="15.75" customHeight="1" s="182">
      <c r="A150" s="158" t="inlineStr">
        <is>
          <t>Colombia</t>
        </is>
      </c>
      <c r="B150" s="158" t="inlineStr">
        <is>
          <t>Formación técnica pública</t>
        </is>
      </c>
      <c r="C150" s="158" t="inlineStr">
        <is>
          <t>REGIONAL VALLE DEL CAUCA</t>
        </is>
      </c>
      <c r="D150" s="158" t="inlineStr">
        <is>
          <t>CENTRO DE TECNOLOGIAS AGROINDUSTRIALES -CARTAGO-</t>
        </is>
      </c>
      <c r="E150" s="98" t="n"/>
      <c r="F150" s="153" t="inlineStr">
        <is>
          <t>Subdirección de Centro (Dirección Académica)</t>
        </is>
      </c>
      <c r="G150" s="98" t="n"/>
      <c r="H150" s="124" t="inlineStr">
        <is>
          <t>LUZ MYRIAM PEREZ CASTAÑEDA</t>
        </is>
      </c>
      <c r="I150" s="124" t="inlineStr">
        <is>
          <t>2119999 Ext. 23622</t>
        </is>
      </c>
      <c r="J150" s="124" t="inlineStr">
        <is>
          <t>lmperez@sena.edu.co</t>
        </is>
      </c>
      <c r="K150" s="76" t="inlineStr">
        <is>
          <t>https://caprendizaje.sena.edu.co/sgva/sgva_diseno/pag/ListaCentros.aspx</t>
        </is>
      </c>
      <c r="L150" s="218" t="inlineStr">
        <is>
          <t>PENDIENTE</t>
        </is>
      </c>
      <c r="M150" s="86" t="n"/>
    </row>
    <row r="151" ht="15.75" customHeight="1" s="182">
      <c r="A151" s="158" t="inlineStr">
        <is>
          <t>Colombia</t>
        </is>
      </c>
      <c r="B151" s="158" t="inlineStr">
        <is>
          <t>Formación técnica pública</t>
        </is>
      </c>
      <c r="C151" s="158" t="inlineStr">
        <is>
          <t>REGIONAL VALLE DEL CAUCA</t>
        </is>
      </c>
      <c r="D151" s="158" t="inlineStr">
        <is>
          <t>CENTRO DE BIOTECNOLOGIA INDUSTRIA -PALMIRA-</t>
        </is>
      </c>
      <c r="E151" s="98" t="n"/>
      <c r="F151" s="153" t="inlineStr">
        <is>
          <t>Subdirección de Centro (Dirección Académica)</t>
        </is>
      </c>
      <c r="G151" s="98" t="n"/>
      <c r="H151" s="124" t="inlineStr">
        <is>
          <t>OSCAR ARMANDO ROLDAN BUENDIA</t>
        </is>
      </c>
      <c r="I151" s="126">
        <f>+(57) 601 5461500 Ext:23700</f>
        <v/>
      </c>
      <c r="J151" s="124" t="inlineStr">
        <is>
          <t>oaroldan@sena.edu.co</t>
        </is>
      </c>
      <c r="K151" s="76" t="inlineStr">
        <is>
          <t>https://caprendizaje.sena.edu.co/sgva/sgva_diseno/pag/ListaCentros.aspx</t>
        </is>
      </c>
      <c r="L151" s="218" t="inlineStr">
        <is>
          <t>PENDIENTE</t>
        </is>
      </c>
      <c r="M151" s="86" t="n"/>
    </row>
    <row r="152" ht="15.75" customHeight="1" s="182">
      <c r="A152" s="158" t="inlineStr">
        <is>
          <t>Colombia</t>
        </is>
      </c>
      <c r="B152" s="158" t="inlineStr">
        <is>
          <t>Formación técnica pública</t>
        </is>
      </c>
      <c r="C152" s="158" t="inlineStr">
        <is>
          <t>REGIONAL VAUPES</t>
        </is>
      </c>
      <c r="D152" s="158" t="inlineStr">
        <is>
          <t>CENTRO AGROPECUARIO Y DE SERVICIOS AMBIENTALES “JIRI – JIRIMO” -MITU-</t>
        </is>
      </c>
      <c r="E152" s="98" t="n"/>
      <c r="F152" s="153" t="inlineStr">
        <is>
          <t>Subdirección de Centro (Dirección Académica)</t>
        </is>
      </c>
      <c r="G152" s="98" t="n"/>
      <c r="H152" s="124" t="inlineStr">
        <is>
          <t>no disponible públicamente</t>
        </is>
      </c>
      <c r="I152" s="124" t="inlineStr">
        <is>
          <t>5642223 Ext. 85430</t>
        </is>
      </c>
      <c r="J152" s="124" t="inlineStr">
        <is>
          <t>no disponible públicamente</t>
        </is>
      </c>
      <c r="K152" s="76" t="inlineStr">
        <is>
          <t>https://caprendizaje.sena.edu.co/sgva/sgva_diseno/pag/ListaCentros.aspx</t>
        </is>
      </c>
      <c r="L152" s="218" t="inlineStr">
        <is>
          <t>PENDIENTE</t>
        </is>
      </c>
      <c r="M152" s="86" t="n"/>
    </row>
    <row r="153" ht="15.75" customHeight="1" s="182">
      <c r="A153" s="158" t="inlineStr">
        <is>
          <t>Colombia</t>
        </is>
      </c>
      <c r="B153" s="158" t="inlineStr">
        <is>
          <t>Formación técnica pública</t>
        </is>
      </c>
      <c r="C153" s="158" t="inlineStr">
        <is>
          <t>REGIONAL VICHADA</t>
        </is>
      </c>
      <c r="D153" s="158" t="inlineStr">
        <is>
          <t>CENTRO DE PRODUCCION Y TRANSFORMACION AGROINDUSTRIAL DE LA ORINOQUIA -VICHADA-</t>
        </is>
      </c>
      <c r="E153" s="98" t="n"/>
      <c r="F153" s="153" t="inlineStr">
        <is>
          <t>Subdirección de Centro (Dirección Académica)</t>
        </is>
      </c>
      <c r="G153" s="98" t="n"/>
      <c r="H153" s="124" t="inlineStr">
        <is>
          <t>Maryuri Lizeth Santana Herrera</t>
        </is>
      </c>
      <c r="I153" s="124" t="inlineStr">
        <is>
          <t>315 5679816</t>
        </is>
      </c>
      <c r="J153" s="124" t="inlineStr">
        <is>
          <t>mlsantana@sena.edu.co</t>
        </is>
      </c>
      <c r="K153" s="76" t="inlineStr">
        <is>
          <t>https://caprendizaje.sena.edu.co/sgva/sgva_diseno/pag/ListaCentros.aspx</t>
        </is>
      </c>
      <c r="L153" s="218" t="inlineStr">
        <is>
          <t>PENDIENTE</t>
        </is>
      </c>
      <c r="M153" s="86" t="n"/>
    </row>
    <row r="154" ht="15.75" customHeight="1" s="182">
      <c r="A154" s="230" t="inlineStr">
        <is>
          <t>Colombia</t>
        </is>
      </c>
      <c r="B154" s="230" t="inlineStr">
        <is>
          <t>Asociaciones de seguridad social</t>
        </is>
      </c>
      <c r="C154" s="230" t="inlineStr">
        <is>
          <t>Pensiones (entidad pública)</t>
        </is>
      </c>
      <c r="D154" s="230" t="inlineStr">
        <is>
          <t>Administradora Colombiana de Pensiones (Colpensiones)</t>
        </is>
      </c>
      <c r="E154" s="230" t="n"/>
      <c r="F154" s="230" t="inlineStr">
        <is>
          <t>Recepción de solicitudes de información</t>
        </is>
      </c>
      <c r="G154" s="230" t="inlineStr">
        <is>
          <t>https://www.colpensiones.gov.co/</t>
        </is>
      </c>
      <c r="H154" s="230" t="inlineStr">
        <is>
          <t>No disponible públicamente</t>
        </is>
      </c>
      <c r="I154" s="230" t="inlineStr">
        <is>
          <t>018000 410909</t>
        </is>
      </c>
      <c r="J154" s="230" t="inlineStr">
        <is>
          <t>contacto@colpensiones.gov.co</t>
        </is>
      </c>
      <c r="K154" s="230" t="inlineStr">
        <is>
          <t>https://www.colpensiones.gov.co/publicaciones/5104/1-informacion-de-la-entidad/</t>
        </is>
      </c>
      <c r="L154" s="230" t="inlineStr">
        <is>
          <t>CONFIRMADO</t>
        </is>
      </c>
      <c r="M154" s="229" t="inlineStr">
        <is>
          <t>Agregado auditoría 08-oct-2026. Doble verificación OK: correo reproducido en https://normativa.colpensiones.gov.co/compilacion/nodcttrabajemisionr_colpensiones_administradora_colombiana_pensiones.html</t>
        </is>
      </c>
    </row>
    <row r="155" ht="15.75" customHeight="1" s="182">
      <c r="A155" s="229" t="inlineStr">
        <is>
          <t>Colombia</t>
        </is>
      </c>
      <c r="B155" s="229" t="inlineStr">
        <is>
          <t>Escuelas de gobierno y administración pública</t>
        </is>
      </c>
      <c r="C155" s="229" t="inlineStr">
        <is>
          <t>Escuela nacional de administración pública</t>
        </is>
      </c>
      <c r="D155" s="229" t="inlineStr">
        <is>
          <t>Escuela Superior de Administración Pública (ESAP)</t>
        </is>
      </c>
      <c r="E155" s="229" t="n"/>
      <c r="F155" s="229" t="inlineStr">
        <is>
          <t>Ventanilla Única</t>
        </is>
      </c>
      <c r="G155" s="229" t="inlineStr">
        <is>
          <t>https://www.esap.edu.co/</t>
        </is>
      </c>
      <c r="H155" s="229" t="inlineStr">
        <is>
          <t>No disponible públicamente</t>
        </is>
      </c>
      <c r="I155" s="229" t="inlineStr">
        <is>
          <t>No disponible públicamente</t>
        </is>
      </c>
      <c r="J155" s="229" t="inlineStr">
        <is>
          <t>ventanillaunica@esap.edu.co</t>
        </is>
      </c>
      <c r="K155" s="229" t="inlineStr">
        <is>
          <t>https://www.esap.edu.co/</t>
        </is>
      </c>
      <c r="L155" s="229" t="inlineStr">
        <is>
          <t>CONFIRMADO</t>
        </is>
      </c>
      <c r="M155" s="229" t="inlineStr">
        <is>
          <t>Agregado auditoría 08-oct-2026. Doble verificación OK: correo reproducido en https://concurso2.esap.edu.co/docentesesap/admon/uploads/comunicado/CITACIONSUSTENTACIONMICROCURRICULO2024-1.pdf</t>
        </is>
      </c>
    </row>
    <row r="156" ht="15.75" customHeight="1" s="182">
      <c r="A156" s="227" t="inlineStr">
        <is>
          <t>Colombia</t>
        </is>
      </c>
      <c r="B156" s="227" t="inlineStr">
        <is>
          <t>Sindicatos y confederaciones de trabajadores</t>
        </is>
      </c>
      <c r="C156" s="227" t="inlineStr">
        <is>
          <t>Central sindical</t>
        </is>
      </c>
      <c r="D156" s="227" t="inlineStr">
        <is>
          <t>Central Unitaria de Trabajadores (CUT)</t>
        </is>
      </c>
      <c r="E156" s="227" t="n"/>
      <c r="F156" s="227" t="inlineStr">
        <is>
          <t>Presidencia / Comité Ejecutivo Nacional</t>
        </is>
      </c>
      <c r="G156" s="227" t="inlineStr">
        <is>
          <t>https://cut.org.co/</t>
        </is>
      </c>
      <c r="H156" s="227" t="inlineStr">
        <is>
          <t>No disponible públicamente</t>
        </is>
      </c>
      <c r="I156" s="227" t="inlineStr">
        <is>
          <t>No disponible públicamente</t>
        </is>
      </c>
      <c r="J156" s="227" t="inlineStr">
        <is>
          <t>cut@cut.org.co / presidente@cut.org.co</t>
        </is>
      </c>
      <c r="K156" s="227" t="inlineStr">
        <is>
          <t>https://cut.org.co/comite-ejecutivo-nacional/</t>
        </is>
      </c>
      <c r="L156" s="227" t="inlineStr">
        <is>
          <t>VERIFICAR</t>
        </is>
      </c>
      <c r="M156" s="227" t="inlineStr">
        <is>
          <t>Agregado auditoría 08-oct-2026. Correo de fuente institucional única; no reproducido en búsqueda independiente.</t>
        </is>
      </c>
    </row>
    <row r="157" ht="15.75" customHeight="1" s="182">
      <c r="A157" s="227" t="inlineStr">
        <is>
          <t>Colombia</t>
        </is>
      </c>
      <c r="B157" s="227" t="inlineStr">
        <is>
          <t>Sindicatos y confederaciones de trabajadores</t>
        </is>
      </c>
      <c r="C157" s="227" t="inlineStr">
        <is>
          <t>Confederación sindical</t>
        </is>
      </c>
      <c r="D157" s="227" t="inlineStr">
        <is>
          <t>Confederación de Trabajadores de Colombia (CTC)</t>
        </is>
      </c>
      <c r="E157" s="227" t="n"/>
      <c r="F157" s="227" t="inlineStr">
        <is>
          <t>Presidencia</t>
        </is>
      </c>
      <c r="G157" s="227" t="inlineStr">
        <is>
          <t>https://ctc-colombia.com.co/</t>
        </is>
      </c>
      <c r="H157" s="227" t="inlineStr">
        <is>
          <t>No disponible públicamente</t>
        </is>
      </c>
      <c r="I157" s="227" t="inlineStr">
        <is>
          <t>+57 601 268 8984</t>
        </is>
      </c>
      <c r="J157" s="227" t="inlineStr">
        <is>
          <t>ctc.pres@ctc-colombia.com.co</t>
        </is>
      </c>
      <c r="K157" s="227" t="inlineStr">
        <is>
          <t>https://ctc-colombia.com.co/afiliate/</t>
        </is>
      </c>
      <c r="L157" s="227" t="inlineStr">
        <is>
          <t>VERIFICAR</t>
        </is>
      </c>
      <c r="M157" s="227" t="inlineStr">
        <is>
          <t>Agregado auditoría 08-oct-2026. Correo de fuente institucional única; no reproducido en búsqueda independiente.</t>
        </is>
      </c>
    </row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  <row r="962" ht="15.75" customHeight="1" s="182"/>
    <row r="963" ht="15.75" customHeight="1" s="182"/>
    <row r="964" ht="15.75" customHeight="1" s="182"/>
    <row r="965" ht="15.75" customHeight="1" s="182"/>
    <row r="966" ht="15.75" customHeight="1" s="182"/>
    <row r="967" ht="15.75" customHeight="1" s="182"/>
    <row r="968" ht="15.75" customHeight="1" s="182"/>
    <row r="969" ht="15.75" customHeight="1" s="182"/>
    <row r="970" ht="15.75" customHeight="1" s="182"/>
    <row r="971" ht="15.75" customHeight="1" s="182"/>
    <row r="972" ht="15.75" customHeight="1" s="182"/>
    <row r="973" ht="15.75" customHeight="1" s="182"/>
    <row r="974" ht="15.75" customHeight="1" s="182"/>
    <row r="975" ht="15.75" customHeight="1" s="182"/>
    <row r="976" ht="15.75" customHeight="1" s="182"/>
    <row r="977" ht="15.75" customHeight="1" s="182"/>
    <row r="978" ht="15.75" customHeight="1" s="182"/>
    <row r="979" ht="15.75" customHeight="1" s="182"/>
    <row r="980" ht="15.75" customHeight="1" s="182"/>
    <row r="981" ht="15.75" customHeight="1" s="182"/>
    <row r="982" ht="15.75" customHeight="1" s="182"/>
    <row r="983" ht="15.75" customHeight="1" s="182"/>
    <row r="984" ht="15.75" customHeight="1" s="182"/>
    <row r="985" ht="15.75" customHeight="1" s="182"/>
    <row r="986" ht="15.75" customHeight="1" s="182"/>
    <row r="987" ht="15.75" customHeight="1" s="182"/>
    <row r="988" ht="15.75" customHeight="1" s="182"/>
    <row r="989" ht="15.75" customHeight="1" s="182"/>
  </sheetData>
  <autoFilter ref="$A$1:$M$153"/>
  <dataValidations count="1">
    <dataValidation sqref="E2:E153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K3" r:id="rId4"/>
    <hyperlink xmlns:r="http://schemas.openxmlformats.org/officeDocument/2006/relationships" ref="G4" r:id="rId5"/>
    <hyperlink xmlns:r="http://schemas.openxmlformats.org/officeDocument/2006/relationships" ref="K4" r:id="rId6"/>
    <hyperlink xmlns:r="http://schemas.openxmlformats.org/officeDocument/2006/relationships" ref="G5" r:id="rId7"/>
    <hyperlink xmlns:r="http://schemas.openxmlformats.org/officeDocument/2006/relationships" ref="K5" r:id="rId8"/>
    <hyperlink xmlns:r="http://schemas.openxmlformats.org/officeDocument/2006/relationships" ref="G6" r:id="rId9"/>
    <hyperlink xmlns:r="http://schemas.openxmlformats.org/officeDocument/2006/relationships" ref="K6" r:id="rId10"/>
    <hyperlink xmlns:r="http://schemas.openxmlformats.org/officeDocument/2006/relationships" ref="G7" r:id="rId11"/>
    <hyperlink xmlns:r="http://schemas.openxmlformats.org/officeDocument/2006/relationships" ref="K7" r:id="rId12"/>
    <hyperlink xmlns:r="http://schemas.openxmlformats.org/officeDocument/2006/relationships" ref="G8" r:id="rId13"/>
    <hyperlink xmlns:r="http://schemas.openxmlformats.org/officeDocument/2006/relationships" ref="K8" r:id="rId14"/>
    <hyperlink xmlns:r="http://schemas.openxmlformats.org/officeDocument/2006/relationships" ref="G9" r:id="rId15"/>
    <hyperlink xmlns:r="http://schemas.openxmlformats.org/officeDocument/2006/relationships" ref="K9" r:id="rId16"/>
    <hyperlink xmlns:r="http://schemas.openxmlformats.org/officeDocument/2006/relationships" ref="G10" r:id="rId17"/>
    <hyperlink xmlns:r="http://schemas.openxmlformats.org/officeDocument/2006/relationships" ref="K10" r:id="rId18"/>
    <hyperlink xmlns:r="http://schemas.openxmlformats.org/officeDocument/2006/relationships" ref="G11" r:id="rId19"/>
    <hyperlink xmlns:r="http://schemas.openxmlformats.org/officeDocument/2006/relationships" ref="K11" r:id="rId20"/>
    <hyperlink xmlns:r="http://schemas.openxmlformats.org/officeDocument/2006/relationships" ref="G12" r:id="rId21"/>
    <hyperlink xmlns:r="http://schemas.openxmlformats.org/officeDocument/2006/relationships" ref="K12" r:id="rId22"/>
    <hyperlink xmlns:r="http://schemas.openxmlformats.org/officeDocument/2006/relationships" ref="G13" r:id="rId23"/>
    <hyperlink xmlns:r="http://schemas.openxmlformats.org/officeDocument/2006/relationships" ref="K13" r:id="rId24"/>
    <hyperlink xmlns:r="http://schemas.openxmlformats.org/officeDocument/2006/relationships" ref="G14" r:id="rId25"/>
    <hyperlink xmlns:r="http://schemas.openxmlformats.org/officeDocument/2006/relationships" ref="K14" r:id="rId26"/>
    <hyperlink xmlns:r="http://schemas.openxmlformats.org/officeDocument/2006/relationships" ref="G15" r:id="rId27"/>
    <hyperlink xmlns:r="http://schemas.openxmlformats.org/officeDocument/2006/relationships" ref="K15" r:id="rId28"/>
    <hyperlink xmlns:r="http://schemas.openxmlformats.org/officeDocument/2006/relationships" ref="G16" r:id="rId29"/>
    <hyperlink xmlns:r="http://schemas.openxmlformats.org/officeDocument/2006/relationships" ref="K16" r:id="rId30"/>
    <hyperlink xmlns:r="http://schemas.openxmlformats.org/officeDocument/2006/relationships" ref="G17" r:id="rId31"/>
    <hyperlink xmlns:r="http://schemas.openxmlformats.org/officeDocument/2006/relationships" ref="K17" r:id="rId32"/>
    <hyperlink xmlns:r="http://schemas.openxmlformats.org/officeDocument/2006/relationships" ref="G18" r:id="rId33"/>
    <hyperlink xmlns:r="http://schemas.openxmlformats.org/officeDocument/2006/relationships" ref="K18" r:id="rId34"/>
    <hyperlink xmlns:r="http://schemas.openxmlformats.org/officeDocument/2006/relationships" ref="G19" r:id="rId35"/>
    <hyperlink xmlns:r="http://schemas.openxmlformats.org/officeDocument/2006/relationships" ref="K19" r:id="rId36"/>
    <hyperlink xmlns:r="http://schemas.openxmlformats.org/officeDocument/2006/relationships" ref="G20" r:id="rId37"/>
    <hyperlink xmlns:r="http://schemas.openxmlformats.org/officeDocument/2006/relationships" ref="K20" r:id="rId38"/>
    <hyperlink xmlns:r="http://schemas.openxmlformats.org/officeDocument/2006/relationships" ref="G21" r:id="rId39"/>
    <hyperlink xmlns:r="http://schemas.openxmlformats.org/officeDocument/2006/relationships" ref="K21" r:id="rId40"/>
    <hyperlink xmlns:r="http://schemas.openxmlformats.org/officeDocument/2006/relationships" ref="G22" r:id="rId41"/>
    <hyperlink xmlns:r="http://schemas.openxmlformats.org/officeDocument/2006/relationships" ref="K22" r:id="rId42"/>
    <hyperlink xmlns:r="http://schemas.openxmlformats.org/officeDocument/2006/relationships" ref="G23" r:id="rId43"/>
    <hyperlink xmlns:r="http://schemas.openxmlformats.org/officeDocument/2006/relationships" ref="K23" r:id="rId44"/>
    <hyperlink xmlns:r="http://schemas.openxmlformats.org/officeDocument/2006/relationships" ref="G24" r:id="rId45"/>
    <hyperlink xmlns:r="http://schemas.openxmlformats.org/officeDocument/2006/relationships" ref="K24" r:id="rId46"/>
    <hyperlink xmlns:r="http://schemas.openxmlformats.org/officeDocument/2006/relationships" ref="G25" r:id="rId47"/>
    <hyperlink xmlns:r="http://schemas.openxmlformats.org/officeDocument/2006/relationships" ref="K25" r:id="rId48"/>
    <hyperlink xmlns:r="http://schemas.openxmlformats.org/officeDocument/2006/relationships" ref="G26" r:id="rId49"/>
    <hyperlink xmlns:r="http://schemas.openxmlformats.org/officeDocument/2006/relationships" ref="K26" r:id="rId50"/>
    <hyperlink xmlns:r="http://schemas.openxmlformats.org/officeDocument/2006/relationships" ref="G27" r:id="rId51"/>
    <hyperlink xmlns:r="http://schemas.openxmlformats.org/officeDocument/2006/relationships" ref="K27" r:id="rId52"/>
    <hyperlink xmlns:r="http://schemas.openxmlformats.org/officeDocument/2006/relationships" ref="G28" r:id="rId53"/>
    <hyperlink xmlns:r="http://schemas.openxmlformats.org/officeDocument/2006/relationships" ref="K28" r:id="rId54"/>
    <hyperlink xmlns:r="http://schemas.openxmlformats.org/officeDocument/2006/relationships" ref="G29" r:id="rId55"/>
    <hyperlink xmlns:r="http://schemas.openxmlformats.org/officeDocument/2006/relationships" ref="K29" r:id="rId56"/>
    <hyperlink xmlns:r="http://schemas.openxmlformats.org/officeDocument/2006/relationships" ref="G30" r:id="rId57"/>
    <hyperlink xmlns:r="http://schemas.openxmlformats.org/officeDocument/2006/relationships" ref="K30" r:id="rId58"/>
    <hyperlink xmlns:r="http://schemas.openxmlformats.org/officeDocument/2006/relationships" ref="G31" r:id="rId59"/>
    <hyperlink xmlns:r="http://schemas.openxmlformats.org/officeDocument/2006/relationships" ref="K31" r:id="rId60"/>
    <hyperlink xmlns:r="http://schemas.openxmlformats.org/officeDocument/2006/relationships" ref="G32" r:id="rId61"/>
    <hyperlink xmlns:r="http://schemas.openxmlformats.org/officeDocument/2006/relationships" ref="K32" r:id="rId62"/>
    <hyperlink xmlns:r="http://schemas.openxmlformats.org/officeDocument/2006/relationships" ref="G33" r:id="rId63"/>
    <hyperlink xmlns:r="http://schemas.openxmlformats.org/officeDocument/2006/relationships" ref="K33" r:id="rId64"/>
    <hyperlink xmlns:r="http://schemas.openxmlformats.org/officeDocument/2006/relationships" ref="G34" r:id="rId65"/>
    <hyperlink xmlns:r="http://schemas.openxmlformats.org/officeDocument/2006/relationships" ref="K34" r:id="rId66"/>
    <hyperlink xmlns:r="http://schemas.openxmlformats.org/officeDocument/2006/relationships" ref="G35" r:id="rId67"/>
    <hyperlink xmlns:r="http://schemas.openxmlformats.org/officeDocument/2006/relationships" ref="K35" r:id="rId68"/>
    <hyperlink xmlns:r="http://schemas.openxmlformats.org/officeDocument/2006/relationships" ref="G36" r:id="rId69"/>
    <hyperlink xmlns:r="http://schemas.openxmlformats.org/officeDocument/2006/relationships" ref="K36" r:id="rId70"/>
    <hyperlink xmlns:r="http://schemas.openxmlformats.org/officeDocument/2006/relationships" ref="G37" r:id="rId71"/>
    <hyperlink xmlns:r="http://schemas.openxmlformats.org/officeDocument/2006/relationships" ref="K37" r:id="rId72"/>
    <hyperlink xmlns:r="http://schemas.openxmlformats.org/officeDocument/2006/relationships" ref="G38" r:id="rId73"/>
    <hyperlink xmlns:r="http://schemas.openxmlformats.org/officeDocument/2006/relationships" ref="K38" r:id="rId74"/>
    <hyperlink xmlns:r="http://schemas.openxmlformats.org/officeDocument/2006/relationships" ref="G39" r:id="rId75"/>
    <hyperlink xmlns:r="http://schemas.openxmlformats.org/officeDocument/2006/relationships" ref="K39" r:id="rId76"/>
    <hyperlink xmlns:r="http://schemas.openxmlformats.org/officeDocument/2006/relationships" ref="K40" r:id="rId77"/>
    <hyperlink xmlns:r="http://schemas.openxmlformats.org/officeDocument/2006/relationships" ref="G41" r:id="rId78"/>
    <hyperlink xmlns:r="http://schemas.openxmlformats.org/officeDocument/2006/relationships" ref="K41" r:id="rId79"/>
    <hyperlink xmlns:r="http://schemas.openxmlformats.org/officeDocument/2006/relationships" ref="G42" r:id="rId80"/>
    <hyperlink xmlns:r="http://schemas.openxmlformats.org/officeDocument/2006/relationships" ref="K42" r:id="rId81"/>
    <hyperlink xmlns:r="http://schemas.openxmlformats.org/officeDocument/2006/relationships" ref="G43" r:id="rId82"/>
    <hyperlink xmlns:r="http://schemas.openxmlformats.org/officeDocument/2006/relationships" ref="K43" r:id="rId83"/>
    <hyperlink xmlns:r="http://schemas.openxmlformats.org/officeDocument/2006/relationships" ref="G44" r:id="rId84"/>
    <hyperlink xmlns:r="http://schemas.openxmlformats.org/officeDocument/2006/relationships" ref="K44" r:id="rId85"/>
    <hyperlink xmlns:r="http://schemas.openxmlformats.org/officeDocument/2006/relationships" ref="K45" r:id="rId86"/>
    <hyperlink xmlns:r="http://schemas.openxmlformats.org/officeDocument/2006/relationships" ref="G46" r:id="rId87"/>
    <hyperlink xmlns:r="http://schemas.openxmlformats.org/officeDocument/2006/relationships" ref="K46" r:id="rId88"/>
    <hyperlink xmlns:r="http://schemas.openxmlformats.org/officeDocument/2006/relationships" ref="G47" r:id="rId89"/>
    <hyperlink xmlns:r="http://schemas.openxmlformats.org/officeDocument/2006/relationships" ref="K47" r:id="rId90"/>
    <hyperlink xmlns:r="http://schemas.openxmlformats.org/officeDocument/2006/relationships" ref="G48" r:id="rId91"/>
    <hyperlink xmlns:r="http://schemas.openxmlformats.org/officeDocument/2006/relationships" ref="K48" r:id="rId92"/>
    <hyperlink xmlns:r="http://schemas.openxmlformats.org/officeDocument/2006/relationships" ref="G49" r:id="rId93"/>
    <hyperlink xmlns:r="http://schemas.openxmlformats.org/officeDocument/2006/relationships" ref="K49" r:id="rId94"/>
    <hyperlink xmlns:r="http://schemas.openxmlformats.org/officeDocument/2006/relationships" ref="G50" r:id="rId95"/>
    <hyperlink xmlns:r="http://schemas.openxmlformats.org/officeDocument/2006/relationships" ref="K50" r:id="rId96"/>
    <hyperlink xmlns:r="http://schemas.openxmlformats.org/officeDocument/2006/relationships" ref="G51" r:id="rId97"/>
    <hyperlink xmlns:r="http://schemas.openxmlformats.org/officeDocument/2006/relationships" ref="K51" r:id="rId98"/>
    <hyperlink xmlns:r="http://schemas.openxmlformats.org/officeDocument/2006/relationships" ref="G52" r:id="rId99"/>
    <hyperlink xmlns:r="http://schemas.openxmlformats.org/officeDocument/2006/relationships" ref="K52" r:id="rId100"/>
    <hyperlink xmlns:r="http://schemas.openxmlformats.org/officeDocument/2006/relationships" ref="G53" r:id="rId101"/>
    <hyperlink xmlns:r="http://schemas.openxmlformats.org/officeDocument/2006/relationships" ref="K53" r:id="rId102"/>
    <hyperlink xmlns:r="http://schemas.openxmlformats.org/officeDocument/2006/relationships" ref="G54" r:id="rId103"/>
    <hyperlink xmlns:r="http://schemas.openxmlformats.org/officeDocument/2006/relationships" ref="K54" r:id="rId104"/>
    <hyperlink xmlns:r="http://schemas.openxmlformats.org/officeDocument/2006/relationships" ref="G55" r:id="rId105"/>
    <hyperlink xmlns:r="http://schemas.openxmlformats.org/officeDocument/2006/relationships" ref="K55" r:id="rId106"/>
    <hyperlink xmlns:r="http://schemas.openxmlformats.org/officeDocument/2006/relationships" ref="G56" r:id="rId107"/>
    <hyperlink xmlns:r="http://schemas.openxmlformats.org/officeDocument/2006/relationships" ref="K56" r:id="rId108"/>
    <hyperlink xmlns:r="http://schemas.openxmlformats.org/officeDocument/2006/relationships" ref="G57" r:id="rId109"/>
    <hyperlink xmlns:r="http://schemas.openxmlformats.org/officeDocument/2006/relationships" ref="K57" r:id="rId110"/>
    <hyperlink xmlns:r="http://schemas.openxmlformats.org/officeDocument/2006/relationships" ref="G58" r:id="rId111"/>
    <hyperlink xmlns:r="http://schemas.openxmlformats.org/officeDocument/2006/relationships" ref="K58" r:id="rId112"/>
    <hyperlink xmlns:r="http://schemas.openxmlformats.org/officeDocument/2006/relationships" ref="G59" r:id="rId113"/>
    <hyperlink xmlns:r="http://schemas.openxmlformats.org/officeDocument/2006/relationships" ref="K59" r:id="rId114"/>
    <hyperlink xmlns:r="http://schemas.openxmlformats.org/officeDocument/2006/relationships" ref="G60" r:id="rId115"/>
    <hyperlink xmlns:r="http://schemas.openxmlformats.org/officeDocument/2006/relationships" ref="K60" r:id="rId116"/>
    <hyperlink xmlns:r="http://schemas.openxmlformats.org/officeDocument/2006/relationships" ref="G61" r:id="rId117"/>
    <hyperlink xmlns:r="http://schemas.openxmlformats.org/officeDocument/2006/relationships" ref="K61" r:id="rId118"/>
    <hyperlink xmlns:r="http://schemas.openxmlformats.org/officeDocument/2006/relationships" ref="G62" r:id="rId119"/>
    <hyperlink xmlns:r="http://schemas.openxmlformats.org/officeDocument/2006/relationships" ref="K62" r:id="rId120"/>
    <hyperlink xmlns:r="http://schemas.openxmlformats.org/officeDocument/2006/relationships" ref="G63" r:id="rId121"/>
    <hyperlink xmlns:r="http://schemas.openxmlformats.org/officeDocument/2006/relationships" ref="K63" r:id="rId122"/>
    <hyperlink xmlns:r="http://schemas.openxmlformats.org/officeDocument/2006/relationships" ref="G64" r:id="rId123"/>
    <hyperlink xmlns:r="http://schemas.openxmlformats.org/officeDocument/2006/relationships" ref="K64" r:id="rId124"/>
    <hyperlink xmlns:r="http://schemas.openxmlformats.org/officeDocument/2006/relationships" ref="G65" r:id="rId125"/>
    <hyperlink xmlns:r="http://schemas.openxmlformats.org/officeDocument/2006/relationships" ref="K65" r:id="rId126"/>
    <hyperlink xmlns:r="http://schemas.openxmlformats.org/officeDocument/2006/relationships" ref="K66" r:id="rId127"/>
    <hyperlink xmlns:r="http://schemas.openxmlformats.org/officeDocument/2006/relationships" ref="K67" r:id="rId128"/>
    <hyperlink xmlns:r="http://schemas.openxmlformats.org/officeDocument/2006/relationships" ref="G68" r:id="rId129"/>
    <hyperlink xmlns:r="http://schemas.openxmlformats.org/officeDocument/2006/relationships" ref="K68" r:id="rId130"/>
    <hyperlink xmlns:r="http://schemas.openxmlformats.org/officeDocument/2006/relationships" ref="G69" r:id="rId131"/>
    <hyperlink xmlns:r="http://schemas.openxmlformats.org/officeDocument/2006/relationships" ref="K69" r:id="rId132"/>
    <hyperlink xmlns:r="http://schemas.openxmlformats.org/officeDocument/2006/relationships" ref="K70" r:id="rId133"/>
    <hyperlink xmlns:r="http://schemas.openxmlformats.org/officeDocument/2006/relationships" ref="K71" r:id="rId134"/>
    <hyperlink xmlns:r="http://schemas.openxmlformats.org/officeDocument/2006/relationships" ref="K72" r:id="rId135"/>
    <hyperlink xmlns:r="http://schemas.openxmlformats.org/officeDocument/2006/relationships" ref="K73" r:id="rId136"/>
    <hyperlink xmlns:r="http://schemas.openxmlformats.org/officeDocument/2006/relationships" ref="K74" r:id="rId137"/>
    <hyperlink xmlns:r="http://schemas.openxmlformats.org/officeDocument/2006/relationships" ref="K75" r:id="rId138"/>
    <hyperlink xmlns:r="http://schemas.openxmlformats.org/officeDocument/2006/relationships" ref="K76" r:id="rId139"/>
    <hyperlink xmlns:r="http://schemas.openxmlformats.org/officeDocument/2006/relationships" ref="K77" r:id="rId140"/>
    <hyperlink xmlns:r="http://schemas.openxmlformats.org/officeDocument/2006/relationships" ref="K78" r:id="rId141"/>
    <hyperlink xmlns:r="http://schemas.openxmlformats.org/officeDocument/2006/relationships" ref="K79" r:id="rId142"/>
    <hyperlink xmlns:r="http://schemas.openxmlformats.org/officeDocument/2006/relationships" ref="K80" r:id="rId143"/>
    <hyperlink xmlns:r="http://schemas.openxmlformats.org/officeDocument/2006/relationships" ref="K81" r:id="rId144"/>
    <hyperlink xmlns:r="http://schemas.openxmlformats.org/officeDocument/2006/relationships" ref="K82" r:id="rId145"/>
    <hyperlink xmlns:r="http://schemas.openxmlformats.org/officeDocument/2006/relationships" ref="K83" r:id="rId146"/>
    <hyperlink xmlns:r="http://schemas.openxmlformats.org/officeDocument/2006/relationships" ref="K84" r:id="rId147"/>
    <hyperlink xmlns:r="http://schemas.openxmlformats.org/officeDocument/2006/relationships" ref="K85" r:id="rId148"/>
    <hyperlink xmlns:r="http://schemas.openxmlformats.org/officeDocument/2006/relationships" ref="K86" r:id="rId149"/>
    <hyperlink xmlns:r="http://schemas.openxmlformats.org/officeDocument/2006/relationships" ref="K87" r:id="rId150"/>
    <hyperlink xmlns:r="http://schemas.openxmlformats.org/officeDocument/2006/relationships" ref="K88" r:id="rId151"/>
    <hyperlink xmlns:r="http://schemas.openxmlformats.org/officeDocument/2006/relationships" ref="K89" r:id="rId152"/>
    <hyperlink xmlns:r="http://schemas.openxmlformats.org/officeDocument/2006/relationships" ref="K90" r:id="rId153"/>
    <hyperlink xmlns:r="http://schemas.openxmlformats.org/officeDocument/2006/relationships" ref="K91" r:id="rId154"/>
    <hyperlink xmlns:r="http://schemas.openxmlformats.org/officeDocument/2006/relationships" ref="K92" r:id="rId155"/>
    <hyperlink xmlns:r="http://schemas.openxmlformats.org/officeDocument/2006/relationships" ref="K93" r:id="rId156"/>
    <hyperlink xmlns:r="http://schemas.openxmlformats.org/officeDocument/2006/relationships" ref="K94" r:id="rId157"/>
    <hyperlink xmlns:r="http://schemas.openxmlformats.org/officeDocument/2006/relationships" ref="K95" r:id="rId158"/>
    <hyperlink xmlns:r="http://schemas.openxmlformats.org/officeDocument/2006/relationships" ref="K96" r:id="rId159"/>
    <hyperlink xmlns:r="http://schemas.openxmlformats.org/officeDocument/2006/relationships" ref="K97" r:id="rId160"/>
    <hyperlink xmlns:r="http://schemas.openxmlformats.org/officeDocument/2006/relationships" ref="K98" r:id="rId161"/>
    <hyperlink xmlns:r="http://schemas.openxmlformats.org/officeDocument/2006/relationships" ref="K99" r:id="rId162"/>
    <hyperlink xmlns:r="http://schemas.openxmlformats.org/officeDocument/2006/relationships" ref="K100" r:id="rId163"/>
    <hyperlink xmlns:r="http://schemas.openxmlformats.org/officeDocument/2006/relationships" ref="K101" r:id="rId164"/>
    <hyperlink xmlns:r="http://schemas.openxmlformats.org/officeDocument/2006/relationships" ref="K102" r:id="rId165"/>
    <hyperlink xmlns:r="http://schemas.openxmlformats.org/officeDocument/2006/relationships" ref="K103" r:id="rId166"/>
    <hyperlink xmlns:r="http://schemas.openxmlformats.org/officeDocument/2006/relationships" ref="K104" r:id="rId167"/>
    <hyperlink xmlns:r="http://schemas.openxmlformats.org/officeDocument/2006/relationships" ref="K105" r:id="rId168"/>
    <hyperlink xmlns:r="http://schemas.openxmlformats.org/officeDocument/2006/relationships" ref="K106" r:id="rId169"/>
    <hyperlink xmlns:r="http://schemas.openxmlformats.org/officeDocument/2006/relationships" ref="K107" r:id="rId170"/>
    <hyperlink xmlns:r="http://schemas.openxmlformats.org/officeDocument/2006/relationships" ref="K108" r:id="rId171"/>
    <hyperlink xmlns:r="http://schemas.openxmlformats.org/officeDocument/2006/relationships" ref="K109" r:id="rId172"/>
    <hyperlink xmlns:r="http://schemas.openxmlformats.org/officeDocument/2006/relationships" ref="K110" r:id="rId173"/>
    <hyperlink xmlns:r="http://schemas.openxmlformats.org/officeDocument/2006/relationships" ref="K111" r:id="rId174"/>
    <hyperlink xmlns:r="http://schemas.openxmlformats.org/officeDocument/2006/relationships" ref="K112" r:id="rId175"/>
    <hyperlink xmlns:r="http://schemas.openxmlformats.org/officeDocument/2006/relationships" ref="K113" r:id="rId176"/>
    <hyperlink xmlns:r="http://schemas.openxmlformats.org/officeDocument/2006/relationships" ref="K114" r:id="rId177"/>
    <hyperlink xmlns:r="http://schemas.openxmlformats.org/officeDocument/2006/relationships" ref="K115" r:id="rId178"/>
    <hyperlink xmlns:r="http://schemas.openxmlformats.org/officeDocument/2006/relationships" ref="K116" r:id="rId179"/>
    <hyperlink xmlns:r="http://schemas.openxmlformats.org/officeDocument/2006/relationships" ref="K117" r:id="rId180"/>
    <hyperlink xmlns:r="http://schemas.openxmlformats.org/officeDocument/2006/relationships" ref="K118" r:id="rId181"/>
    <hyperlink xmlns:r="http://schemas.openxmlformats.org/officeDocument/2006/relationships" ref="K119" r:id="rId182"/>
    <hyperlink xmlns:r="http://schemas.openxmlformats.org/officeDocument/2006/relationships" ref="K120" r:id="rId183"/>
    <hyperlink xmlns:r="http://schemas.openxmlformats.org/officeDocument/2006/relationships" ref="K121" r:id="rId184"/>
    <hyperlink xmlns:r="http://schemas.openxmlformats.org/officeDocument/2006/relationships" ref="K122" r:id="rId185"/>
    <hyperlink xmlns:r="http://schemas.openxmlformats.org/officeDocument/2006/relationships" ref="K123" r:id="rId186"/>
    <hyperlink xmlns:r="http://schemas.openxmlformats.org/officeDocument/2006/relationships" ref="K124" r:id="rId187"/>
    <hyperlink xmlns:r="http://schemas.openxmlformats.org/officeDocument/2006/relationships" ref="K125" r:id="rId188"/>
    <hyperlink xmlns:r="http://schemas.openxmlformats.org/officeDocument/2006/relationships" ref="K126" r:id="rId189"/>
    <hyperlink xmlns:r="http://schemas.openxmlformats.org/officeDocument/2006/relationships" ref="K127" r:id="rId190"/>
    <hyperlink xmlns:r="http://schemas.openxmlformats.org/officeDocument/2006/relationships" ref="K128" r:id="rId191"/>
    <hyperlink xmlns:r="http://schemas.openxmlformats.org/officeDocument/2006/relationships" ref="K129" r:id="rId192"/>
    <hyperlink xmlns:r="http://schemas.openxmlformats.org/officeDocument/2006/relationships" ref="K130" r:id="rId193"/>
    <hyperlink xmlns:r="http://schemas.openxmlformats.org/officeDocument/2006/relationships" ref="K131" r:id="rId194"/>
    <hyperlink xmlns:r="http://schemas.openxmlformats.org/officeDocument/2006/relationships" ref="K132" r:id="rId195"/>
    <hyperlink xmlns:r="http://schemas.openxmlformats.org/officeDocument/2006/relationships" ref="K133" r:id="rId196"/>
    <hyperlink xmlns:r="http://schemas.openxmlformats.org/officeDocument/2006/relationships" ref="K134" r:id="rId197"/>
    <hyperlink xmlns:r="http://schemas.openxmlformats.org/officeDocument/2006/relationships" ref="K135" r:id="rId198"/>
    <hyperlink xmlns:r="http://schemas.openxmlformats.org/officeDocument/2006/relationships" ref="K136" r:id="rId199"/>
    <hyperlink xmlns:r="http://schemas.openxmlformats.org/officeDocument/2006/relationships" ref="K137" r:id="rId200"/>
    <hyperlink xmlns:r="http://schemas.openxmlformats.org/officeDocument/2006/relationships" ref="K138" r:id="rId201"/>
    <hyperlink xmlns:r="http://schemas.openxmlformats.org/officeDocument/2006/relationships" ref="K139" r:id="rId202"/>
    <hyperlink xmlns:r="http://schemas.openxmlformats.org/officeDocument/2006/relationships" ref="K140" r:id="rId203"/>
    <hyperlink xmlns:r="http://schemas.openxmlformats.org/officeDocument/2006/relationships" ref="K141" r:id="rId204"/>
    <hyperlink xmlns:r="http://schemas.openxmlformats.org/officeDocument/2006/relationships" ref="K142" r:id="rId205"/>
    <hyperlink xmlns:r="http://schemas.openxmlformats.org/officeDocument/2006/relationships" ref="K143" r:id="rId206"/>
    <hyperlink xmlns:r="http://schemas.openxmlformats.org/officeDocument/2006/relationships" ref="K144" r:id="rId207"/>
    <hyperlink xmlns:r="http://schemas.openxmlformats.org/officeDocument/2006/relationships" ref="K145" r:id="rId208"/>
    <hyperlink xmlns:r="http://schemas.openxmlformats.org/officeDocument/2006/relationships" ref="K146" r:id="rId209"/>
    <hyperlink xmlns:r="http://schemas.openxmlformats.org/officeDocument/2006/relationships" ref="K147" r:id="rId210"/>
    <hyperlink xmlns:r="http://schemas.openxmlformats.org/officeDocument/2006/relationships" ref="K148" r:id="rId211"/>
    <hyperlink xmlns:r="http://schemas.openxmlformats.org/officeDocument/2006/relationships" ref="K149" r:id="rId212"/>
    <hyperlink xmlns:r="http://schemas.openxmlformats.org/officeDocument/2006/relationships" ref="K150" r:id="rId213"/>
    <hyperlink xmlns:r="http://schemas.openxmlformats.org/officeDocument/2006/relationships" ref="K151" r:id="rId214"/>
    <hyperlink xmlns:r="http://schemas.openxmlformats.org/officeDocument/2006/relationships" ref="K152" r:id="rId215"/>
    <hyperlink xmlns:r="http://schemas.openxmlformats.org/officeDocument/2006/relationships" ref="K153" r:id="rId216"/>
  </hyperlinks>
  <pageMargins left="0.75" right="0.75" top="1" bottom="1" header="0" footer="0"/>
  <pageSetup orientation="landscape"/>
  <tableParts count="1">
    <tablePart xmlns:r="http://schemas.openxmlformats.org/officeDocument/2006/relationships" r:id="rId217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País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 ht="30" customHeight="1" s="182">
      <c r="A2" s="42" t="inlineStr">
        <is>
          <t>Ecuador</t>
        </is>
      </c>
      <c r="B2" s="15" t="inlineStr">
        <is>
          <t>Asociaciones de seguridad social</t>
        </is>
      </c>
      <c r="C2" s="73" t="inlineStr">
        <is>
          <t>Prevención de riesgos laborales y salud ocupacional</t>
        </is>
      </c>
      <c r="D2" s="73" t="inlineStr">
        <is>
          <t>IESS - Seguro General de Riesgos del Trabajo (SGRT)</t>
        </is>
      </c>
      <c r="E2" s="73" t="n"/>
      <c r="F2" s="73" t="inlineStr">
        <is>
          <t>Subdirección Nacional de Riesgos del Trabajo / Prestaciones de Subsidios e Indemnizaciones</t>
        </is>
      </c>
      <c r="G2" s="18" t="inlineStr">
        <is>
          <t>https://sart.iess.gob.ec/</t>
        </is>
      </c>
      <c r="H2" s="143" t="inlineStr">
        <is>
          <t>Dirección del Seguro General de Riesgos del Trabajo</t>
        </is>
      </c>
      <c r="I2" s="73" t="inlineStr">
        <is>
          <t>02 3945666</t>
        </is>
      </c>
      <c r="J2" s="28" t="inlineStr">
        <is>
          <t>no disponible públicamente</t>
        </is>
      </c>
      <c r="K2" s="18" t="inlineStr">
        <is>
          <t>https://www.iess.gob.ec/#idContactanos</t>
        </is>
      </c>
      <c r="L2" s="22" t="inlineStr">
        <is>
          <t>CORREGIDO</t>
        </is>
      </c>
      <c r="M2" s="30" t="inlineStr">
        <is>
          <t>Sin correo</t>
        </is>
      </c>
    </row>
    <row r="3" ht="30" customHeight="1" s="182">
      <c r="A3" s="42" t="inlineStr">
        <is>
          <t>Ecuador</t>
        </is>
      </c>
      <c r="B3" s="15" t="inlineStr">
        <is>
          <t>Escuelas de gobierno y administración pública</t>
        </is>
      </c>
      <c r="C3" s="73" t="inlineStr">
        <is>
          <t>Universidad de posgrado del Estado</t>
        </is>
      </c>
      <c r="D3" s="73" t="inlineStr">
        <is>
          <t>Instituto de Altos Estudios Nacionales (IAEN)</t>
        </is>
      </c>
      <c r="E3" s="73" t="n"/>
      <c r="F3" s="28" t="inlineStr">
        <is>
          <t>no disponible públicamente</t>
        </is>
      </c>
      <c r="G3" s="18" t="inlineStr">
        <is>
          <t>https://www.iaen.edu.ec/</t>
        </is>
      </c>
      <c r="H3" s="28" t="inlineStr">
        <is>
          <t>no disponible públicamente</t>
        </is>
      </c>
      <c r="I3" s="73" t="inlineStr">
        <is>
          <t>593 2 382 9900</t>
        </is>
      </c>
      <c r="J3" s="73" t="inlineStr">
        <is>
          <t>infoiaen@iaen.edu.ec</t>
        </is>
      </c>
      <c r="K3" s="18" t="inlineStr">
        <is>
          <t>https://www.iaen.edu.ec/historia/</t>
        </is>
      </c>
      <c r="L3" s="51" t="inlineStr">
        <is>
          <t>CONFIRMADO</t>
        </is>
      </c>
      <c r="M3" s="30" t="n"/>
    </row>
    <row r="4" ht="30" customHeight="1" s="182">
      <c r="A4" s="42" t="inlineStr">
        <is>
          <t>Ecuador</t>
        </is>
      </c>
      <c r="B4" s="15" t="inlineStr">
        <is>
          <t>Formación técnica pública</t>
        </is>
      </c>
      <c r="C4" s="73" t="inlineStr">
        <is>
          <t>Instituto técnico</t>
        </is>
      </c>
      <c r="D4" s="73" t="inlineStr">
        <is>
          <t>Instituto Superior Tecnológico Sucre</t>
        </is>
      </c>
      <c r="E4" s="73" t="n"/>
      <c r="F4" s="73" t="inlineStr">
        <is>
          <t>Rectorado / Vinculación con la Sociedad</t>
        </is>
      </c>
      <c r="G4" s="18" t="inlineStr">
        <is>
          <t>https://tecnologicosucre.edu.ec/web/</t>
        </is>
      </c>
      <c r="H4" s="28" t="inlineStr">
        <is>
          <t>no disponible públicamente</t>
        </is>
      </c>
      <c r="I4" s="73" t="inlineStr">
        <is>
          <t>(02) 291-0513</t>
        </is>
      </c>
      <c r="J4" s="73" t="inlineStr">
        <is>
          <t>secretaria@istsucre.edu.ec</t>
        </is>
      </c>
      <c r="K4" s="18" t="inlineStr">
        <is>
          <t>https://ec.todosnegocios.com/sucre-instituto-superior-tecnol%C3%B3gico-02-291-0513</t>
        </is>
      </c>
      <c r="L4" s="22" t="inlineStr">
        <is>
          <t>CORREGIDO</t>
        </is>
      </c>
      <c r="M4" s="30" t="n"/>
    </row>
    <row r="5" ht="30" customHeight="1" s="182">
      <c r="A5" s="42" t="inlineStr">
        <is>
          <t>Ecuador</t>
        </is>
      </c>
      <c r="B5" s="15" t="inlineStr">
        <is>
          <t>Formación técnica pública</t>
        </is>
      </c>
      <c r="C5" s="73" t="inlineStr">
        <is>
          <t>Instituto técnico</t>
        </is>
      </c>
      <c r="D5" s="73" t="inlineStr">
        <is>
          <t>Instituto Superior Tecnológico Central Técnico</t>
        </is>
      </c>
      <c r="E5" s="73" t="n"/>
      <c r="F5" s="73" t="inlineStr">
        <is>
          <t>Rectorado / Secretaría Académica</t>
        </is>
      </c>
      <c r="G5" s="18" t="inlineStr">
        <is>
          <t>https://istct.edu.ec/portal/nuevo/</t>
        </is>
      </c>
      <c r="H5" s="28" t="inlineStr">
        <is>
          <t>no disponible públicamente</t>
        </is>
      </c>
      <c r="I5" s="73" t="inlineStr">
        <is>
          <t>(593) 2403096</t>
        </is>
      </c>
      <c r="J5" s="73" t="inlineStr">
        <is>
          <t>secretaria_general@istct.edu.ec</t>
        </is>
      </c>
      <c r="K5" s="18" t="inlineStr">
        <is>
          <t>https://istct.edu.ec/portal/nuevo/</t>
        </is>
      </c>
      <c r="L5" s="22" t="inlineStr">
        <is>
          <t>CORREGIDO</t>
        </is>
      </c>
      <c r="M5" s="30" t="n"/>
    </row>
    <row r="6" ht="30" customHeight="1" s="182">
      <c r="A6" s="42" t="inlineStr">
        <is>
          <t>Ecuador</t>
        </is>
      </c>
      <c r="B6" s="15" t="inlineStr">
        <is>
          <t>Formación técnica pública</t>
        </is>
      </c>
      <c r="C6" s="73" t="inlineStr">
        <is>
          <t>Instituto técnico</t>
        </is>
      </c>
      <c r="D6" s="73" t="inlineStr">
        <is>
          <t>Instituto Superior Tecnológico Yavirac</t>
        </is>
      </c>
      <c r="E6" s="73" t="n"/>
      <c r="F6" s="73" t="inlineStr">
        <is>
          <t>Vinculación con el Medio y Admisión</t>
        </is>
      </c>
      <c r="G6" s="18" t="inlineStr">
        <is>
          <t>https://yavirac.edu.ec/contacto/</t>
        </is>
      </c>
      <c r="H6" s="28" t="inlineStr">
        <is>
          <t>no disponible públicamente</t>
        </is>
      </c>
      <c r="I6" s="73" t="inlineStr">
        <is>
          <t>593 99 550 6245</t>
        </is>
      </c>
      <c r="J6" s="73" t="inlineStr">
        <is>
          <t>yavirac@yavirac.edu.ec</t>
        </is>
      </c>
      <c r="K6" s="18" t="inlineStr">
        <is>
          <t>https://yavirac.edu.ec/contactos/</t>
        </is>
      </c>
      <c r="L6" s="22" t="inlineStr">
        <is>
          <t>CORREGIDO</t>
        </is>
      </c>
      <c r="M6" s="30" t="n"/>
    </row>
    <row r="7" ht="30" customHeight="1" s="182">
      <c r="A7" s="42" t="inlineStr">
        <is>
          <t>Ecuador</t>
        </is>
      </c>
      <c r="B7" s="15" t="inlineStr">
        <is>
          <t>Formación técnica pública</t>
        </is>
      </c>
      <c r="C7" s="73" t="inlineStr">
        <is>
          <t>Instituto técnico</t>
        </is>
      </c>
      <c r="D7" s="73" t="inlineStr">
        <is>
          <t>Instituto Superior Tecnológico 17 de Julio</t>
        </is>
      </c>
      <c r="E7" s="73" t="n"/>
      <c r="F7" s="73" t="inlineStr">
        <is>
          <t>Rectorado / Gestión Académica</t>
        </is>
      </c>
      <c r="G7" s="18" t="inlineStr">
        <is>
          <t>https://web.ist17dejulio.edu.ec/?page=inicio</t>
        </is>
      </c>
      <c r="H7" s="28" t="inlineStr">
        <is>
          <t>no disponible públicamente</t>
        </is>
      </c>
      <c r="I7" s="73" t="inlineStr">
        <is>
          <t>593-98-121-2881</t>
        </is>
      </c>
      <c r="J7" s="73" t="inlineStr">
        <is>
          <t>info@ist17dejulio.edu.ec</t>
        </is>
      </c>
      <c r="K7" s="18" t="inlineStr">
        <is>
          <t>https://web.ist17dejulio.edu.ec/?page=inicio</t>
        </is>
      </c>
      <c r="L7" s="22" t="inlineStr">
        <is>
          <t>CORREGIDO</t>
        </is>
      </c>
      <c r="M7" s="30" t="n"/>
    </row>
    <row r="8" ht="30" customHeight="1" s="182">
      <c r="A8" s="42" t="inlineStr">
        <is>
          <t>Ecuador</t>
        </is>
      </c>
      <c r="B8" s="15" t="inlineStr">
        <is>
          <t>Formación técnica pública</t>
        </is>
      </c>
      <c r="C8" s="73" t="inlineStr">
        <is>
          <t>Instituto técnico</t>
        </is>
      </c>
      <c r="D8" s="73" t="inlineStr">
        <is>
          <t>Instituto Superior Tecnológico Luis Arboleda Martínez</t>
        </is>
      </c>
      <c r="E8" s="73" t="n"/>
      <c r="F8" s="73" t="inlineStr">
        <is>
          <t>Coordinación Académica y Admisión</t>
        </is>
      </c>
      <c r="G8" s="18" t="inlineStr">
        <is>
          <t>https://www.istlam.edu.ec/</t>
        </is>
      </c>
      <c r="H8" s="28" t="inlineStr">
        <is>
          <t>no disponible públicamente</t>
        </is>
      </c>
      <c r="I8" s="73" t="inlineStr">
        <is>
          <t>( +593 ) 52 583 263</t>
        </is>
      </c>
      <c r="J8" s="73" t="inlineStr">
        <is>
          <t>itsluisarboledamartinez@gmail.com</t>
        </is>
      </c>
      <c r="K8" s="18" t="inlineStr">
        <is>
          <t>https://www.istlam.edu.ec/index.php/contactenos</t>
        </is>
      </c>
      <c r="L8" s="22" t="inlineStr">
        <is>
          <t>CORREGIDO</t>
        </is>
      </c>
      <c r="M8" s="30" t="n"/>
    </row>
    <row r="9" ht="30" customHeight="1" s="182">
      <c r="A9" s="42" t="inlineStr">
        <is>
          <t>Ecuador</t>
        </is>
      </c>
      <c r="B9" s="15" t="inlineStr">
        <is>
          <t>Formación técnica pública</t>
        </is>
      </c>
      <c r="C9" s="73" t="inlineStr">
        <is>
          <t>Instituto técnico</t>
        </is>
      </c>
      <c r="D9" s="73" t="inlineStr">
        <is>
          <t>Instituto Superior Tecnológico Simón Bolívar</t>
        </is>
      </c>
      <c r="E9" s="73" t="n"/>
      <c r="F9" s="73" t="inlineStr">
        <is>
          <t>Rectorado / Admisiones</t>
        </is>
      </c>
      <c r="G9" s="18" t="inlineStr">
        <is>
          <t>https://www.istsb.edu.ec/contacto/</t>
        </is>
      </c>
      <c r="H9" s="28" t="inlineStr">
        <is>
          <t>no disponible públicamente</t>
        </is>
      </c>
      <c r="I9" s="143">
        <f>59342294050</f>
        <v/>
      </c>
      <c r="J9" s="28" t="inlineStr">
        <is>
          <t>no disponible públicamente</t>
        </is>
      </c>
      <c r="K9" s="18" t="inlineStr">
        <is>
          <t>https://istsb.edu.ec/contact/</t>
        </is>
      </c>
      <c r="L9" s="22" t="inlineStr">
        <is>
          <t>CORREGIDO</t>
        </is>
      </c>
      <c r="M9" s="30" t="n"/>
    </row>
    <row r="10" ht="30" customHeight="1" s="182">
      <c r="A10" s="42" t="inlineStr">
        <is>
          <t>Ecuador</t>
        </is>
      </c>
      <c r="B10" s="15" t="inlineStr">
        <is>
          <t>Formación técnica pública</t>
        </is>
      </c>
      <c r="C10" s="73" t="inlineStr">
        <is>
          <t>Instituto técnico</t>
        </is>
      </c>
      <c r="D10" s="73" t="inlineStr">
        <is>
          <t>Instituto Superior Tecnológico Tsáchila</t>
        </is>
      </c>
      <c r="E10" s="73" t="n"/>
      <c r="F10" s="73" t="inlineStr">
        <is>
          <t>Vinculación Institucional</t>
        </is>
      </c>
      <c r="G10" s="18" t="inlineStr">
        <is>
          <t>https://www.isttsachila.edu.ec/contacto/</t>
        </is>
      </c>
      <c r="H10" s="28" t="inlineStr">
        <is>
          <t>no disponible públicamente</t>
        </is>
      </c>
      <c r="I10" s="73" t="n">
        <v>985007514</v>
      </c>
      <c r="J10" s="73" t="inlineStr">
        <is>
          <t>info@isttsachila.edu.ec</t>
        </is>
      </c>
      <c r="K10" s="18" t="inlineStr">
        <is>
          <t>https://tsachila.edu.ec/PortalWeb/</t>
        </is>
      </c>
      <c r="L10" s="22" t="inlineStr">
        <is>
          <t>CORREGIDO</t>
        </is>
      </c>
      <c r="M10" s="30" t="n"/>
    </row>
    <row r="11" ht="30" customHeight="1" s="182">
      <c r="A11" s="42" t="inlineStr">
        <is>
          <t>Ecuador</t>
        </is>
      </c>
      <c r="B11" s="15" t="inlineStr">
        <is>
          <t>Formación técnica pública</t>
        </is>
      </c>
      <c r="C11" s="73" t="inlineStr">
        <is>
          <t>Instituto técnico</t>
        </is>
      </c>
      <c r="D11" s="73" t="inlineStr">
        <is>
          <t>Instituto Superior Tecnológico Vicente Rocafuerte</t>
        </is>
      </c>
      <c r="E11" s="73" t="n"/>
      <c r="F11" s="73" t="inlineStr">
        <is>
          <t>Rectorado / Secretaría</t>
        </is>
      </c>
      <c r="G11" s="18" t="inlineStr">
        <is>
          <t>https://www.istvr.edu.ec/contacto/</t>
        </is>
      </c>
      <c r="H11" s="28" t="inlineStr">
        <is>
          <t>no disponible públicamente</t>
        </is>
      </c>
      <c r="I11" s="143">
        <f>59342280964</f>
        <v/>
      </c>
      <c r="J11" s="143" t="inlineStr">
        <is>
          <t>secretaria@istvr.edu.ec</t>
        </is>
      </c>
      <c r="K11" s="18" t="inlineStr">
        <is>
          <t>https://istvr.edu.ec/web/contactenos/</t>
        </is>
      </c>
      <c r="L11" s="22" t="inlineStr">
        <is>
          <t>CORREGIDO</t>
        </is>
      </c>
      <c r="M11" s="30" t="n"/>
    </row>
    <row r="12" ht="30" customHeight="1" s="182">
      <c r="A12" s="42" t="inlineStr">
        <is>
          <t>Ecuador</t>
        </is>
      </c>
      <c r="B12" s="15" t="inlineStr">
        <is>
          <t>Organizaciones juveniles</t>
        </is>
      </c>
      <c r="C12" s="73" t="inlineStr">
        <is>
          <t>Organizaciones juveniles de la sociedad civil y voluntariado</t>
        </is>
      </c>
      <c r="D12" s="73" t="inlineStr">
        <is>
          <t>TECHO Ecuador</t>
        </is>
      </c>
      <c r="E12" s="73" t="n"/>
      <c r="F12" s="73" t="inlineStr">
        <is>
          <t>Dirección Nacional de Voluntariado y Desarrollo Comunitario</t>
        </is>
      </c>
      <c r="G12" s="18" t="inlineStr">
        <is>
          <t>https://ecuador.techo.org/</t>
        </is>
      </c>
      <c r="H12" s="73" t="inlineStr">
        <is>
          <t>Dirección General TECHO Ecuador</t>
        </is>
      </c>
      <c r="I12" s="73" t="inlineStr">
        <is>
          <t>593 9 7865 768 / +593 4 506 3676</t>
        </is>
      </c>
      <c r="J12" s="73" t="inlineStr">
        <is>
          <t>info.ecuador@techo.org</t>
        </is>
      </c>
      <c r="K12" s="18" t="inlineStr">
        <is>
          <t>https://ecuador.techo.org/contacto/</t>
        </is>
      </c>
      <c r="L12" s="58" t="inlineStr">
        <is>
          <t>CONFIRMADO</t>
        </is>
      </c>
      <c r="M12" s="30" t="n"/>
    </row>
    <row r="13" ht="30" customHeight="1" s="182">
      <c r="A13" s="42" t="inlineStr">
        <is>
          <t>Ecuador</t>
        </is>
      </c>
      <c r="B13" s="15" t="inlineStr">
        <is>
          <t>Organizaciones juveniles</t>
        </is>
      </c>
      <c r="C13" s="73" t="inlineStr">
        <is>
          <t>Organizaciones juveniles de la sociedad civil y voluntariado</t>
        </is>
      </c>
      <c r="D13" s="73" t="inlineStr">
        <is>
          <t>Asociación de Scouts del Ecuador (ASE)</t>
        </is>
      </c>
      <c r="E13" s="73" t="n"/>
      <c r="F13" s="143" t="inlineStr">
        <is>
          <t>Oficina Scout Nacional / Dirección de Comunicación y Juventud</t>
        </is>
      </c>
      <c r="G13" s="18" t="inlineStr">
        <is>
          <t>https://scoutsecuador.org/</t>
        </is>
      </c>
      <c r="H13" s="143" t="inlineStr">
        <is>
          <t>Dirección Ejecutiva Nacional de Scouts Ecuador</t>
        </is>
      </c>
      <c r="I13" s="143" t="inlineStr">
        <is>
          <t>593 2 226 6629</t>
        </is>
      </c>
      <c r="J13" s="143" t="inlineStr">
        <is>
          <t>comunicaciones@scoutsecuador.org</t>
        </is>
      </c>
      <c r="K13" s="18" t="inlineStr">
        <is>
          <t>https://scoutsecuador.org/</t>
        </is>
      </c>
      <c r="L13" s="58" t="inlineStr">
        <is>
          <t>CONFIRMADO</t>
        </is>
      </c>
      <c r="M13" s="30" t="n"/>
    </row>
    <row r="14" ht="30" customHeight="1" s="182">
      <c r="A14" s="42" t="inlineStr">
        <is>
          <t>Ecuador</t>
        </is>
      </c>
      <c r="B14" s="15" t="inlineStr">
        <is>
          <t>Organizaciones juveniles</t>
        </is>
      </c>
      <c r="C14" s="73" t="inlineStr">
        <is>
          <t>Organizaciones juveniles de la sociedad civil y voluntariado</t>
        </is>
      </c>
      <c r="D14" s="73" t="inlineStr">
        <is>
          <t>Programa de Juventud - Cruz Roja Ecuatoriana (CRE)</t>
        </is>
      </c>
      <c r="E14" s="73" t="n"/>
      <c r="F14" s="73" t="inlineStr">
        <is>
          <t>Coordinación Nacional del Programa de Juventud CRE</t>
        </is>
      </c>
      <c r="G14" s="18" t="inlineStr">
        <is>
          <t>https://www.cruzroja.org.ec/</t>
        </is>
      </c>
      <c r="H14" s="143" t="inlineStr">
        <is>
          <t>Coordinador Nacional de Juventud</t>
        </is>
      </c>
      <c r="I14" s="143" t="inlineStr">
        <is>
          <t>593 2 258 2482 / +593 9 8725 9529</t>
        </is>
      </c>
      <c r="J14" s="143" t="inlineStr">
        <is>
          <t>juventud@cruzroja.org.ec</t>
        </is>
      </c>
      <c r="K14" s="18" t="inlineStr">
        <is>
          <t>https://www.cruzroja.org.ec/</t>
        </is>
      </c>
      <c r="L14" s="58" t="inlineStr">
        <is>
          <t>CONFIRMADO</t>
        </is>
      </c>
      <c r="M14" s="30" t="n"/>
    </row>
    <row r="15" ht="30" customHeight="1" s="182">
      <c r="A15" s="42" t="inlineStr">
        <is>
          <t>Ecuador</t>
        </is>
      </c>
      <c r="B15" s="15" t="inlineStr">
        <is>
          <t>Organizaciones juveniles</t>
        </is>
      </c>
      <c r="C15" s="73" t="inlineStr">
        <is>
          <t>Organizaciones juveniles de la sociedad civil y voluntariado</t>
        </is>
      </c>
      <c r="D15" s="73" t="inlineStr">
        <is>
          <t>Asociación Cristiana de Jóvenes del Ecuador (ACJ / YMCA Ecuador)</t>
        </is>
      </c>
      <c r="E15" s="73" t="n"/>
      <c r="F15" s="73" t="inlineStr">
        <is>
          <t>Dirección de Programas Juveniles y Desarrollo Social</t>
        </is>
      </c>
      <c r="G15" s="18" t="inlineStr">
        <is>
          <t>https://ymcaecuador.org/</t>
        </is>
      </c>
      <c r="H15" s="143" t="inlineStr">
        <is>
          <t>Dirección General YMCA Ecuador</t>
        </is>
      </c>
      <c r="I15" s="143" t="inlineStr">
        <is>
          <t>593 9 3965 6235</t>
        </is>
      </c>
      <c r="J15" s="143" t="inlineStr">
        <is>
          <t>info@ymcaecuador.org</t>
        </is>
      </c>
      <c r="K15" s="18" t="inlineStr">
        <is>
          <t>https://ymcaecuador.org/contacto/</t>
        </is>
      </c>
      <c r="L15" s="58" t="inlineStr">
        <is>
          <t>CONFIRMADO</t>
        </is>
      </c>
      <c r="M15" s="30" t="n"/>
    </row>
    <row r="16" ht="30" customHeight="1" s="182">
      <c r="A16" s="42" t="inlineStr">
        <is>
          <t>Ecuador</t>
        </is>
      </c>
      <c r="B16" s="15" t="inlineStr">
        <is>
          <t>Organizaciones juveniles</t>
        </is>
      </c>
      <c r="C16" s="73" t="inlineStr">
        <is>
          <t>Organizaciones juveniles de la sociedad civil y voluntariado</t>
        </is>
      </c>
      <c r="D16" s="73" t="inlineStr">
        <is>
          <t>Consejo Nacional para la Igualdad Intergeneracional (CNII) - Dirección de Juventudes</t>
        </is>
      </c>
      <c r="E16" s="73" t="n"/>
      <c r="F16" s="73" t="inlineStr">
        <is>
          <t>Dirección Técnica de Juventud y Articulación con Organizaciones Juveniles</t>
        </is>
      </c>
      <c r="G16" s="18" t="inlineStr">
        <is>
          <t>https://www.igualdad.gob.ec/</t>
        </is>
      </c>
      <c r="H16" s="143" t="inlineStr">
        <is>
          <t>Secretaría Técnica del CNII / Red de Consejos Consultivos de Jóvenes</t>
        </is>
      </c>
      <c r="I16" s="143" t="inlineStr">
        <is>
          <t>593 2 395 7210</t>
        </is>
      </c>
      <c r="J16" s="143" t="inlineStr">
        <is>
          <t>comunicacion@igualdad.gob.ec</t>
        </is>
      </c>
      <c r="K16" s="18" t="inlineStr">
        <is>
          <t>https://www.igualdad.gob.ec/directorio-servicios-sociales/</t>
        </is>
      </c>
      <c r="L16" s="58" t="inlineStr">
        <is>
          <t>CONFIRMADO</t>
        </is>
      </c>
      <c r="M16" s="30" t="n"/>
    </row>
    <row r="17" ht="30" customHeight="1" s="182">
      <c r="A17" s="42" t="inlineStr">
        <is>
          <t>Ecuador</t>
        </is>
      </c>
      <c r="B17" s="15" t="inlineStr">
        <is>
          <t>Sindicatos y confederaciones de trabajadores</t>
        </is>
      </c>
      <c r="C17" s="73" t="inlineStr">
        <is>
          <t>Centrales sindicales y confederaciones de trabajadores</t>
        </is>
      </c>
      <c r="D17" s="73" t="inlineStr">
        <is>
          <t>Confederación Ecuatoriana de Organizaciones Clasistas Unitarias de Trabajadores (CEDOCUT)</t>
        </is>
      </c>
      <c r="E17" s="73" t="n"/>
      <c r="F17" s="73" t="inlineStr">
        <is>
          <t>Presidencia / Comité Ejecutivo Nacional</t>
        </is>
      </c>
      <c r="G17" s="18" t="inlineStr">
        <is>
          <t>https://cedocut.org.ec/</t>
        </is>
      </c>
      <c r="H17" s="73" t="inlineStr">
        <is>
          <t>Mesías Tatamuez Moreno (Presidente Nacional)</t>
        </is>
      </c>
      <c r="I17" s="73" t="inlineStr">
        <is>
          <t>593 2 295 8838 / +593 98 458 4936</t>
        </is>
      </c>
      <c r="J17" s="143" t="inlineStr">
        <is>
          <t>presidenciacedocut@gmail.com</t>
        </is>
      </c>
      <c r="K17" s="18" t="inlineStr">
        <is>
          <t>https://cedocut.org.ec/seccion/filiales/</t>
        </is>
      </c>
      <c r="L17" s="58" t="inlineStr">
        <is>
          <t>CONFIRMADO</t>
        </is>
      </c>
      <c r="M17" s="30" t="n"/>
    </row>
    <row r="18" ht="30" customHeight="1" s="182">
      <c r="A18" s="42" t="inlineStr">
        <is>
          <t>Ecuador</t>
        </is>
      </c>
      <c r="B18" s="15" t="inlineStr">
        <is>
          <t>Sindicatos y confederaciones de trabajadores</t>
        </is>
      </c>
      <c r="C18" s="73" t="inlineStr">
        <is>
          <t>Centrales sindicales y confederaciones de trabajadores</t>
        </is>
      </c>
      <c r="D18" s="73" t="inlineStr">
        <is>
          <t>Confederación Ecuatoriana de Organizaciones Sindicales Libres (CEOSL)</t>
        </is>
      </c>
      <c r="E18" s="73" t="n"/>
      <c r="F18" s="73" t="inlineStr">
        <is>
          <t>Secretaría Ejecutiva / Comité Ejecutivo</t>
        </is>
      </c>
      <c r="G18" s="18" t="inlineStr">
        <is>
          <t>https://ceosl.ec/</t>
        </is>
      </c>
      <c r="H18" s="28" t="inlineStr">
        <is>
          <t>no disponible públicamente</t>
        </is>
      </c>
      <c r="I18" s="28" t="inlineStr">
        <is>
          <t>no disponible públicamente</t>
        </is>
      </c>
      <c r="J18" s="28" t="inlineStr">
        <is>
          <t>no disponible públicamente</t>
        </is>
      </c>
      <c r="K18" s="18" t="inlineStr">
        <is>
          <t>https://ceosl.ec/comite-ejecutivo/</t>
        </is>
      </c>
      <c r="L18" s="186" t="inlineStr">
        <is>
          <t>VERIFICADO CON OBSERVACIONES</t>
        </is>
      </c>
      <c r="M18" s="30" t="inlineStr">
        <is>
          <t xml:space="preserve">Pagina caída </t>
        </is>
      </c>
    </row>
    <row r="19" ht="30" customHeight="1" s="182">
      <c r="A19" s="42" t="inlineStr">
        <is>
          <t>Ecuador</t>
        </is>
      </c>
      <c r="B19" s="15" t="inlineStr">
        <is>
          <t>Sindicatos y confederaciones de trabajadores</t>
        </is>
      </c>
      <c r="C19" s="73" t="inlineStr">
        <is>
          <t>Centrales sindicales y confederaciones de trabajadores</t>
        </is>
      </c>
      <c r="D19" s="73" t="inlineStr">
        <is>
          <t>Confederación de Trabajadores del Ecuador (CTE)</t>
        </is>
      </c>
      <c r="E19" s="73" t="n"/>
      <c r="F19" s="73" t="inlineStr">
        <is>
          <t>Presidencia / Comité Central Dirigencial</t>
        </is>
      </c>
      <c r="G19" s="18" t="inlineStr">
        <is>
          <t>https://www.cte.org.ec/</t>
        </is>
      </c>
      <c r="H19" s="28" t="inlineStr">
        <is>
          <t>no disponible públicamente</t>
        </is>
      </c>
      <c r="I19" s="143" t="inlineStr">
        <is>
          <t xml:space="preserve">022520456 - 022520445 </t>
        </is>
      </c>
      <c r="J19" s="28" t="inlineStr">
        <is>
          <t>no disponible públicamente</t>
        </is>
      </c>
      <c r="K19" s="18" t="inlineStr">
        <is>
          <t>https://www.cte.org.ec/</t>
        </is>
      </c>
      <c r="L19" s="22" t="inlineStr">
        <is>
          <t>CORREGIDO</t>
        </is>
      </c>
      <c r="M19" s="30" t="n"/>
    </row>
    <row r="20" ht="30" customHeight="1" s="182">
      <c r="A20" s="42" t="inlineStr">
        <is>
          <t>Ecuador</t>
        </is>
      </c>
      <c r="B20" s="15" t="inlineStr">
        <is>
          <t>Sindicatos y confederaciones de trabajadores</t>
        </is>
      </c>
      <c r="C20" s="73" t="inlineStr">
        <is>
          <t>Centrales sindicales y confederaciones de trabajadores</t>
        </is>
      </c>
      <c r="D20" s="73" t="inlineStr">
        <is>
          <t>Frente Único de Trabajadores (FUT)</t>
        </is>
      </c>
      <c r="E20" s="73" t="n"/>
      <c r="F20" s="73" t="inlineStr">
        <is>
          <t>Presidencia Turnante del FUT</t>
        </is>
      </c>
      <c r="G20" s="185" t="inlineStr">
        <is>
          <t>https://fut.cl</t>
        </is>
      </c>
      <c r="H20" s="143" t="inlineStr">
        <is>
          <t>José Villavicencio (Presidente de Turno del FUT)</t>
        </is>
      </c>
      <c r="I20" s="73" t="inlineStr">
        <is>
          <t>593 2 295 8838</t>
        </is>
      </c>
      <c r="J20" s="73" t="inlineStr">
        <is>
          <t>frente.unitario.trabajadores@gmail.com</t>
        </is>
      </c>
      <c r="K20" s="18" t="inlineStr">
        <is>
          <t>https://www.facebook.com/frenteunitariodetrabajadores/</t>
        </is>
      </c>
      <c r="L20" s="22" t="inlineStr">
        <is>
          <t>CORREGIDO</t>
        </is>
      </c>
      <c r="M20" s="30" t="n"/>
    </row>
    <row r="21" ht="30" customHeight="1" s="182">
      <c r="A21" s="42" t="inlineStr">
        <is>
          <t>Ecuador</t>
        </is>
      </c>
      <c r="B21" s="15" t="inlineStr">
        <is>
          <t>Universidades públicas</t>
        </is>
      </c>
      <c r="C21" s="73" t="inlineStr">
        <is>
          <t>Educación Superior / Universidad Pública</t>
        </is>
      </c>
      <c r="D21" s="73" t="inlineStr">
        <is>
          <t>ESCUELA POLITÉCNICA NACIONAL (EPN)</t>
        </is>
      </c>
      <c r="E21" s="73" t="n"/>
      <c r="F21" s="73" t="inlineStr">
        <is>
          <t>Secretaría General</t>
        </is>
      </c>
      <c r="G21" s="18" t="inlineStr">
        <is>
          <t>https://www.epn.edu.ec/</t>
        </is>
      </c>
      <c r="H21" s="28" t="inlineStr">
        <is>
          <t>no disponible públicamente</t>
        </is>
      </c>
      <c r="I21" s="143" t="inlineStr">
        <is>
          <t>(+593) 2 2976 300</t>
        </is>
      </c>
      <c r="J21" s="224" t="inlineStr">
        <is>
          <t>info@epn.edu.ec</t>
        </is>
      </c>
      <c r="K21" s="18" t="inlineStr">
        <is>
          <t>https://www.epn.edu.ec/</t>
        </is>
      </c>
      <c r="L21" s="22" t="inlineStr">
        <is>
          <t>CORREGIDO</t>
        </is>
      </c>
      <c r="M21" s="30" t="n"/>
    </row>
    <row r="22" ht="30" customHeight="1" s="182">
      <c r="A22" s="42" t="inlineStr">
        <is>
          <t>Ecuador</t>
        </is>
      </c>
      <c r="B22" s="15" t="inlineStr">
        <is>
          <t>Universidades públicas</t>
        </is>
      </c>
      <c r="C22" s="73" t="inlineStr">
        <is>
          <t>Educación Superior / Universidad Pública</t>
        </is>
      </c>
      <c r="D22" s="73" t="inlineStr">
        <is>
          <t>ESCUELA SUPERIOR POLITÉCNICA DE CHIMBORAZO (ESPOCH)</t>
        </is>
      </c>
      <c r="E22" s="73" t="n"/>
      <c r="F22" s="73" t="inlineStr">
        <is>
          <t>Secretaría General</t>
        </is>
      </c>
      <c r="G22" s="18" t="inlineStr">
        <is>
          <t>https://www.espoch.edu.ec/</t>
        </is>
      </c>
      <c r="H22" s="143" t="inlineStr">
        <is>
          <t>Secretaría General ESPOCH</t>
        </is>
      </c>
      <c r="I22" s="143" t="inlineStr">
        <is>
          <t>(03) 2998-200</t>
        </is>
      </c>
      <c r="J22" s="143" t="inlineStr">
        <is>
          <t>info@espoch.edu.ec</t>
        </is>
      </c>
      <c r="K22" s="18" t="inlineStr">
        <is>
          <t>https://www.espoch.edu.ec/</t>
        </is>
      </c>
      <c r="L22" s="22" t="inlineStr">
        <is>
          <t>CORREGIDO</t>
        </is>
      </c>
      <c r="M22" s="30" t="n"/>
    </row>
    <row r="23" ht="30" customHeight="1" s="182">
      <c r="A23" s="42" t="inlineStr">
        <is>
          <t>Ecuador</t>
        </is>
      </c>
      <c r="B23" s="15" t="inlineStr">
        <is>
          <t>Universidades públicas</t>
        </is>
      </c>
      <c r="C23" s="73" t="inlineStr">
        <is>
          <t>Educación Superior / Universidad Pública</t>
        </is>
      </c>
      <c r="D23" s="73" t="inlineStr">
        <is>
          <t>ESCUELA SUPERIOR POLITÉCNICA AGROPECUARIA DE MANABÍ MANUEL FÉLIX LÓPEZ (ESPAM MFL)</t>
        </is>
      </c>
      <c r="E23" s="73" t="n"/>
      <c r="F23" s="73" t="inlineStr">
        <is>
          <t>Rectorado / Secretaría General</t>
        </is>
      </c>
      <c r="G23" s="18" t="inlineStr">
        <is>
          <t>https://www.espam.edu.ec/</t>
        </is>
      </c>
      <c r="H23" s="143" t="inlineStr">
        <is>
          <t>Campus Politécnico - Área de Bienestar</t>
        </is>
      </c>
      <c r="I23" s="143" t="inlineStr">
        <is>
          <t>(05) 2685-150</t>
        </is>
      </c>
      <c r="J23" s="146" t="inlineStr">
        <is>
          <t>bienestar@espam.edu.ec</t>
        </is>
      </c>
      <c r="K23" s="18" t="inlineStr">
        <is>
          <t>https://www.espam.edu.ec/web/universidad/Contactos.aspx</t>
        </is>
      </c>
      <c r="L23" s="22" t="inlineStr">
        <is>
          <t>CORREGIDO</t>
        </is>
      </c>
      <c r="M23" s="30" t="n"/>
    </row>
    <row r="24" ht="30" customHeight="1" s="182">
      <c r="A24" s="42" t="inlineStr">
        <is>
          <t>Ecuador</t>
        </is>
      </c>
      <c r="B24" s="15" t="inlineStr">
        <is>
          <t>Universidades públicas</t>
        </is>
      </c>
      <c r="C24" s="73" t="inlineStr">
        <is>
          <t>Educación Superior / Universidad Pública</t>
        </is>
      </c>
      <c r="D24" s="73" t="inlineStr">
        <is>
          <t>UNIVERSIDAD CENTRAL DEL ECUADOR (UCE)</t>
        </is>
      </c>
      <c r="E24" s="73" t="n"/>
      <c r="F24" s="73" t="inlineStr">
        <is>
          <t>Rectorado</t>
        </is>
      </c>
      <c r="G24" s="18" t="inlineStr">
        <is>
          <t>https://www.uce.edu.ec/</t>
        </is>
      </c>
      <c r="H24" s="28" t="inlineStr">
        <is>
          <t>no disponible públicamente</t>
        </is>
      </c>
      <c r="I24" s="143">
        <f>59322528810</f>
        <v/>
      </c>
      <c r="J24" s="143" t="inlineStr">
        <is>
          <t>informacion.ciudadana@uce.edu.ec</t>
        </is>
      </c>
      <c r="K24" s="18" t="inlineStr">
        <is>
          <t>https://www.uce.edu.ec/administrativos</t>
        </is>
      </c>
      <c r="L24" s="22" t="inlineStr">
        <is>
          <t>CORREGIDO</t>
        </is>
      </c>
      <c r="M24" s="30" t="n"/>
    </row>
    <row r="25" ht="30" customHeight="1" s="182">
      <c r="A25" s="42" t="inlineStr">
        <is>
          <t>Ecuador</t>
        </is>
      </c>
      <c r="B25" s="15" t="inlineStr">
        <is>
          <t>Universidades públicas</t>
        </is>
      </c>
      <c r="C25" s="73" t="inlineStr">
        <is>
          <t>Educación Superior / Universidad Pública</t>
        </is>
      </c>
      <c r="D25" s="73" t="inlineStr">
        <is>
          <t>UNIVERSIDAD DE GUAYAQUIL (UG)</t>
        </is>
      </c>
      <c r="E25" s="73" t="n"/>
      <c r="F25" s="73" t="inlineStr">
        <is>
          <t>Atención al Usuario / Secretaría General</t>
        </is>
      </c>
      <c r="G25" s="18" t="inlineStr">
        <is>
          <t>https://www.ug.edu.ec/</t>
        </is>
      </c>
      <c r="H25" s="28" t="inlineStr">
        <is>
          <t>no disponible públicamente</t>
        </is>
      </c>
      <c r="I25" s="28" t="inlineStr">
        <is>
          <t>no disponible públicamente</t>
        </is>
      </c>
      <c r="J25" s="28" t="inlineStr">
        <is>
          <t>no disponible públicamente</t>
        </is>
      </c>
      <c r="K25" s="18" t="inlineStr">
        <is>
          <t>https://www.ug.edu.ec/</t>
        </is>
      </c>
      <c r="L25" s="186" t="inlineStr">
        <is>
          <t>VERIFICADO CON OBSERVACIONES</t>
        </is>
      </c>
      <c r="M25" s="30" t="inlineStr">
        <is>
          <t xml:space="preserve">Ningúin dato en la páginaweb </t>
        </is>
      </c>
    </row>
    <row r="26" ht="30" customHeight="1" s="182">
      <c r="A26" s="42" t="inlineStr">
        <is>
          <t>Ecuador</t>
        </is>
      </c>
      <c r="B26" s="15" t="inlineStr">
        <is>
          <t>Universidades públicas</t>
        </is>
      </c>
      <c r="C26" s="73" t="inlineStr">
        <is>
          <t>Educación Superior / Universidad Pública</t>
        </is>
      </c>
      <c r="D26" s="73" t="inlineStr">
        <is>
          <t>UNIVERSIDAD DE CUENCA</t>
        </is>
      </c>
      <c r="E26" s="73" t="n"/>
      <c r="F26" s="73" t="inlineStr">
        <is>
          <t>Rectorado</t>
        </is>
      </c>
      <c r="G26" s="18" t="inlineStr">
        <is>
          <t>https://www.ucuenca.edu.ec/</t>
        </is>
      </c>
      <c r="H26" s="143" t="inlineStr">
        <is>
          <t>Vinculación</t>
        </is>
      </c>
      <c r="I26" s="143" t="inlineStr">
        <is>
          <t>07) 413 4520</t>
        </is>
      </c>
      <c r="J26" s="143" t="inlineStr">
        <is>
          <t>vinculacion.sociedad@ucuenca.edu.ec</t>
        </is>
      </c>
      <c r="K26" s="33" t="inlineStr">
        <is>
          <t>https://www.ucuenca.edu.ec/vinculacion/</t>
        </is>
      </c>
      <c r="L26" s="58" t="inlineStr">
        <is>
          <t>CONFIRMADO</t>
        </is>
      </c>
      <c r="M26" s="30" t="n"/>
    </row>
    <row r="27" ht="30" customHeight="1" s="182">
      <c r="A27" s="42" t="inlineStr">
        <is>
          <t>Ecuador</t>
        </is>
      </c>
      <c r="B27" s="15" t="inlineStr">
        <is>
          <t>Universidades públicas</t>
        </is>
      </c>
      <c r="C27" s="73" t="inlineStr">
        <is>
          <t>Educación Superior / Universidad Pública</t>
        </is>
      </c>
      <c r="D27" s="73" t="inlineStr">
        <is>
          <t>UNIVERSIDAD NACIONAL DE LOJA (UNL)</t>
        </is>
      </c>
      <c r="E27" s="73" t="n"/>
      <c r="F27" s="73" t="inlineStr">
        <is>
          <t>Secretaría General</t>
        </is>
      </c>
      <c r="G27" s="18" t="inlineStr">
        <is>
          <t>https://unl.edu.ec/</t>
        </is>
      </c>
      <c r="H27" s="28" t="inlineStr">
        <is>
          <t>no disponible públicamente</t>
        </is>
      </c>
      <c r="I27" s="143" t="inlineStr">
        <is>
          <t xml:space="preserve">07 2593550 </t>
        </is>
      </c>
      <c r="J27" s="143" t="inlineStr">
        <is>
          <t>comunicacion@unl.edu.ec</t>
        </is>
      </c>
      <c r="K27" s="18" t="inlineStr">
        <is>
          <t>https://unl.edu.ec/contactenos</t>
        </is>
      </c>
      <c r="L27" s="58" t="inlineStr">
        <is>
          <t>CONFIRMADO</t>
        </is>
      </c>
      <c r="M27" s="30" t="n"/>
    </row>
    <row r="28" ht="30" customHeight="1" s="182">
      <c r="A28" s="42" t="inlineStr">
        <is>
          <t>Ecuador</t>
        </is>
      </c>
      <c r="B28" s="15" t="inlineStr">
        <is>
          <t>Universidades públicas</t>
        </is>
      </c>
      <c r="C28" s="73" t="inlineStr">
        <is>
          <t>Educación Superior / Universidad Pública</t>
        </is>
      </c>
      <c r="D28" s="73" t="inlineStr">
        <is>
          <t>UNIVERSIDAD TÉCNICA DE MANABÍ (UTM)</t>
        </is>
      </c>
      <c r="E28" s="73" t="n"/>
      <c r="F28" s="73" t="inlineStr">
        <is>
          <t>Atención Ciudadana</t>
        </is>
      </c>
      <c r="G28" s="18" t="inlineStr">
        <is>
          <t>https://www.utm.edu.ec/</t>
        </is>
      </c>
      <c r="H28" s="28" t="inlineStr">
        <is>
          <t>no disponible públicamente</t>
        </is>
      </c>
      <c r="I28" s="138" t="inlineStr">
        <is>
          <t>(05) 2632-677</t>
        </is>
      </c>
      <c r="J28" s="28" t="inlineStr">
        <is>
          <t>no disponible públicamente</t>
        </is>
      </c>
      <c r="K28" s="18" t="inlineStr">
        <is>
          <t>https://www.utm.edu.ec/</t>
        </is>
      </c>
      <c r="L28" s="58" t="inlineStr">
        <is>
          <t>CONFIRMADO</t>
        </is>
      </c>
      <c r="M28" s="30" t="n"/>
    </row>
    <row r="29" ht="30" customHeight="1" s="182">
      <c r="A29" s="42" t="inlineStr">
        <is>
          <t>Ecuador</t>
        </is>
      </c>
      <c r="B29" s="15" t="inlineStr">
        <is>
          <t>Universidades públicas</t>
        </is>
      </c>
      <c r="C29" s="73" t="inlineStr">
        <is>
          <t>Educación Superior / Universidad Pública</t>
        </is>
      </c>
      <c r="D29" s="73" t="inlineStr">
        <is>
          <t>UNIVERSIDAD TÉCNICA DE AMBATO (UTA)</t>
        </is>
      </c>
      <c r="E29" s="73" t="n"/>
      <c r="F29" s="73" t="inlineStr">
        <is>
          <t>Secretaría General</t>
        </is>
      </c>
      <c r="G29" s="18" t="inlineStr">
        <is>
          <t>https://www.uta.edu.ec/</t>
        </is>
      </c>
      <c r="H29" s="143" t="inlineStr">
        <is>
          <t>BIENESTAR ESTUDIANTIL</t>
        </is>
      </c>
      <c r="I29" s="28" t="inlineStr">
        <is>
          <t>no disponible públicamente</t>
        </is>
      </c>
      <c r="J29" s="143" t="inlineStr">
        <is>
          <t>eva.romero@utm.edu.ec</t>
        </is>
      </c>
      <c r="K29" s="18" t="inlineStr">
        <is>
          <t>https://www.utm.edu.ec/la-universidad/directorios-utm/directorio-de-unidades-administrativas</t>
        </is>
      </c>
      <c r="L29" s="22" t="inlineStr">
        <is>
          <t>CORREGIDO</t>
        </is>
      </c>
      <c r="M29" s="30" t="n"/>
    </row>
    <row r="30" ht="30" customHeight="1" s="182">
      <c r="A30" s="42" t="inlineStr">
        <is>
          <t>Ecuador</t>
        </is>
      </c>
      <c r="B30" s="15" t="inlineStr">
        <is>
          <t>Universidades públicas</t>
        </is>
      </c>
      <c r="C30" s="73" t="inlineStr">
        <is>
          <t>Educación Superior / Universidad Pública</t>
        </is>
      </c>
      <c r="D30" s="73" t="inlineStr">
        <is>
          <t>UNIVERSIDAD TÉCNICA DE MACHALA (UTMACH)</t>
        </is>
      </c>
      <c r="E30" s="73" t="n"/>
      <c r="F30" s="73" t="inlineStr">
        <is>
          <t>Secretaría General</t>
        </is>
      </c>
      <c r="G30" s="18" t="inlineStr">
        <is>
          <t>https://www.utmachala.edu.ec/</t>
        </is>
      </c>
      <c r="H30" s="28" t="inlineStr">
        <is>
          <t>no disponible públicamente</t>
        </is>
      </c>
      <c r="I30" s="138" t="inlineStr">
        <is>
          <t xml:space="preserve">07 2593 180  </t>
        </is>
      </c>
      <c r="J30" s="28" t="inlineStr">
        <is>
          <t>no disponible públicamente</t>
        </is>
      </c>
      <c r="K30" s="18" t="inlineStr">
        <is>
          <t>https://www.utmachala.edu.ec/portalwp/index.php/campus-machala/</t>
        </is>
      </c>
      <c r="L30" s="22" t="inlineStr">
        <is>
          <t>CORREGIDO</t>
        </is>
      </c>
      <c r="M30" s="30" t="inlineStr">
        <is>
          <t xml:space="preserve">Pestaña contactános caída </t>
        </is>
      </c>
    </row>
    <row r="31" ht="30" customHeight="1" s="182">
      <c r="A31" s="42" t="inlineStr">
        <is>
          <t>Ecuador</t>
        </is>
      </c>
      <c r="B31" s="15" t="inlineStr">
        <is>
          <t>Universidades públicas</t>
        </is>
      </c>
      <c r="C31" s="73" t="inlineStr">
        <is>
          <t>Educación Superior / Universidad Pública</t>
        </is>
      </c>
      <c r="D31" s="73" t="inlineStr">
        <is>
          <t>UNIVERSIDAD TÉCNICA LUIS VARGAS TORRES DE ESMERALDAS (UTLVTE)</t>
        </is>
      </c>
      <c r="E31" s="73" t="n"/>
      <c r="F31" s="73" t="inlineStr">
        <is>
          <t>Secretaría General</t>
        </is>
      </c>
      <c r="G31" s="18" t="inlineStr">
        <is>
          <t>https://www.utelvt.edu.ec/</t>
        </is>
      </c>
      <c r="H31" s="28" t="inlineStr">
        <is>
          <t>no disponible públicamente</t>
        </is>
      </c>
      <c r="I31" s="143" t="inlineStr">
        <is>
          <t>2983362 - 2983365</t>
        </is>
      </c>
      <c r="J31" s="143" t="inlineStr">
        <is>
          <t>utmachala@utmachala.edu.ec</t>
        </is>
      </c>
      <c r="K31" s="18" t="inlineStr">
        <is>
          <t>https://www.utmachala.edu.ec/</t>
        </is>
      </c>
      <c r="L31" s="22" t="inlineStr">
        <is>
          <t>CORREGIDO</t>
        </is>
      </c>
      <c r="M31" s="30" t="n"/>
    </row>
    <row r="32" ht="30" customHeight="1" s="182">
      <c r="A32" s="42" t="inlineStr">
        <is>
          <t>Ecuador</t>
        </is>
      </c>
      <c r="B32" s="15" t="inlineStr">
        <is>
          <t>Universidades públicas</t>
        </is>
      </c>
      <c r="C32" s="73" t="inlineStr">
        <is>
          <t>Educación Superior / Universidad Pública</t>
        </is>
      </c>
      <c r="D32" s="73" t="inlineStr">
        <is>
          <t>UNIVERSIDAD TÉCNICA DE BABAHOYO (UTB)</t>
        </is>
      </c>
      <c r="E32" s="73" t="n"/>
      <c r="F32" s="73" t="inlineStr">
        <is>
          <t>Secretaría General</t>
        </is>
      </c>
      <c r="G32" s="18" t="inlineStr">
        <is>
          <t>https://www.utb.edu.ec/</t>
        </is>
      </c>
      <c r="H32" s="28" t="inlineStr">
        <is>
          <t>no disponible públicamente</t>
        </is>
      </c>
      <c r="I32" s="28" t="inlineStr">
        <is>
          <t>no disponible públicamente</t>
        </is>
      </c>
      <c r="J32" s="28" t="inlineStr">
        <is>
          <t>no disponible públicamente</t>
        </is>
      </c>
      <c r="K32" s="73" t="n"/>
      <c r="L32" s="186" t="inlineStr">
        <is>
          <t>VERIFICADO CON OBSERVACIONES</t>
        </is>
      </c>
      <c r="M32" s="30" t="inlineStr">
        <is>
          <t>Pestaña caída</t>
        </is>
      </c>
    </row>
    <row r="33" ht="30" customHeight="1" s="182">
      <c r="A33" s="42" t="inlineStr">
        <is>
          <t>Ecuador</t>
        </is>
      </c>
      <c r="B33" s="15" t="inlineStr">
        <is>
          <t>Universidades públicas</t>
        </is>
      </c>
      <c r="C33" s="73" t="inlineStr">
        <is>
          <t>Educación Superior / Universidad Pública</t>
        </is>
      </c>
      <c r="D33" s="73" t="inlineStr">
        <is>
          <t>UNIVERSIDAD TÉCNICA ESTATAL DE QUEVEDO (UTEQ)</t>
        </is>
      </c>
      <c r="E33" s="73" t="n"/>
      <c r="F33" s="73" t="inlineStr">
        <is>
          <t>Secretaría General</t>
        </is>
      </c>
      <c r="G33" s="18" t="inlineStr">
        <is>
          <t>https://www.uteq.edu.ec/</t>
        </is>
      </c>
      <c r="H33" s="28" t="inlineStr">
        <is>
          <t>no disponible públicamente</t>
        </is>
      </c>
      <c r="I33" s="138" t="inlineStr">
        <is>
          <t>(+593) 5 3702-220</t>
        </is>
      </c>
      <c r="J33" s="224" t="inlineStr">
        <is>
          <t>info@uteq.edu.ec</t>
        </is>
      </c>
      <c r="K33" s="18" t="inlineStr">
        <is>
          <t>https://www.uteq.edu.ec/</t>
        </is>
      </c>
      <c r="L33" s="22" t="inlineStr">
        <is>
          <t>CORREGIDO</t>
        </is>
      </c>
      <c r="M33" s="30" t="n"/>
    </row>
    <row r="34" ht="30" customHeight="1" s="182">
      <c r="A34" s="42" t="inlineStr">
        <is>
          <t>Ecuador</t>
        </is>
      </c>
      <c r="B34" s="15" t="inlineStr">
        <is>
          <t>Universidades públicas</t>
        </is>
      </c>
      <c r="C34" s="73" t="inlineStr">
        <is>
          <t>Educación Superior / Universidad Pública</t>
        </is>
      </c>
      <c r="D34" s="73" t="inlineStr">
        <is>
          <t>UNIVERSIDAD TÉCNICA DEL NORTE (UTN)</t>
        </is>
      </c>
      <c r="E34" s="73" t="n"/>
      <c r="F34" s="73" t="inlineStr">
        <is>
          <t>Secretaría General</t>
        </is>
      </c>
      <c r="G34" s="18" t="inlineStr">
        <is>
          <t>https://www.utn.edu.ec/</t>
        </is>
      </c>
      <c r="H34" s="28" t="inlineStr">
        <is>
          <t>no disponible públicamente</t>
        </is>
      </c>
      <c r="I34" s="138" t="inlineStr">
        <is>
          <t>(06) 2997-800</t>
        </is>
      </c>
      <c r="J34" s="138" t="inlineStr">
        <is>
          <t>info@utn.edu.ec</t>
        </is>
      </c>
      <c r="K34" s="18" t="inlineStr">
        <is>
          <t>https://www.utn.edu.ec/</t>
        </is>
      </c>
      <c r="L34" s="22" t="inlineStr">
        <is>
          <t>CORREGIDO</t>
        </is>
      </c>
      <c r="M34" s="30" t="n"/>
    </row>
    <row r="35" ht="30" customHeight="1" s="182">
      <c r="A35" s="42" t="inlineStr">
        <is>
          <t>Ecuador</t>
        </is>
      </c>
      <c r="B35" s="15" t="inlineStr">
        <is>
          <t>Universidades públicas</t>
        </is>
      </c>
      <c r="C35" s="73" t="inlineStr">
        <is>
          <t>Educación Superior / Universidad Pública</t>
        </is>
      </c>
      <c r="D35" s="73" t="inlineStr">
        <is>
          <t>UNIVERSIDAD LAICA ELOY ALFARO DE MANABÍ (ULEAM)</t>
        </is>
      </c>
      <c r="E35" s="73" t="n"/>
      <c r="F35" s="73" t="inlineStr">
        <is>
          <t>Secretaría General</t>
        </is>
      </c>
      <c r="G35" s="18" t="inlineStr">
        <is>
          <t>https://www.uleam.edu.ec/</t>
        </is>
      </c>
      <c r="H35" s="28" t="inlineStr">
        <is>
          <t>no disponible públicamente</t>
        </is>
      </c>
      <c r="I35" s="138">
        <f>59352620288</f>
        <v/>
      </c>
      <c r="J35" s="28" t="inlineStr">
        <is>
          <t>no disponible públicamente</t>
        </is>
      </c>
      <c r="K35" s="18" t="inlineStr">
        <is>
          <t>https://www.uleam.edu.ec/</t>
        </is>
      </c>
      <c r="L35" s="22" t="inlineStr">
        <is>
          <t>CORREGIDO</t>
        </is>
      </c>
      <c r="M35" s="30" t="n"/>
    </row>
    <row r="36" ht="30" customHeight="1" s="182">
      <c r="A36" s="42" t="inlineStr">
        <is>
          <t>Ecuador</t>
        </is>
      </c>
      <c r="B36" s="15" t="inlineStr">
        <is>
          <t>Universidades públicas</t>
        </is>
      </c>
      <c r="C36" s="73" t="inlineStr">
        <is>
          <t>Educación Superior / Universidad Pública</t>
        </is>
      </c>
      <c r="D36" s="73" t="inlineStr">
        <is>
          <t>UNIVERSIDAD ESTATAL DE BOLÍVAR (UEB)</t>
        </is>
      </c>
      <c r="E36" s="73" t="n"/>
      <c r="F36" s="73" t="inlineStr">
        <is>
          <t>Secretaría General</t>
        </is>
      </c>
      <c r="G36" s="18" t="inlineStr">
        <is>
          <t>https://www.ueb.edu.ec/</t>
        </is>
      </c>
      <c r="H36" s="28" t="inlineStr">
        <is>
          <t>no disponible públicamente</t>
        </is>
      </c>
      <c r="I36" s="138" t="inlineStr">
        <is>
          <t>(+593) 32206010</t>
        </is>
      </c>
      <c r="J36" s="143" t="inlineStr">
        <is>
          <t>info@ueb.edu.ec</t>
        </is>
      </c>
      <c r="K36" s="73" t="inlineStr">
        <is>
          <t>https://www.ueb.edu.ec/</t>
        </is>
      </c>
      <c r="L36" s="22" t="inlineStr">
        <is>
          <t>CORREGIDO</t>
        </is>
      </c>
      <c r="M36" s="30" t="n"/>
    </row>
    <row r="37" ht="30" customHeight="1" s="182">
      <c r="A37" s="42" t="inlineStr">
        <is>
          <t>Ecuador</t>
        </is>
      </c>
      <c r="B37" s="15" t="inlineStr">
        <is>
          <t>Universidades públicas</t>
        </is>
      </c>
      <c r="C37" s="73" t="inlineStr">
        <is>
          <t>Educación Superior / Universidad Pública</t>
        </is>
      </c>
      <c r="D37" s="73" t="inlineStr">
        <is>
          <t>UNIVERSIDAD AGRARIA DEL ECUADOR (UAE)</t>
        </is>
      </c>
      <c r="E37" s="73" t="n"/>
      <c r="F37" s="73" t="inlineStr">
        <is>
          <t>Rectorado</t>
        </is>
      </c>
      <c r="G37" s="18" t="inlineStr">
        <is>
          <t>https://www.uagraria.edu.ec/</t>
        </is>
      </c>
      <c r="H37" s="28" t="inlineStr">
        <is>
          <t>no disponible públicamente</t>
        </is>
      </c>
      <c r="I37" s="73" t="inlineStr">
        <is>
          <t>(04) 2439995 - 2439394</t>
        </is>
      </c>
      <c r="J37" s="28" t="inlineStr">
        <is>
          <t>no disponible públicamente</t>
        </is>
      </c>
      <c r="K37" s="18" t="inlineStr">
        <is>
          <t>https://admision.uagraria.edu.ec/documentacion.html</t>
        </is>
      </c>
      <c r="L37" s="22" t="inlineStr">
        <is>
          <t>CORREGIDO</t>
        </is>
      </c>
      <c r="M37" s="30" t="n"/>
    </row>
    <row r="38" ht="30" customHeight="1" s="182">
      <c r="A38" s="42" t="inlineStr">
        <is>
          <t>Ecuador</t>
        </is>
      </c>
      <c r="B38" s="56" t="inlineStr">
        <is>
          <t>Universidades públicas</t>
        </is>
      </c>
      <c r="C38" s="80" t="inlineStr">
        <is>
          <t>Educación Superior / Universidad Pública</t>
        </is>
      </c>
      <c r="D38" s="80" t="inlineStr">
        <is>
          <t>UNIVERSIDAD NACIONAL DE CHIMBORAZO (UNACH)</t>
        </is>
      </c>
      <c r="E38" s="80" t="n"/>
      <c r="F38" s="80" t="inlineStr">
        <is>
          <t>Secretaría General</t>
        </is>
      </c>
      <c r="G38" s="95" t="inlineStr">
        <is>
          <t>https://www.unach.edu.ec/</t>
        </is>
      </c>
      <c r="H38" s="28" t="inlineStr">
        <is>
          <t>no disponible públicamente</t>
        </is>
      </c>
      <c r="I38" s="80" t="inlineStr">
        <is>
          <t>(03) 3730-880</t>
        </is>
      </c>
      <c r="J38" s="113" t="inlineStr">
        <is>
          <t>info@unach.edu.ec</t>
        </is>
      </c>
      <c r="K38" s="95" t="inlineStr">
        <is>
          <t>https://www.unach.edu.ec/</t>
        </is>
      </c>
      <c r="L38" s="22" t="inlineStr">
        <is>
          <t>CORREGIDO</t>
        </is>
      </c>
      <c r="M38" s="82" t="n"/>
    </row>
    <row r="39" ht="30" customHeight="1" s="182">
      <c r="A39" s="42" t="inlineStr">
        <is>
          <t>Ecuador</t>
        </is>
      </c>
      <c r="B39" s="56" t="inlineStr">
        <is>
          <t>Universidades públicas</t>
        </is>
      </c>
      <c r="C39" s="98" t="inlineStr">
        <is>
          <t>Educación Superior / Universidad Pública</t>
        </is>
      </c>
      <c r="D39" s="98" t="inlineStr">
        <is>
          <t>UNIVERSIDAD TÉCNICA DE COTOPAXI (UTC)</t>
        </is>
      </c>
      <c r="E39" s="98" t="n"/>
      <c r="F39" s="98" t="inlineStr">
        <is>
          <t>Secretaría General</t>
        </is>
      </c>
      <c r="G39" s="100" t="inlineStr">
        <is>
          <t>https://www.utc.edu.ec/</t>
        </is>
      </c>
      <c r="H39" s="28" t="inlineStr">
        <is>
          <t>no disponible públicamente</t>
        </is>
      </c>
      <c r="I39" s="98" t="inlineStr">
        <is>
          <t xml:space="preserve">(593) 03 2252205 / 03 2252307 / 03 2252346. </t>
        </is>
      </c>
      <c r="J39" s="179" t="inlineStr">
        <is>
          <t>comunicacion.institucional@utc.edu.ec</t>
        </is>
      </c>
      <c r="K39" s="100" t="inlineStr">
        <is>
          <t>https://www.utc.edu.ec/</t>
        </is>
      </c>
      <c r="L39" s="22" t="inlineStr">
        <is>
          <t>CORREGIDO</t>
        </is>
      </c>
      <c r="M39" s="86" t="n"/>
    </row>
    <row r="40" ht="15.75" customHeight="1" s="182">
      <c r="A40" s="42" t="inlineStr">
        <is>
          <t>Ecuador</t>
        </is>
      </c>
      <c r="B40" s="56" t="inlineStr">
        <is>
          <t>Universidades públicas</t>
        </is>
      </c>
      <c r="C40" s="98" t="inlineStr">
        <is>
          <t>Educación Superior / Universidad Pública</t>
        </is>
      </c>
      <c r="D40" s="98" t="inlineStr">
        <is>
          <t>ESCUELA SUPERIOR POLITÉCNICA DEL LITORAL (ESPOL)</t>
        </is>
      </c>
      <c r="E40" s="98" t="n"/>
      <c r="F40" s="98" t="inlineStr">
        <is>
          <t>Rectorado</t>
        </is>
      </c>
      <c r="G40" s="100" t="inlineStr">
        <is>
          <t>https://www.espol.edu.ec/</t>
        </is>
      </c>
      <c r="H40" s="28" t="inlineStr">
        <is>
          <t>no disponible públicamente</t>
        </is>
      </c>
      <c r="I40" s="98" t="inlineStr">
        <is>
          <t>593-4 2269 269</t>
        </is>
      </c>
      <c r="J40" s="199" t="inlineStr">
        <is>
          <t>admision@espol.edu.ec</t>
        </is>
      </c>
      <c r="K40" s="100" t="inlineStr">
        <is>
          <t>https://www.espol.edu.ec/es/contactanos</t>
        </is>
      </c>
      <c r="L40" s="22" t="inlineStr">
        <is>
          <t>CORREGIDO</t>
        </is>
      </c>
      <c r="M40" s="86" t="n"/>
    </row>
    <row r="41" ht="15.75" customHeight="1" s="182">
      <c r="A41" s="42" t="inlineStr">
        <is>
          <t>Ecuador</t>
        </is>
      </c>
      <c r="B41" s="56" t="inlineStr">
        <is>
          <t>Universidades públicas</t>
        </is>
      </c>
      <c r="C41" s="98" t="inlineStr">
        <is>
          <t>Educación Superior / Posgrado Público</t>
        </is>
      </c>
      <c r="D41" s="98" t="inlineStr">
        <is>
          <t>UNIVERSIDAD ANDINA SIMÓN BOLÍVAR (UASB)</t>
        </is>
      </c>
      <c r="E41" s="98" t="n"/>
      <c r="F41" s="98" t="inlineStr">
        <is>
          <t>Secretaría General</t>
        </is>
      </c>
      <c r="G41" s="100" t="inlineStr">
        <is>
          <t>https://www.uasb.edu.ec/</t>
        </is>
      </c>
      <c r="H41" s="28" t="inlineStr">
        <is>
          <t>no disponible públicamente</t>
        </is>
      </c>
      <c r="I41" s="98" t="inlineStr">
        <is>
          <t>3228085 / 2993600</t>
        </is>
      </c>
      <c r="J41" s="98" t="inlineStr">
        <is>
          <t>admision@uasb.edu.ec</t>
        </is>
      </c>
      <c r="K41" s="100" t="inlineStr">
        <is>
          <t>https://www.uasb.edu.ec/admisiones/contacto/</t>
        </is>
      </c>
      <c r="L41" s="22" t="inlineStr">
        <is>
          <t>CORREGIDO</t>
        </is>
      </c>
      <c r="M41" s="86" t="n"/>
    </row>
    <row r="42" ht="15.75" customHeight="1" s="182">
      <c r="A42" s="42" t="inlineStr">
        <is>
          <t>Ecuador</t>
        </is>
      </c>
      <c r="B42" s="56" t="inlineStr">
        <is>
          <t>Universidades públicas</t>
        </is>
      </c>
      <c r="C42" s="98" t="inlineStr">
        <is>
          <t>Educación Superior / Universidad Pública</t>
        </is>
      </c>
      <c r="D42" s="98" t="inlineStr">
        <is>
          <t>UNIVERSIDAD ESTATAL PENÍNSULA DE SANTA ELENA (UPSE)</t>
        </is>
      </c>
      <c r="E42" s="98" t="n"/>
      <c r="F42" s="98" t="inlineStr">
        <is>
          <t>Secretaría General</t>
        </is>
      </c>
      <c r="G42" s="100" t="inlineStr">
        <is>
          <t>https://www.upse.edu.ec/</t>
        </is>
      </c>
      <c r="H42" s="181" t="inlineStr">
        <is>
          <t>no disponible públicamente</t>
        </is>
      </c>
      <c r="I42" s="98" t="inlineStr">
        <is>
          <t xml:space="preserve">(04)2781732 / 2781738 </t>
        </is>
      </c>
      <c r="J42" s="98" t="inlineStr">
        <is>
          <t>secretaria_general@upse.edu.ec</t>
        </is>
      </c>
      <c r="K42" s="100" t="inlineStr">
        <is>
          <t>https://www.upse.edu.ec/secretariageneral/</t>
        </is>
      </c>
      <c r="L42" s="22" t="inlineStr">
        <is>
          <t>CORREGIDO</t>
        </is>
      </c>
      <c r="M42" s="86" t="n"/>
    </row>
    <row r="43" ht="15.75" customHeight="1" s="182">
      <c r="A43" s="42" t="inlineStr">
        <is>
          <t>Ecuador</t>
        </is>
      </c>
      <c r="B43" s="56" t="inlineStr">
        <is>
          <t>Universidades públicas</t>
        </is>
      </c>
      <c r="C43" s="98" t="inlineStr">
        <is>
          <t>Educación Superior / Universidad Pública</t>
        </is>
      </c>
      <c r="D43" s="98" t="inlineStr">
        <is>
          <t>UNIVERSIDAD ESTATAL DE MILAGRO (UNEMI)</t>
        </is>
      </c>
      <c r="E43" s="98" t="n"/>
      <c r="F43" s="98" t="inlineStr">
        <is>
          <t>Secretaría General</t>
        </is>
      </c>
      <c r="G43" s="100" t="inlineStr">
        <is>
          <t>https://www.unemi.edu.ec/</t>
        </is>
      </c>
      <c r="H43" s="181" t="inlineStr">
        <is>
          <t>no disponible públicamente</t>
        </is>
      </c>
      <c r="I43" s="181" t="inlineStr">
        <is>
          <t>no disponible públicamente</t>
        </is>
      </c>
      <c r="J43" s="181" t="inlineStr">
        <is>
          <t>no disponible públicamente</t>
        </is>
      </c>
      <c r="K43" s="100" t="inlineStr">
        <is>
          <t>https://www.unemi.edu.ec/</t>
        </is>
      </c>
      <c r="L43" s="22" t="inlineStr">
        <is>
          <t>CORREGIDO</t>
        </is>
      </c>
      <c r="M43" s="86" t="n"/>
    </row>
    <row r="44" ht="15.75" customHeight="1" s="182">
      <c r="A44" s="42" t="inlineStr">
        <is>
          <t>Ecuador</t>
        </is>
      </c>
      <c r="B44" s="56" t="inlineStr">
        <is>
          <t>Universidades públicas</t>
        </is>
      </c>
      <c r="C44" s="98" t="inlineStr">
        <is>
          <t>Educación Superior / Universidad Pública</t>
        </is>
      </c>
      <c r="D44" s="98" t="inlineStr">
        <is>
          <t>UNIVERSIDAD ESTATAL DEL SUR DE MANABÍ (UNESUM)</t>
        </is>
      </c>
      <c r="E44" s="98" t="n"/>
      <c r="F44" s="98" t="inlineStr">
        <is>
          <t>Secretaría General</t>
        </is>
      </c>
      <c r="G44" s="100" t="inlineStr">
        <is>
          <t>https://www.unesum.edu.ec/</t>
        </is>
      </c>
      <c r="H44" s="181" t="inlineStr">
        <is>
          <t>no disponible públicamente</t>
        </is>
      </c>
      <c r="I44" s="98" t="inlineStr">
        <is>
          <t>05-2600229 / 05-2601657 / 05-2600223</t>
        </is>
      </c>
      <c r="J44" s="179" t="inlineStr">
        <is>
          <t>asistencia@unesum.edu.ec</t>
        </is>
      </c>
      <c r="K44" s="100" t="inlineStr">
        <is>
          <t>https://unesum.edu.ec/</t>
        </is>
      </c>
      <c r="L44" s="22" t="inlineStr">
        <is>
          <t>CORREGIDO</t>
        </is>
      </c>
      <c r="M44" s="86" t="n"/>
    </row>
    <row r="45" ht="15.75" customHeight="1" s="182">
      <c r="A45" s="42" t="inlineStr">
        <is>
          <t>Ecuador</t>
        </is>
      </c>
      <c r="B45" s="56" t="inlineStr">
        <is>
          <t>Universidades públicas</t>
        </is>
      </c>
      <c r="C45" s="98" t="inlineStr">
        <is>
          <t>Educación Superior / Posgrado Público</t>
        </is>
      </c>
      <c r="D45" s="98" t="inlineStr">
        <is>
          <t>FACULTAD LATINOAMERICANA DE CIENCIAS SOCIALES (FLACSO ECUADOR)</t>
        </is>
      </c>
      <c r="E45" s="98" t="n"/>
      <c r="F45" s="98" t="inlineStr">
        <is>
          <t>Sede Ecuador</t>
        </is>
      </c>
      <c r="G45" s="100" t="inlineStr">
        <is>
          <t>https://www.flacso.edu.ec/</t>
        </is>
      </c>
      <c r="H45" s="177" t="inlineStr">
        <is>
          <t>Atención Institucional</t>
        </is>
      </c>
      <c r="I45" s="98" t="inlineStr">
        <is>
          <t>(02) 2946-800</t>
        </is>
      </c>
      <c r="J45" s="98" t="inlineStr">
        <is>
          <t>flacso@flacso.edu.ec</t>
        </is>
      </c>
      <c r="K45" s="100" t="inlineStr">
        <is>
          <t>https://www.flacso.edu.ec/</t>
        </is>
      </c>
      <c r="L45" s="22" t="inlineStr">
        <is>
          <t>CORREGIDO</t>
        </is>
      </c>
      <c r="M45" s="86" t="n"/>
    </row>
    <row r="46" ht="15.75" customHeight="1" s="182">
      <c r="A46" s="42" t="inlineStr">
        <is>
          <t>Ecuador</t>
        </is>
      </c>
      <c r="B46" s="56" t="inlineStr">
        <is>
          <t>Universidades públicas</t>
        </is>
      </c>
      <c r="C46" s="98" t="inlineStr">
        <is>
          <t>Educación Superior / Universidad Pública</t>
        </is>
      </c>
      <c r="D46" s="98" t="inlineStr">
        <is>
          <t>UNIVERSIDAD ESTATAL AMAZÓNICA (UEA)</t>
        </is>
      </c>
      <c r="E46" s="98" t="n"/>
      <c r="F46" s="98" t="inlineStr">
        <is>
          <t>Secretaría General</t>
        </is>
      </c>
      <c r="G46" s="100" t="inlineStr">
        <is>
          <t>https://www.uea.edu.ec/</t>
        </is>
      </c>
      <c r="H46" s="181" t="inlineStr">
        <is>
          <t>no disponible públicamente</t>
        </is>
      </c>
      <c r="I46" s="98" t="inlineStr">
        <is>
          <t>(03) 2-892-118</t>
        </is>
      </c>
      <c r="J46" s="179" t="inlineStr">
        <is>
          <t>info@uea.edu.ec</t>
        </is>
      </c>
      <c r="K46" s="100" t="inlineStr">
        <is>
          <t>https://www.uea.edu.ec/web/v2/</t>
        </is>
      </c>
      <c r="L46" s="22" t="inlineStr">
        <is>
          <t>CORREGIDO</t>
        </is>
      </c>
      <c r="M46" s="86" t="n"/>
    </row>
    <row r="47" ht="15.75" customHeight="1" s="182">
      <c r="A47" s="42" t="inlineStr">
        <is>
          <t>Ecuador</t>
        </is>
      </c>
      <c r="B47" s="56" t="inlineStr">
        <is>
          <t>Universidades públicas</t>
        </is>
      </c>
      <c r="C47" s="98" t="inlineStr">
        <is>
          <t>Educación Superior / Universidad Pública</t>
        </is>
      </c>
      <c r="D47" s="98" t="inlineStr">
        <is>
          <t>UNIVERSIDAD INTERCULTURAL DE LAS NACIONALIDADES Y PUEBLOS INDÍGENAS AMAWTAY WASI</t>
        </is>
      </c>
      <c r="E47" s="98" t="n"/>
      <c r="F47" s="98" t="inlineStr">
        <is>
          <t>Secretaría General</t>
        </is>
      </c>
      <c r="G47" s="100" t="inlineStr">
        <is>
          <t>https://www.amawtaywasi.edu.ec/</t>
        </is>
      </c>
      <c r="H47" s="181" t="inlineStr">
        <is>
          <t>no disponible públicamente</t>
        </is>
      </c>
      <c r="I47" s="98" t="inlineStr">
        <is>
          <t>022232000 / 022230500</t>
        </is>
      </c>
      <c r="J47" s="179" t="inlineStr">
        <is>
          <t>admisiones@uaw.edu.ec</t>
        </is>
      </c>
      <c r="K47" s="100" t="inlineStr">
        <is>
          <t>https://uaw.edu.ec/</t>
        </is>
      </c>
      <c r="L47" s="22" t="inlineStr">
        <is>
          <t>CORREGIDO</t>
        </is>
      </c>
      <c r="M47" s="86" t="n"/>
    </row>
    <row r="48" ht="15.75" customHeight="1" s="182">
      <c r="A48" s="42" t="inlineStr">
        <is>
          <t>Ecuador</t>
        </is>
      </c>
      <c r="B48" s="56" t="inlineStr">
        <is>
          <t>Universidades públicas</t>
        </is>
      </c>
      <c r="C48" s="98" t="inlineStr">
        <is>
          <t>Educación Superior / Universidad Pública</t>
        </is>
      </c>
      <c r="D48" s="98" t="inlineStr">
        <is>
          <t>UNIVERSIDAD POLITÉCNICA ESTATAL DEL CARCHI (UPEC)</t>
        </is>
      </c>
      <c r="E48" s="98" t="n"/>
      <c r="F48" s="98" t="inlineStr">
        <is>
          <t>Secretaría General</t>
        </is>
      </c>
      <c r="G48" s="100" t="inlineStr">
        <is>
          <t>https://www.upec.edu.ec/</t>
        </is>
      </c>
      <c r="H48" s="181" t="inlineStr">
        <is>
          <t>no disponible públicamente</t>
        </is>
      </c>
      <c r="I48" s="98" t="inlineStr">
        <is>
          <t>(06) 2995800</t>
        </is>
      </c>
      <c r="J48" s="179" t="inlineStr">
        <is>
          <t>info@upec.edu.ec</t>
        </is>
      </c>
      <c r="K48" s="100" t="inlineStr">
        <is>
          <t>https://upec.edu.ec/index.php/contactos-principal/</t>
        </is>
      </c>
      <c r="L48" s="22" t="inlineStr">
        <is>
          <t>CORREGIDO</t>
        </is>
      </c>
      <c r="M48" s="86" t="n"/>
    </row>
    <row r="49" ht="15.75" customHeight="1" s="182">
      <c r="A49" s="42" t="inlineStr">
        <is>
          <t>Ecuador</t>
        </is>
      </c>
      <c r="B49" s="56" t="inlineStr">
        <is>
          <t>Universidades públicas</t>
        </is>
      </c>
      <c r="C49" s="98" t="inlineStr">
        <is>
          <t>Educación Superior / Universidad Pública</t>
        </is>
      </c>
      <c r="D49" s="98" t="inlineStr">
        <is>
          <t>UNIVERSIDAD DE LAS FUERZAS ARMADAS (ESPE)</t>
        </is>
      </c>
      <c r="E49" s="98" t="n"/>
      <c r="F49" s="98" t="inlineStr">
        <is>
          <t>Secretaría General</t>
        </is>
      </c>
      <c r="G49" s="100" t="inlineStr">
        <is>
          <t>https://www.espe.edu.ec/</t>
        </is>
      </c>
      <c r="H49" s="181" t="inlineStr">
        <is>
          <t>no disponible públicamente</t>
        </is>
      </c>
      <c r="I49" s="98" t="inlineStr">
        <is>
          <t>(02) 3999-700</t>
        </is>
      </c>
      <c r="J49" s="177" t="inlineStr">
        <is>
          <t>iasa@espe.edu.ec</t>
        </is>
      </c>
      <c r="K49" s="100" t="inlineStr">
        <is>
          <t>https://www.espe.edu.ec/</t>
        </is>
      </c>
      <c r="L49" s="22" t="inlineStr">
        <is>
          <t>CORREGIDO</t>
        </is>
      </c>
      <c r="M49" s="86" t="n"/>
    </row>
    <row r="50" ht="15.75" customHeight="1" s="182">
      <c r="A50" s="42" t="inlineStr">
        <is>
          <t>Ecuador</t>
        </is>
      </c>
      <c r="B50" s="56" t="inlineStr">
        <is>
          <t>Universidades públicas</t>
        </is>
      </c>
      <c r="C50" s="98" t="inlineStr">
        <is>
          <t>Educación Superior / Universidad Pública</t>
        </is>
      </c>
      <c r="D50" s="98" t="inlineStr">
        <is>
          <t>UNIVERSIDAD REGIONAL AMAZÓNICA IKIAM</t>
        </is>
      </c>
      <c r="E50" s="98" t="n"/>
      <c r="F50" s="98" t="inlineStr">
        <is>
          <t>Secretaría General</t>
        </is>
      </c>
      <c r="G50" s="100" t="inlineStr">
        <is>
          <t>https://www.ikiam.edu.ec/</t>
        </is>
      </c>
      <c r="H50" s="181" t="inlineStr">
        <is>
          <t>no disponible públicamente</t>
        </is>
      </c>
      <c r="I50" s="98" t="inlineStr">
        <is>
          <t>06 370 0040</t>
        </is>
      </c>
      <c r="J50" s="179" t="inlineStr">
        <is>
          <t>secretaria.general@ikiam.edu.ec</t>
        </is>
      </c>
      <c r="K50" s="100" t="inlineStr">
        <is>
          <t>https://www.ikiam.edu.ec/</t>
        </is>
      </c>
      <c r="L50" s="22" t="inlineStr">
        <is>
          <t>CORREGIDO</t>
        </is>
      </c>
      <c r="M50" s="86" t="n"/>
    </row>
    <row r="51" ht="15.75" customHeight="1" s="182">
      <c r="A51" s="42" t="inlineStr">
        <is>
          <t>Ecuador</t>
        </is>
      </c>
      <c r="B51" s="56" t="inlineStr">
        <is>
          <t>Universidades públicas</t>
        </is>
      </c>
      <c r="C51" s="98" t="inlineStr">
        <is>
          <t>Educación Superior / Universidad Pública</t>
        </is>
      </c>
      <c r="D51" s="98" t="inlineStr">
        <is>
          <t>UNIVERSIDAD DE INVESTIGACIÓN DE TECNOLOGÍA EXPERIMENTAL YACHAY TECH</t>
        </is>
      </c>
      <c r="E51" s="98" t="n"/>
      <c r="F51" s="98" t="inlineStr">
        <is>
          <t>Secretaría General</t>
        </is>
      </c>
      <c r="G51" s="100" t="inlineStr">
        <is>
          <t>https://www.yachaytech.edu.ec/</t>
        </is>
      </c>
      <c r="H51" s="181" t="inlineStr">
        <is>
          <t>no disponible públicamente</t>
        </is>
      </c>
      <c r="I51" s="98" t="inlineStr">
        <is>
          <t>593 6299 9500</t>
        </is>
      </c>
      <c r="J51" s="179" t="inlineStr">
        <is>
          <t>admisiones@yachaytech.edu.ec</t>
        </is>
      </c>
      <c r="K51" s="100" t="inlineStr">
        <is>
          <t>https://yachaytech.edu.ec/admisiones/</t>
        </is>
      </c>
      <c r="L51" s="22" t="inlineStr">
        <is>
          <t>CORREGIDO</t>
        </is>
      </c>
      <c r="M51" s="86" t="n"/>
    </row>
    <row r="52" ht="15.75" customHeight="1" s="182">
      <c r="A52" s="42" t="inlineStr">
        <is>
          <t>Ecuador</t>
        </is>
      </c>
      <c r="B52" s="56" t="inlineStr">
        <is>
          <t>Universidades públicas</t>
        </is>
      </c>
      <c r="C52" s="98" t="inlineStr">
        <is>
          <t>Educación Superior / Universidad Pública</t>
        </is>
      </c>
      <c r="D52" s="98" t="inlineStr">
        <is>
          <t>UNIVERSIDAD DE LAS ARTES (UARTES)</t>
        </is>
      </c>
      <c r="E52" s="98" t="n"/>
      <c r="F52" s="98" t="inlineStr">
        <is>
          <t>Secretaría General</t>
        </is>
      </c>
      <c r="G52" s="100" t="inlineStr">
        <is>
          <t>https://www.uartes.edu.ec/</t>
        </is>
      </c>
      <c r="H52" s="181" t="inlineStr">
        <is>
          <t>no disponible públicamente</t>
        </is>
      </c>
      <c r="I52" s="177" t="inlineStr">
        <is>
          <t>563-4-259-0700</t>
        </is>
      </c>
      <c r="J52" s="181" t="inlineStr">
        <is>
          <t>no disponible públicamente</t>
        </is>
      </c>
      <c r="K52" s="100" t="inlineStr">
        <is>
          <t>https://www.uartes.edu.ec/</t>
        </is>
      </c>
      <c r="L52" s="22" t="inlineStr">
        <is>
          <t>CORREGIDO</t>
        </is>
      </c>
      <c r="M52" s="86" t="n"/>
    </row>
    <row r="53" ht="15.75" customHeight="1" s="182">
      <c r="A53" s="98" t="inlineStr">
        <is>
          <t>Ecuador</t>
        </is>
      </c>
      <c r="B53" s="56" t="inlineStr">
        <is>
          <t>Universidades públicas</t>
        </is>
      </c>
      <c r="C53" s="98" t="inlineStr">
        <is>
          <t>Educación Superior / Universidad Pública</t>
        </is>
      </c>
      <c r="D53" s="98" t="inlineStr">
        <is>
          <t>UNIVERSIDAD NACIONAL DE EDUCACIÓN (UNAE)</t>
        </is>
      </c>
      <c r="E53" s="98" t="n"/>
      <c r="F53" s="98" t="inlineStr">
        <is>
          <t>Secretaría General</t>
        </is>
      </c>
      <c r="G53" s="100" t="inlineStr">
        <is>
          <t>https://www.unae.edu.ec/</t>
        </is>
      </c>
      <c r="H53" s="181" t="inlineStr">
        <is>
          <t>no disponible públicamente</t>
        </is>
      </c>
      <c r="I53" s="177" t="inlineStr">
        <is>
          <t>(593) (7) 3701200</t>
        </is>
      </c>
      <c r="J53" s="177" t="inlineStr">
        <is>
          <t>info@unae.edu.ec</t>
        </is>
      </c>
      <c r="K53" s="100" t="inlineStr">
        <is>
          <t>https://www.unae.edu.ec/</t>
        </is>
      </c>
      <c r="L53" s="22" t="inlineStr">
        <is>
          <t>CORREGIDO</t>
        </is>
      </c>
      <c r="M53" s="86" t="n"/>
    </row>
    <row r="54" ht="15.75" customHeight="1" s="182"/>
    <row r="55" ht="15.75" customHeight="1" s="182"/>
    <row r="56" ht="15.75" customHeight="1" s="182"/>
    <row r="57" ht="15.75" customHeight="1" s="182"/>
    <row r="58" ht="15.75" customHeight="1" s="182"/>
    <row r="59" ht="15.75" customHeight="1" s="182"/>
    <row r="60" ht="15.75" customHeight="1" s="182"/>
    <row r="61" ht="15.75" customHeight="1" s="182"/>
    <row r="62" ht="15.75" customHeight="1" s="182"/>
    <row r="63" ht="15.75" customHeight="1" s="182"/>
    <row r="64" ht="15.75" customHeight="1" s="182"/>
    <row r="65" ht="15.75" customHeight="1" s="182"/>
    <row r="66" ht="15.75" customHeight="1" s="182"/>
    <row r="67" ht="15.75" customHeight="1" s="182"/>
    <row r="68" ht="15.75" customHeight="1" s="182"/>
    <row r="69" ht="15.75" customHeight="1" s="182"/>
    <row r="70" ht="15.75" customHeight="1" s="182"/>
    <row r="71" ht="15.75" customHeight="1" s="182"/>
    <row r="72" ht="15.75" customHeight="1" s="182"/>
    <row r="73" ht="15.75" customHeight="1" s="182"/>
    <row r="74" ht="15.75" customHeight="1" s="182"/>
    <row r="75" ht="15.75" customHeight="1" s="182"/>
    <row r="76" ht="15.75" customHeight="1" s="182"/>
    <row r="77" ht="15.75" customHeight="1" s="182"/>
    <row r="78" ht="15.75" customHeight="1" s="182"/>
    <row r="79" ht="15.75" customHeight="1" s="182"/>
    <row r="80" ht="15.75" customHeight="1" s="182"/>
    <row r="81" ht="15.75" customHeight="1" s="182"/>
    <row r="82" ht="15.75" customHeight="1" s="182"/>
    <row r="83" ht="15.75" customHeight="1" s="182"/>
    <row r="84" ht="15.75" customHeight="1" s="182"/>
    <row r="85" ht="15.75" customHeight="1" s="182"/>
    <row r="86" ht="15.75" customHeight="1" s="182"/>
    <row r="87" ht="15.75" customHeight="1" s="182"/>
    <row r="88" ht="15.75" customHeight="1" s="182"/>
    <row r="89" ht="15.75" customHeight="1" s="182"/>
    <row r="90" ht="15.75" customHeight="1" s="182"/>
    <row r="91" ht="15.75" customHeight="1" s="182"/>
    <row r="92" ht="15.75" customHeight="1" s="182"/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</sheetData>
  <autoFilter ref="$A$1:$M$53"/>
  <dataValidations count="1">
    <dataValidation sqref="E2:E53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location="idContactanos" r:id="rId2"/>
    <hyperlink xmlns:r="http://schemas.openxmlformats.org/officeDocument/2006/relationships" ref="G3" r:id="rId3"/>
    <hyperlink xmlns:r="http://schemas.openxmlformats.org/officeDocument/2006/relationships" ref="K3" r:id="rId4"/>
    <hyperlink xmlns:r="http://schemas.openxmlformats.org/officeDocument/2006/relationships" ref="G4" r:id="rId5"/>
    <hyperlink xmlns:r="http://schemas.openxmlformats.org/officeDocument/2006/relationships" ref="K4" r:id="rId6"/>
    <hyperlink xmlns:r="http://schemas.openxmlformats.org/officeDocument/2006/relationships" ref="G5" r:id="rId7"/>
    <hyperlink xmlns:r="http://schemas.openxmlformats.org/officeDocument/2006/relationships" ref="K5" r:id="rId8"/>
    <hyperlink xmlns:r="http://schemas.openxmlformats.org/officeDocument/2006/relationships" ref="G6" r:id="rId9"/>
    <hyperlink xmlns:r="http://schemas.openxmlformats.org/officeDocument/2006/relationships" ref="K6" r:id="rId10"/>
    <hyperlink xmlns:r="http://schemas.openxmlformats.org/officeDocument/2006/relationships" ref="G7" r:id="rId11"/>
    <hyperlink xmlns:r="http://schemas.openxmlformats.org/officeDocument/2006/relationships" ref="K7" r:id="rId12"/>
    <hyperlink xmlns:r="http://schemas.openxmlformats.org/officeDocument/2006/relationships" ref="G8" r:id="rId13"/>
    <hyperlink xmlns:r="http://schemas.openxmlformats.org/officeDocument/2006/relationships" ref="K8" r:id="rId14"/>
    <hyperlink xmlns:r="http://schemas.openxmlformats.org/officeDocument/2006/relationships" ref="G9" r:id="rId15"/>
    <hyperlink xmlns:r="http://schemas.openxmlformats.org/officeDocument/2006/relationships" ref="K9" r:id="rId16"/>
    <hyperlink xmlns:r="http://schemas.openxmlformats.org/officeDocument/2006/relationships" ref="G10" r:id="rId17"/>
    <hyperlink xmlns:r="http://schemas.openxmlformats.org/officeDocument/2006/relationships" ref="K10" r:id="rId18"/>
    <hyperlink xmlns:r="http://schemas.openxmlformats.org/officeDocument/2006/relationships" ref="G11" r:id="rId19"/>
    <hyperlink xmlns:r="http://schemas.openxmlformats.org/officeDocument/2006/relationships" ref="K11" r:id="rId20"/>
    <hyperlink xmlns:r="http://schemas.openxmlformats.org/officeDocument/2006/relationships" ref="G12" r:id="rId21"/>
    <hyperlink xmlns:r="http://schemas.openxmlformats.org/officeDocument/2006/relationships" ref="K12" r:id="rId22"/>
    <hyperlink xmlns:r="http://schemas.openxmlformats.org/officeDocument/2006/relationships" ref="G13" r:id="rId23"/>
    <hyperlink xmlns:r="http://schemas.openxmlformats.org/officeDocument/2006/relationships" ref="K13" r:id="rId24"/>
    <hyperlink xmlns:r="http://schemas.openxmlformats.org/officeDocument/2006/relationships" ref="G14" r:id="rId25"/>
    <hyperlink xmlns:r="http://schemas.openxmlformats.org/officeDocument/2006/relationships" ref="K14" r:id="rId26"/>
    <hyperlink xmlns:r="http://schemas.openxmlformats.org/officeDocument/2006/relationships" ref="G15" r:id="rId27"/>
    <hyperlink xmlns:r="http://schemas.openxmlformats.org/officeDocument/2006/relationships" ref="K15" r:id="rId28"/>
    <hyperlink xmlns:r="http://schemas.openxmlformats.org/officeDocument/2006/relationships" ref="G16" r:id="rId29"/>
    <hyperlink xmlns:r="http://schemas.openxmlformats.org/officeDocument/2006/relationships" ref="K16" r:id="rId30"/>
    <hyperlink xmlns:r="http://schemas.openxmlformats.org/officeDocument/2006/relationships" ref="G17" r:id="rId31"/>
    <hyperlink xmlns:r="http://schemas.openxmlformats.org/officeDocument/2006/relationships" ref="K17" r:id="rId32"/>
    <hyperlink xmlns:r="http://schemas.openxmlformats.org/officeDocument/2006/relationships" ref="G18" r:id="rId33"/>
    <hyperlink xmlns:r="http://schemas.openxmlformats.org/officeDocument/2006/relationships" ref="K18" r:id="rId34"/>
    <hyperlink xmlns:r="http://schemas.openxmlformats.org/officeDocument/2006/relationships" ref="G19" r:id="rId35"/>
    <hyperlink xmlns:r="http://schemas.openxmlformats.org/officeDocument/2006/relationships" ref="K19" r:id="rId36"/>
    <hyperlink xmlns:r="http://schemas.openxmlformats.org/officeDocument/2006/relationships" ref="G20" r:id="rId37"/>
    <hyperlink xmlns:r="http://schemas.openxmlformats.org/officeDocument/2006/relationships" ref="K20" r:id="rId38"/>
    <hyperlink xmlns:r="http://schemas.openxmlformats.org/officeDocument/2006/relationships" ref="G21" r:id="rId39"/>
    <hyperlink xmlns:r="http://schemas.openxmlformats.org/officeDocument/2006/relationships" ref="K21" r:id="rId40"/>
    <hyperlink xmlns:r="http://schemas.openxmlformats.org/officeDocument/2006/relationships" ref="G22" r:id="rId41"/>
    <hyperlink xmlns:r="http://schemas.openxmlformats.org/officeDocument/2006/relationships" ref="K22" r:id="rId42"/>
    <hyperlink xmlns:r="http://schemas.openxmlformats.org/officeDocument/2006/relationships" ref="G23" r:id="rId43"/>
    <hyperlink xmlns:r="http://schemas.openxmlformats.org/officeDocument/2006/relationships" ref="J23" r:id="rId44"/>
    <hyperlink xmlns:r="http://schemas.openxmlformats.org/officeDocument/2006/relationships" ref="K23" r:id="rId45"/>
    <hyperlink xmlns:r="http://schemas.openxmlformats.org/officeDocument/2006/relationships" ref="G24" r:id="rId46"/>
    <hyperlink xmlns:r="http://schemas.openxmlformats.org/officeDocument/2006/relationships" ref="K24" r:id="rId47"/>
    <hyperlink xmlns:r="http://schemas.openxmlformats.org/officeDocument/2006/relationships" ref="G25" r:id="rId48"/>
    <hyperlink xmlns:r="http://schemas.openxmlformats.org/officeDocument/2006/relationships" ref="K25" r:id="rId49"/>
    <hyperlink xmlns:r="http://schemas.openxmlformats.org/officeDocument/2006/relationships" ref="G26" r:id="rId50"/>
    <hyperlink xmlns:r="http://schemas.openxmlformats.org/officeDocument/2006/relationships" ref="K26" r:id="rId51"/>
    <hyperlink xmlns:r="http://schemas.openxmlformats.org/officeDocument/2006/relationships" ref="G27" r:id="rId52"/>
    <hyperlink xmlns:r="http://schemas.openxmlformats.org/officeDocument/2006/relationships" ref="K27" r:id="rId53"/>
    <hyperlink xmlns:r="http://schemas.openxmlformats.org/officeDocument/2006/relationships" ref="G28" r:id="rId54"/>
    <hyperlink xmlns:r="http://schemas.openxmlformats.org/officeDocument/2006/relationships" ref="K28" r:id="rId55"/>
    <hyperlink xmlns:r="http://schemas.openxmlformats.org/officeDocument/2006/relationships" ref="G29" r:id="rId56"/>
    <hyperlink xmlns:r="http://schemas.openxmlformats.org/officeDocument/2006/relationships" ref="K29" r:id="rId57"/>
    <hyperlink xmlns:r="http://schemas.openxmlformats.org/officeDocument/2006/relationships" ref="G30" r:id="rId58"/>
    <hyperlink xmlns:r="http://schemas.openxmlformats.org/officeDocument/2006/relationships" ref="K30" r:id="rId59"/>
    <hyperlink xmlns:r="http://schemas.openxmlformats.org/officeDocument/2006/relationships" ref="G31" r:id="rId60"/>
    <hyperlink xmlns:r="http://schemas.openxmlformats.org/officeDocument/2006/relationships" ref="K31" r:id="rId61"/>
    <hyperlink xmlns:r="http://schemas.openxmlformats.org/officeDocument/2006/relationships" ref="G32" r:id="rId62"/>
    <hyperlink xmlns:r="http://schemas.openxmlformats.org/officeDocument/2006/relationships" ref="G33" r:id="rId63"/>
    <hyperlink xmlns:r="http://schemas.openxmlformats.org/officeDocument/2006/relationships" ref="K33" r:id="rId64"/>
    <hyperlink xmlns:r="http://schemas.openxmlformats.org/officeDocument/2006/relationships" ref="G34" r:id="rId65"/>
    <hyperlink xmlns:r="http://schemas.openxmlformats.org/officeDocument/2006/relationships" ref="K34" r:id="rId66"/>
    <hyperlink xmlns:r="http://schemas.openxmlformats.org/officeDocument/2006/relationships" ref="G35" r:id="rId67"/>
    <hyperlink xmlns:r="http://schemas.openxmlformats.org/officeDocument/2006/relationships" ref="K35" r:id="rId68"/>
    <hyperlink xmlns:r="http://schemas.openxmlformats.org/officeDocument/2006/relationships" ref="G36" r:id="rId69"/>
    <hyperlink xmlns:r="http://schemas.openxmlformats.org/officeDocument/2006/relationships" ref="G37" r:id="rId70"/>
    <hyperlink xmlns:r="http://schemas.openxmlformats.org/officeDocument/2006/relationships" ref="K37" r:id="rId71"/>
    <hyperlink xmlns:r="http://schemas.openxmlformats.org/officeDocument/2006/relationships" ref="G38" r:id="rId72"/>
    <hyperlink xmlns:r="http://schemas.openxmlformats.org/officeDocument/2006/relationships" ref="K38" r:id="rId73"/>
    <hyperlink xmlns:r="http://schemas.openxmlformats.org/officeDocument/2006/relationships" ref="G39" r:id="rId74"/>
    <hyperlink xmlns:r="http://schemas.openxmlformats.org/officeDocument/2006/relationships" ref="K39" r:id="rId75"/>
    <hyperlink xmlns:r="http://schemas.openxmlformats.org/officeDocument/2006/relationships" ref="G40" r:id="rId76"/>
    <hyperlink xmlns:r="http://schemas.openxmlformats.org/officeDocument/2006/relationships" ref="K40" r:id="rId77"/>
    <hyperlink xmlns:r="http://schemas.openxmlformats.org/officeDocument/2006/relationships" ref="G41" r:id="rId78"/>
    <hyperlink xmlns:r="http://schemas.openxmlformats.org/officeDocument/2006/relationships" ref="K41" r:id="rId79"/>
    <hyperlink xmlns:r="http://schemas.openxmlformats.org/officeDocument/2006/relationships" ref="G42" r:id="rId80"/>
    <hyperlink xmlns:r="http://schemas.openxmlformats.org/officeDocument/2006/relationships" ref="K42" r:id="rId81"/>
    <hyperlink xmlns:r="http://schemas.openxmlformats.org/officeDocument/2006/relationships" ref="G43" r:id="rId82"/>
    <hyperlink xmlns:r="http://schemas.openxmlformats.org/officeDocument/2006/relationships" ref="K43" r:id="rId83"/>
    <hyperlink xmlns:r="http://schemas.openxmlformats.org/officeDocument/2006/relationships" ref="G44" r:id="rId84"/>
    <hyperlink xmlns:r="http://schemas.openxmlformats.org/officeDocument/2006/relationships" ref="K44" r:id="rId85"/>
    <hyperlink xmlns:r="http://schemas.openxmlformats.org/officeDocument/2006/relationships" ref="G45" r:id="rId86"/>
    <hyperlink xmlns:r="http://schemas.openxmlformats.org/officeDocument/2006/relationships" ref="K45" r:id="rId87"/>
    <hyperlink xmlns:r="http://schemas.openxmlformats.org/officeDocument/2006/relationships" ref="G46" r:id="rId88"/>
    <hyperlink xmlns:r="http://schemas.openxmlformats.org/officeDocument/2006/relationships" ref="K46" r:id="rId89"/>
    <hyperlink xmlns:r="http://schemas.openxmlformats.org/officeDocument/2006/relationships" ref="G47" r:id="rId90"/>
    <hyperlink xmlns:r="http://schemas.openxmlformats.org/officeDocument/2006/relationships" ref="K47" r:id="rId91"/>
    <hyperlink xmlns:r="http://schemas.openxmlformats.org/officeDocument/2006/relationships" ref="G48" r:id="rId92"/>
    <hyperlink xmlns:r="http://schemas.openxmlformats.org/officeDocument/2006/relationships" ref="K48" r:id="rId93"/>
    <hyperlink xmlns:r="http://schemas.openxmlformats.org/officeDocument/2006/relationships" ref="G49" r:id="rId94"/>
    <hyperlink xmlns:r="http://schemas.openxmlformats.org/officeDocument/2006/relationships" ref="K49" r:id="rId95"/>
    <hyperlink xmlns:r="http://schemas.openxmlformats.org/officeDocument/2006/relationships" ref="G50" r:id="rId96"/>
    <hyperlink xmlns:r="http://schemas.openxmlformats.org/officeDocument/2006/relationships" ref="K50" r:id="rId97"/>
    <hyperlink xmlns:r="http://schemas.openxmlformats.org/officeDocument/2006/relationships" ref="G51" r:id="rId98"/>
    <hyperlink xmlns:r="http://schemas.openxmlformats.org/officeDocument/2006/relationships" ref="K51" r:id="rId99"/>
    <hyperlink xmlns:r="http://schemas.openxmlformats.org/officeDocument/2006/relationships" ref="G52" r:id="rId100"/>
    <hyperlink xmlns:r="http://schemas.openxmlformats.org/officeDocument/2006/relationships" ref="K52" r:id="rId101"/>
    <hyperlink xmlns:r="http://schemas.openxmlformats.org/officeDocument/2006/relationships" ref="G53" r:id="rId102"/>
    <hyperlink xmlns:r="http://schemas.openxmlformats.org/officeDocument/2006/relationships" ref="K53" r:id="rId103"/>
  </hyperlinks>
  <pageMargins left="0.75" right="0.75" top="1" bottom="1" header="0" footer="0"/>
  <pageSetup orientation="landscape"/>
  <tableParts count="1">
    <tablePart xmlns:r="http://schemas.openxmlformats.org/officeDocument/2006/relationships" r:id="rId104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 ht="30" customHeight="1" s="182">
      <c r="A2" s="42" t="inlineStr">
        <is>
          <t>Guatemala</t>
        </is>
      </c>
      <c r="B2" s="15" t="inlineStr">
        <is>
          <t>Asociaciones de seguridad social</t>
        </is>
      </c>
      <c r="C2" s="73" t="inlineStr">
        <is>
          <t>Seguridad Social y Autonomía Estatal</t>
        </is>
      </c>
      <c r="D2" s="73" t="inlineStr">
        <is>
          <t>Instituto Guatemalteco de Seguridad Social (IGSS)</t>
        </is>
      </c>
      <c r="E2" s="73" t="n"/>
      <c r="F2" s="73" t="inlineStr">
        <is>
          <t>Junta Directiva / Subgerencia de Atención al Afiliado</t>
        </is>
      </c>
      <c r="G2" s="18" t="inlineStr">
        <is>
          <t>https://www.igssgt.org/</t>
        </is>
      </c>
      <c r="H2" s="143" t="inlineStr">
        <is>
          <t>Junta Directiva del IGSS / Gerencia General</t>
        </is>
      </c>
      <c r="I2" s="73" t="inlineStr">
        <is>
          <t>502 1522 / +502 2412 1224</t>
        </is>
      </c>
      <c r="J2" s="224" t="inlineStr">
        <is>
          <t>consultas@igssgt.org</t>
        </is>
      </c>
      <c r="K2" s="18" t="inlineStr">
        <is>
          <t>https://www.igssgt.org/</t>
        </is>
      </c>
      <c r="L2" s="51" t="inlineStr">
        <is>
          <t>CONFIRMADO</t>
        </is>
      </c>
      <c r="M2" s="30" t="n"/>
    </row>
    <row r="3" ht="30" customHeight="1" s="182">
      <c r="A3" s="42" t="inlineStr">
        <is>
          <t>Guatemala</t>
        </is>
      </c>
      <c r="B3" s="15" t="inlineStr">
        <is>
          <t>Escuelas de gobierno y administración pública</t>
        </is>
      </c>
      <c r="C3" s="73" t="inlineStr">
        <is>
          <t>Instituto Nacional de Administración Pública (INAP)</t>
        </is>
      </c>
      <c r="D3" s="73" t="inlineStr">
        <is>
          <t>Instituto Nacional de Administración pública</t>
        </is>
      </c>
      <c r="E3" s="73" t="n"/>
      <c r="F3" s="28" t="inlineStr">
        <is>
          <t>no disponible públicamente</t>
        </is>
      </c>
      <c r="G3" s="18" t="inlineStr">
        <is>
          <t>https://inap.gob.gt/app/</t>
        </is>
      </c>
      <c r="H3" s="28" t="inlineStr">
        <is>
          <t>no disponible públicamente</t>
        </is>
      </c>
      <c r="I3" s="73" t="inlineStr">
        <is>
          <t>2419-8181</t>
        </is>
      </c>
      <c r="J3" s="73" t="inlineStr">
        <is>
          <t>informacion@inap.gob.gt</t>
        </is>
      </c>
      <c r="K3" s="18" t="inlineStr">
        <is>
          <t>https://inap.gob.gt/app/</t>
        </is>
      </c>
      <c r="L3" s="51" t="inlineStr">
        <is>
          <t>CONFIRMADO</t>
        </is>
      </c>
      <c r="M3" s="30" t="n"/>
    </row>
    <row r="4" ht="30" customHeight="1" s="182">
      <c r="A4" s="42" t="inlineStr">
        <is>
          <t>Guatemala</t>
        </is>
      </c>
      <c r="B4" s="15" t="inlineStr">
        <is>
          <t>Formación técnica pública</t>
        </is>
      </c>
      <c r="C4" s="73" t="inlineStr">
        <is>
          <t>Centro de Capacitación</t>
        </is>
      </c>
      <c r="D4" s="73" t="inlineStr">
        <is>
          <t>Centro de Capacitación en Turismo</t>
        </is>
      </c>
      <c r="E4" s="73" t="n"/>
      <c r="F4" s="73" t="inlineStr">
        <is>
          <t>Centro de Capacitación / atención al público</t>
        </is>
      </c>
      <c r="G4" s="18" t="inlineStr">
        <is>
          <t>https://www.intecap.edu.gt/centros/centroturismo/</t>
        </is>
      </c>
      <c r="H4" s="28" t="inlineStr">
        <is>
          <t>no disponible públicamente</t>
        </is>
      </c>
      <c r="I4" s="73" t="inlineStr">
        <is>
          <t>2410-5555 ext. 10200/10201/10202</t>
        </is>
      </c>
      <c r="J4" s="73" t="inlineStr">
        <is>
          <t>centrodeturismo@intecap.edu.gt</t>
        </is>
      </c>
      <c r="K4" s="18" t="inlineStr">
        <is>
          <t>https://www.intecap.edu.gt/informacionpublica/pdf/DIRECCIONES%20INTECAP-unificado25.pdf</t>
        </is>
      </c>
      <c r="L4" s="51" t="inlineStr">
        <is>
          <t>CONFIRMADO</t>
        </is>
      </c>
      <c r="M4" s="30" t="n"/>
    </row>
    <row r="5" ht="30" customHeight="1" s="182">
      <c r="A5" s="42" t="inlineStr">
        <is>
          <t>Guatemala</t>
        </is>
      </c>
      <c r="B5" s="15" t="inlineStr">
        <is>
          <t>Formación técnica pública</t>
        </is>
      </c>
      <c r="C5" s="73" t="inlineStr">
        <is>
          <t>Centro de Capacitación</t>
        </is>
      </c>
      <c r="D5" s="73" t="inlineStr">
        <is>
          <t>Centro de Capacitación en Tecnologías de la Información y las Comunicaciones (TIC´s)</t>
        </is>
      </c>
      <c r="E5" s="73" t="n"/>
      <c r="F5" s="73" t="inlineStr">
        <is>
          <t>Centro TIC´s / admisiones</t>
        </is>
      </c>
      <c r="G5" s="18" t="inlineStr">
        <is>
          <t>https://www.intecap.edu.gt/centros/cti/</t>
        </is>
      </c>
      <c r="H5" s="28" t="inlineStr">
        <is>
          <t>no disponible públicamente</t>
        </is>
      </c>
      <c r="I5" s="73" t="inlineStr">
        <is>
          <t>2410-5555 ext. 10908/10909</t>
        </is>
      </c>
      <c r="J5" s="73" t="inlineStr">
        <is>
          <t>centrotics@intecap.edu.gt</t>
        </is>
      </c>
      <c r="K5" s="18" t="inlineStr">
        <is>
          <t>https://www.intecap.edu.gt/centros/cti/</t>
        </is>
      </c>
      <c r="L5" s="51" t="inlineStr">
        <is>
          <t>CONFIRMADO</t>
        </is>
      </c>
      <c r="M5" s="30" t="n"/>
    </row>
    <row r="6" ht="30" customHeight="1" s="182">
      <c r="A6" s="42" t="inlineStr">
        <is>
          <t>Guatemala</t>
        </is>
      </c>
      <c r="B6" s="15" t="inlineStr">
        <is>
          <t>Formación técnica pública</t>
        </is>
      </c>
      <c r="C6" s="73" t="inlineStr">
        <is>
          <t>Centro de Capacitación</t>
        </is>
      </c>
      <c r="D6" s="73" t="inlineStr">
        <is>
          <t>Centro de Capacitación Guatemala 1 / INTECAP Periférico Zona 7</t>
        </is>
      </c>
      <c r="E6" s="73" t="n"/>
      <c r="F6" s="73" t="inlineStr">
        <is>
          <t>Centro de Capacitación / admisiones</t>
        </is>
      </c>
      <c r="G6" s="18" t="inlineStr">
        <is>
          <t>https://www.intecap.edu.gt/centros/centroguatemala1/</t>
        </is>
      </c>
      <c r="H6" s="28" t="inlineStr">
        <is>
          <t>no disponible públicamente</t>
        </is>
      </c>
      <c r="I6" s="73" t="inlineStr">
        <is>
          <t>2320-0000 ext. 13002/13003/13013</t>
        </is>
      </c>
      <c r="J6" s="73" t="inlineStr">
        <is>
          <t>centroguatemala1@intecap.edu.gt</t>
        </is>
      </c>
      <c r="K6" s="18" t="inlineStr">
        <is>
          <t>https://www.intecap.edu.gt/centros/centroguatemala1/</t>
        </is>
      </c>
      <c r="L6" s="51" t="inlineStr">
        <is>
          <t>CONFIRMADO</t>
        </is>
      </c>
      <c r="M6" s="30" t="n"/>
    </row>
    <row r="7" ht="30" customHeight="1" s="182">
      <c r="A7" s="42" t="inlineStr">
        <is>
          <t>Guatemala</t>
        </is>
      </c>
      <c r="B7" s="15" t="inlineStr">
        <is>
          <t>Formación técnica pública</t>
        </is>
      </c>
      <c r="C7" s="73" t="inlineStr">
        <is>
          <t>Centro de Capacitación</t>
        </is>
      </c>
      <c r="D7" s="73" t="inlineStr">
        <is>
          <t>Centro de Capacitación Guatemala 2 / INTECAP Zona 21</t>
        </is>
      </c>
      <c r="E7" s="73" t="n"/>
      <c r="F7" s="73" t="inlineStr">
        <is>
          <t>Centro de Capacitación / admisiones</t>
        </is>
      </c>
      <c r="G7" s="18" t="inlineStr">
        <is>
          <t>https://www.intecap.edu.gt/centros/centroguatemala2/</t>
        </is>
      </c>
      <c r="H7" s="28" t="inlineStr">
        <is>
          <t>no disponible públicamente</t>
        </is>
      </c>
      <c r="I7" s="73" t="inlineStr">
        <is>
          <t>23-200-200</t>
        </is>
      </c>
      <c r="J7" s="73" t="inlineStr">
        <is>
          <t>centroguatemala2@intecap.edu.gt</t>
        </is>
      </c>
      <c r="K7" s="18" t="inlineStr">
        <is>
          <t>https://www.intecap.edu.gt/centros/centroguatemala2/</t>
        </is>
      </c>
      <c r="L7" s="51" t="inlineStr">
        <is>
          <t>CONFIRMADO</t>
        </is>
      </c>
      <c r="M7" s="30" t="n"/>
    </row>
    <row r="8" ht="30" customHeight="1" s="182">
      <c r="A8" s="42" t="inlineStr">
        <is>
          <t>Guatemala</t>
        </is>
      </c>
      <c r="B8" s="15" t="inlineStr">
        <is>
          <t>Formación técnica pública</t>
        </is>
      </c>
      <c r="C8" s="73" t="inlineStr">
        <is>
          <t>Centro de Capacitación</t>
        </is>
      </c>
      <c r="D8" s="73" t="inlineStr">
        <is>
          <t>Centro de Capacitación Guatemala 4 / INTECAP Zona 18</t>
        </is>
      </c>
      <c r="E8" s="73" t="n"/>
      <c r="F8" s="73" t="inlineStr">
        <is>
          <t>Centro de Capacitación / admisiones</t>
        </is>
      </c>
      <c r="G8" s="18" t="inlineStr">
        <is>
          <t>https://www.intecap.edu.gt/centros/centroguatemala4/</t>
        </is>
      </c>
      <c r="H8" s="28" t="inlineStr">
        <is>
          <t>no disponible públicamente</t>
        </is>
      </c>
      <c r="I8" s="73" t="inlineStr">
        <is>
          <t>2255-3300 / 2255-3347 / 2255-3874</t>
        </is>
      </c>
      <c r="J8" s="73" t="inlineStr">
        <is>
          <t>centroguatemala4@intecap.edu.gt</t>
        </is>
      </c>
      <c r="K8" s="18" t="inlineStr">
        <is>
          <t>https://www.intecap.edu.gt/centros/centroguatemala4/</t>
        </is>
      </c>
      <c r="L8" s="51" t="inlineStr">
        <is>
          <t>CONFIRMADO</t>
        </is>
      </c>
      <c r="M8" s="30" t="n"/>
    </row>
    <row r="9" ht="30" customHeight="1" s="182">
      <c r="A9" s="42" t="inlineStr">
        <is>
          <t>Guatemala</t>
        </is>
      </c>
      <c r="B9" s="15" t="inlineStr">
        <is>
          <t>Formación técnica pública</t>
        </is>
      </c>
      <c r="C9" s="73" t="inlineStr">
        <is>
          <t>Centro de Capacitación</t>
        </is>
      </c>
      <c r="D9" s="73" t="inlineStr">
        <is>
          <t>Centro de Capacitación en Tecnología de la Carne (CETEC)</t>
        </is>
      </c>
      <c r="E9" s="73" t="n"/>
      <c r="F9" s="73" t="inlineStr">
        <is>
          <t>CETEC / admisiones</t>
        </is>
      </c>
      <c r="G9" s="18" t="inlineStr">
        <is>
          <t>https://www.intecap.edu.gt/centros/cetec/</t>
        </is>
      </c>
      <c r="H9" s="28" t="inlineStr">
        <is>
          <t>no disponible públicamente</t>
        </is>
      </c>
      <c r="I9" s="73" t="inlineStr">
        <is>
          <t>2258-4272 / 2256-0842 / 2255-5901</t>
        </is>
      </c>
      <c r="J9" s="73" t="inlineStr">
        <is>
          <t>cetec@intecap.edu.gt</t>
        </is>
      </c>
      <c r="K9" s="18" t="inlineStr">
        <is>
          <t>https://www.intecap.edu.gt/centros/cetec/</t>
        </is>
      </c>
      <c r="L9" s="51" t="inlineStr">
        <is>
          <t>CONFIRMADO</t>
        </is>
      </c>
      <c r="M9" s="30" t="n"/>
    </row>
    <row r="10" ht="30" customHeight="1" s="182">
      <c r="A10" s="42" t="inlineStr">
        <is>
          <t>Guatemala</t>
        </is>
      </c>
      <c r="B10" s="15" t="inlineStr">
        <is>
          <t>Formación técnica pública</t>
        </is>
      </c>
      <c r="C10" s="73" t="inlineStr">
        <is>
          <t>Centro de Capacitación</t>
        </is>
      </c>
      <c r="D10" s="73" t="inlineStr">
        <is>
          <t>Centro de Capacitación de Banca, Seguros y Servicios Financieros</t>
        </is>
      </c>
      <c r="E10" s="73" t="n"/>
      <c r="F10" s="73" t="inlineStr">
        <is>
          <t>Centro de Banca / admisiones</t>
        </is>
      </c>
      <c r="G10" s="18" t="inlineStr">
        <is>
          <t>https://www.intecap.edu.gt/centros/centrodebanca/</t>
        </is>
      </c>
      <c r="H10" s="28" t="inlineStr">
        <is>
          <t>no disponible públicamente</t>
        </is>
      </c>
      <c r="I10" s="73" t="inlineStr">
        <is>
          <t>2410-5555 ext. 10921/10924</t>
        </is>
      </c>
      <c r="J10" s="73" t="inlineStr">
        <is>
          <t>centrodebanca@intecap.edu.gt</t>
        </is>
      </c>
      <c r="K10" s="18" t="inlineStr">
        <is>
          <t>https://www.intecap.edu.gt/centros/centrodebanca/</t>
        </is>
      </c>
      <c r="L10" s="51" t="inlineStr">
        <is>
          <t>CONFIRMADO</t>
        </is>
      </c>
      <c r="M10" s="30" t="n"/>
    </row>
    <row r="11" ht="30" customHeight="1" s="182">
      <c r="A11" s="42" t="inlineStr">
        <is>
          <t>Guatemala</t>
        </is>
      </c>
      <c r="B11" s="15" t="inlineStr">
        <is>
          <t>Formación técnica pública</t>
        </is>
      </c>
      <c r="C11" s="73" t="inlineStr">
        <is>
          <t>Centro de Capacitación</t>
        </is>
      </c>
      <c r="D11" s="73" t="inlineStr">
        <is>
          <t>Centro de Capacitación Villa Nueva Enriqueta</t>
        </is>
      </c>
      <c r="E11" s="73" t="n"/>
      <c r="F11" s="73" t="inlineStr">
        <is>
          <t>Centro de Capacitación / admisiones</t>
        </is>
      </c>
      <c r="G11" s="18" t="inlineStr">
        <is>
          <t>https://www.intecap.edu.gt/centros/centrovillanueva/</t>
        </is>
      </c>
      <c r="H11" s="28" t="inlineStr">
        <is>
          <t>no disponible públicamente</t>
        </is>
      </c>
      <c r="I11" s="73" t="inlineStr">
        <is>
          <t>6635-5774 / 6635-5860 / 6636-7985</t>
        </is>
      </c>
      <c r="J11" s="73" t="inlineStr">
        <is>
          <t>centrovillanueva@intecap.edu.gt</t>
        </is>
      </c>
      <c r="K11" s="18" t="inlineStr">
        <is>
          <t>https://www.intecap.edu.gt/centros/centrovillanueva/</t>
        </is>
      </c>
      <c r="L11" s="51" t="inlineStr">
        <is>
          <t>CONFIRMADO</t>
        </is>
      </c>
      <c r="M11" s="30" t="n"/>
    </row>
    <row r="12" ht="30" customHeight="1" s="182">
      <c r="A12" s="42" t="inlineStr">
        <is>
          <t>Guatemala</t>
        </is>
      </c>
      <c r="B12" s="15" t="inlineStr">
        <is>
          <t>Formación técnica pública</t>
        </is>
      </c>
      <c r="C12" s="73" t="inlineStr">
        <is>
          <t>Centro de Capacitación</t>
        </is>
      </c>
      <c r="D12" s="73" t="inlineStr">
        <is>
          <t>Centro de Capacitación Villa Nueva Reformadores</t>
        </is>
      </c>
      <c r="E12" s="73" t="n"/>
      <c r="F12" s="73" t="inlineStr">
        <is>
          <t>Centro de Capacitación / admisiones</t>
        </is>
      </c>
      <c r="G12" s="18" t="inlineStr">
        <is>
          <t>https://www.intecap.edu.gt/centros/vnreformadores/</t>
        </is>
      </c>
      <c r="H12" s="28" t="inlineStr">
        <is>
          <t>no disponible públicamente</t>
        </is>
      </c>
      <c r="I12" s="73" t="inlineStr">
        <is>
          <t>6635-5774 / 6635-5860 / 6670-6600</t>
        </is>
      </c>
      <c r="J12" s="73" t="inlineStr">
        <is>
          <t>centrovillanueva@intecap.edu.gt</t>
        </is>
      </c>
      <c r="K12" s="18" t="inlineStr">
        <is>
          <t>https://www.intecap.edu.gt/centros/vnreformadores/</t>
        </is>
      </c>
      <c r="L12" s="51" t="inlineStr">
        <is>
          <t>CONFIRMADO</t>
        </is>
      </c>
      <c r="M12" s="30" t="n"/>
    </row>
    <row r="13" ht="30" customHeight="1" s="182">
      <c r="A13" s="42" t="inlineStr">
        <is>
          <t>Guatemala</t>
        </is>
      </c>
      <c r="B13" s="15" t="inlineStr">
        <is>
          <t>Formación técnica pública</t>
        </is>
      </c>
      <c r="C13" s="73" t="inlineStr">
        <is>
          <t>Centro de Capacitación</t>
        </is>
      </c>
      <c r="D13" s="73" t="inlineStr">
        <is>
          <t>Centro de Capacitación Jutiapa</t>
        </is>
      </c>
      <c r="E13" s="73" t="n"/>
      <c r="F13" s="73" t="inlineStr">
        <is>
          <t>Centro de Capacitación / admisiones</t>
        </is>
      </c>
      <c r="G13" s="18" t="inlineStr">
        <is>
          <t>https://www.intecap.edu.gt/centros/centrojutiapa/</t>
        </is>
      </c>
      <c r="H13" s="28" t="inlineStr">
        <is>
          <t>no disponible públicamente</t>
        </is>
      </c>
      <c r="I13" s="73" t="inlineStr">
        <is>
          <t>7793-7300</t>
        </is>
      </c>
      <c r="J13" s="73" t="inlineStr">
        <is>
          <t>centrojutiapa@intecap.edu.gt</t>
        </is>
      </c>
      <c r="K13" s="18" t="inlineStr">
        <is>
          <t>https://www.intecap.edu.gt/centros/centrojutiapa/</t>
        </is>
      </c>
      <c r="L13" s="51" t="inlineStr">
        <is>
          <t>CONFIRMADO</t>
        </is>
      </c>
      <c r="M13" s="30" t="n"/>
    </row>
    <row r="14" ht="30" customHeight="1" s="182">
      <c r="A14" s="42" t="inlineStr">
        <is>
          <t>Guatemala</t>
        </is>
      </c>
      <c r="B14" s="15" t="inlineStr">
        <is>
          <t>Formación técnica pública</t>
        </is>
      </c>
      <c r="C14" s="73" t="inlineStr">
        <is>
          <t>Centro de Capacitación</t>
        </is>
      </c>
      <c r="D14" s="73" t="inlineStr">
        <is>
          <t>Centro de Capacitación Santa Rosa</t>
        </is>
      </c>
      <c r="E14" s="73" t="n"/>
      <c r="F14" s="73" t="inlineStr">
        <is>
          <t>Centro de Capacitación / admisiones</t>
        </is>
      </c>
      <c r="G14" s="18" t="inlineStr">
        <is>
          <t>https://www.intecap.edu.gt/centros/centrosantarosa/</t>
        </is>
      </c>
      <c r="H14" s="28" t="inlineStr">
        <is>
          <t>no disponible públicamente</t>
        </is>
      </c>
      <c r="I14" s="73" t="inlineStr">
        <is>
          <t>7774-5450</t>
        </is>
      </c>
      <c r="J14" s="73" t="inlineStr">
        <is>
          <t>centrosantarosa@intecap.edu.gt</t>
        </is>
      </c>
      <c r="K14" s="18" t="inlineStr">
        <is>
          <t>https://www.intecap.edu.gt/centros/centrosantarosa/</t>
        </is>
      </c>
      <c r="L14" s="51" t="inlineStr">
        <is>
          <t>CONFIRMADO</t>
        </is>
      </c>
      <c r="M14" s="30" t="n"/>
    </row>
    <row r="15" ht="30" customHeight="1" s="182">
      <c r="A15" s="42" t="inlineStr">
        <is>
          <t>Guatemala</t>
        </is>
      </c>
      <c r="B15" s="15" t="inlineStr">
        <is>
          <t>Formación técnica pública</t>
        </is>
      </c>
      <c r="C15" s="73" t="inlineStr">
        <is>
          <t>Centro de Capacitación</t>
        </is>
      </c>
      <c r="D15" s="73" t="inlineStr">
        <is>
          <t>INTECAP Zona 10</t>
        </is>
      </c>
      <c r="E15" s="73" t="n"/>
      <c r="F15" s="73" t="inlineStr">
        <is>
          <t>Centro de Capacitación / admisiones</t>
        </is>
      </c>
      <c r="G15" s="18" t="inlineStr">
        <is>
          <t>https://www.intecap.edu.gt/centros/centrozona10/</t>
        </is>
      </c>
      <c r="H15" s="28" t="inlineStr">
        <is>
          <t>no disponible públicamente</t>
        </is>
      </c>
      <c r="I15" s="73" t="inlineStr">
        <is>
          <t>2363-5581 / 2386-4064 / 2386-4067</t>
        </is>
      </c>
      <c r="J15" s="73" t="inlineStr">
        <is>
          <t>intecapzona10@intecap.edu.gt</t>
        </is>
      </c>
      <c r="K15" s="18" t="inlineStr">
        <is>
          <t>https://www.intecap.edu.gt/centros/centrozona10/</t>
        </is>
      </c>
      <c r="L15" s="51" t="inlineStr">
        <is>
          <t>CONFIRMADO</t>
        </is>
      </c>
      <c r="M15" s="30" t="n"/>
    </row>
    <row r="16" ht="30" customHeight="1" s="182">
      <c r="A16" s="42" t="inlineStr">
        <is>
          <t>Guatemala</t>
        </is>
      </c>
      <c r="B16" s="15" t="inlineStr">
        <is>
          <t>Formación técnica pública</t>
        </is>
      </c>
      <c r="C16" s="73" t="inlineStr">
        <is>
          <t>Centro de Capacitación</t>
        </is>
      </c>
      <c r="D16" s="73" t="inlineStr">
        <is>
          <t>Centro de Capacitación Cobán</t>
        </is>
      </c>
      <c r="E16" s="73" t="n"/>
      <c r="F16" s="73" t="inlineStr">
        <is>
          <t>Centro de Capacitación / admisiones</t>
        </is>
      </c>
      <c r="G16" s="18" t="inlineStr">
        <is>
          <t>https://www.intecap.edu.gt/centros/centrocoban/</t>
        </is>
      </c>
      <c r="H16" s="28" t="inlineStr">
        <is>
          <t>no disponible públicamente</t>
        </is>
      </c>
      <c r="I16" s="73" t="inlineStr">
        <is>
          <t>7873-3800</t>
        </is>
      </c>
      <c r="J16" s="73" t="inlineStr">
        <is>
          <t>centrocoban@intecap.edu.gt</t>
        </is>
      </c>
      <c r="K16" s="18" t="inlineStr">
        <is>
          <t>https://www.intecap.edu.gt/centros/centrocoban/</t>
        </is>
      </c>
      <c r="L16" s="51" t="inlineStr">
        <is>
          <t>CONFIRMADO</t>
        </is>
      </c>
      <c r="M16" s="30" t="n"/>
    </row>
    <row r="17" ht="30" customHeight="1" s="182">
      <c r="A17" s="42" t="inlineStr">
        <is>
          <t>Guatemala</t>
        </is>
      </c>
      <c r="B17" s="15" t="inlineStr">
        <is>
          <t>Formación técnica pública</t>
        </is>
      </c>
      <c r="C17" s="73" t="inlineStr">
        <is>
          <t>Centro de Capacitación</t>
        </is>
      </c>
      <c r="D17" s="73" t="inlineStr">
        <is>
          <t>Centro de Capacitación Baja Verapaz</t>
        </is>
      </c>
      <c r="E17" s="73" t="n"/>
      <c r="F17" s="73" t="inlineStr">
        <is>
          <t>Centro de Capacitación / admisiones</t>
        </is>
      </c>
      <c r="G17" s="18" t="inlineStr">
        <is>
          <t>https://www.intecap.edu.gt/centros/centrobajaverapaz/</t>
        </is>
      </c>
      <c r="H17" s="28" t="inlineStr">
        <is>
          <t>no disponible públicamente</t>
        </is>
      </c>
      <c r="I17" s="73" t="inlineStr">
        <is>
          <t>7793-5300</t>
        </is>
      </c>
      <c r="J17" s="73" t="inlineStr">
        <is>
          <t>centrobajaverapaz@intecap.edu.gt</t>
        </is>
      </c>
      <c r="K17" s="18" t="inlineStr">
        <is>
          <t>https://www.intecap.edu.gt/centros/centrobajaverapaz/</t>
        </is>
      </c>
      <c r="L17" s="51" t="inlineStr">
        <is>
          <t>CONFIRMADO</t>
        </is>
      </c>
      <c r="M17" s="30" t="n"/>
    </row>
    <row r="18" ht="30" customHeight="1" s="182">
      <c r="A18" s="42" t="inlineStr">
        <is>
          <t>Guatemala</t>
        </is>
      </c>
      <c r="B18" s="15" t="inlineStr">
        <is>
          <t>Formación técnica pública</t>
        </is>
      </c>
      <c r="C18" s="73" t="inlineStr">
        <is>
          <t>Centro de Capacitación</t>
        </is>
      </c>
      <c r="D18" s="73" t="inlineStr">
        <is>
          <t>Centro de Capacitación Petén</t>
        </is>
      </c>
      <c r="E18" s="73" t="n"/>
      <c r="F18" s="73" t="inlineStr">
        <is>
          <t>Centro de Capacitación / admisiones</t>
        </is>
      </c>
      <c r="G18" s="18" t="inlineStr">
        <is>
          <t>https://www.intecap.edu.gt/centros/centropeten/</t>
        </is>
      </c>
      <c r="H18" s="28" t="inlineStr">
        <is>
          <t>no disponible públicamente</t>
        </is>
      </c>
      <c r="I18" s="73" t="inlineStr">
        <is>
          <t>7740-2100</t>
        </is>
      </c>
      <c r="J18" s="73" t="inlineStr">
        <is>
          <t>centropeten@intecap.edu.gt</t>
        </is>
      </c>
      <c r="K18" s="18" t="inlineStr">
        <is>
          <t>https://www.intecap.edu.gt/centros/centropeten/</t>
        </is>
      </c>
      <c r="L18" s="51" t="inlineStr">
        <is>
          <t>CONFIRMADO</t>
        </is>
      </c>
      <c r="M18" s="30" t="n"/>
    </row>
    <row r="19" ht="30" customHeight="1" s="182">
      <c r="A19" s="42" t="inlineStr">
        <is>
          <t>Guatemala</t>
        </is>
      </c>
      <c r="B19" s="15" t="inlineStr">
        <is>
          <t>Formación técnica pública</t>
        </is>
      </c>
      <c r="C19" s="73" t="inlineStr">
        <is>
          <t>Centro de Capacitación</t>
        </is>
      </c>
      <c r="D19" s="73" t="inlineStr">
        <is>
          <t>Centro de Capacitación Quetzaltenango</t>
        </is>
      </c>
      <c r="E19" s="73" t="n"/>
      <c r="F19" s="73" t="inlineStr">
        <is>
          <t>Centro de Capacitación / admisiones</t>
        </is>
      </c>
      <c r="G19" s="18" t="inlineStr">
        <is>
          <t>https://www.intecap.edu.gt/centros/centroquetzaltenango/</t>
        </is>
      </c>
      <c r="H19" s="28" t="inlineStr">
        <is>
          <t>no disponible públicamente</t>
        </is>
      </c>
      <c r="I19" s="73" t="inlineStr">
        <is>
          <t>7873-4000 ext. 30377/30353</t>
        </is>
      </c>
      <c r="J19" s="73" t="inlineStr">
        <is>
          <t>centroquetzaltenango@intecap.edu.gt</t>
        </is>
      </c>
      <c r="K19" s="18" t="inlineStr">
        <is>
          <t>https://www.intecap.edu.gt/centros/centroquetzaltenango/</t>
        </is>
      </c>
      <c r="L19" s="51" t="inlineStr">
        <is>
          <t>CONFIRMADO</t>
        </is>
      </c>
      <c r="M19" s="30" t="n"/>
    </row>
    <row r="20" ht="30" customHeight="1" s="182">
      <c r="A20" s="42" t="inlineStr">
        <is>
          <t>Guatemala</t>
        </is>
      </c>
      <c r="B20" s="15" t="inlineStr">
        <is>
          <t>Formación técnica pública</t>
        </is>
      </c>
      <c r="C20" s="73" t="inlineStr">
        <is>
          <t>Centro de Capacitación</t>
        </is>
      </c>
      <c r="D20" s="73" t="inlineStr">
        <is>
          <t>Centro de Capacitación Sololá</t>
        </is>
      </c>
      <c r="E20" s="73" t="n"/>
      <c r="F20" s="73" t="inlineStr">
        <is>
          <t>Centro de Capacitación / admisiones</t>
        </is>
      </c>
      <c r="G20" s="18" t="inlineStr">
        <is>
          <t>https://www.intecap.edu.gt/centros/centrosolola/</t>
        </is>
      </c>
      <c r="H20" s="28" t="inlineStr">
        <is>
          <t>no disponible públicamente</t>
        </is>
      </c>
      <c r="I20" s="73" t="inlineStr">
        <is>
          <t>7762-4843 / 7762-4845</t>
        </is>
      </c>
      <c r="J20" s="73" t="inlineStr">
        <is>
          <t>centrosolola@intecap.edu.gt</t>
        </is>
      </c>
      <c r="K20" s="18" t="inlineStr">
        <is>
          <t>https://www.intecap.edu.gt/centros/centrosolola/</t>
        </is>
      </c>
      <c r="L20" s="51" t="inlineStr">
        <is>
          <t>CONFIRMADO</t>
        </is>
      </c>
      <c r="M20" s="30" t="n"/>
    </row>
    <row r="21" ht="30" customHeight="1" s="182">
      <c r="A21" s="42" t="inlineStr">
        <is>
          <t>Guatemala</t>
        </is>
      </c>
      <c r="B21" s="15" t="inlineStr">
        <is>
          <t>Formación técnica pública</t>
        </is>
      </c>
      <c r="C21" s="73" t="inlineStr">
        <is>
          <t>Centro de Capacitación</t>
        </is>
      </c>
      <c r="D21" s="73" t="inlineStr">
        <is>
          <t>Centro de Capacitación Huehuetenango</t>
        </is>
      </c>
      <c r="E21" s="73" t="n"/>
      <c r="F21" s="73" t="inlineStr">
        <is>
          <t>Centro de Capacitación / admisiones</t>
        </is>
      </c>
      <c r="G21" s="18" t="inlineStr">
        <is>
          <t>https://www.intecap.edu.gt/centros/centrohuehuetenango/</t>
        </is>
      </c>
      <c r="H21" s="28" t="inlineStr">
        <is>
          <t>no disponible públicamente</t>
        </is>
      </c>
      <c r="I21" s="73" t="inlineStr">
        <is>
          <t>7957-5353</t>
        </is>
      </c>
      <c r="J21" s="73" t="inlineStr">
        <is>
          <t>centrohuehuetenango@intecap.edu.gt</t>
        </is>
      </c>
      <c r="K21" s="18" t="inlineStr">
        <is>
          <t>https://www.intecap.edu.gt/centros/centrohuehuetenango/</t>
        </is>
      </c>
      <c r="L21" s="51" t="inlineStr">
        <is>
          <t>CONFIRMADO</t>
        </is>
      </c>
      <c r="M21" s="30" t="n"/>
    </row>
    <row r="22" ht="30" customHeight="1" s="182">
      <c r="A22" s="42" t="inlineStr">
        <is>
          <t>Guatemala</t>
        </is>
      </c>
      <c r="B22" s="15" t="inlineStr">
        <is>
          <t>Formación técnica pública</t>
        </is>
      </c>
      <c r="C22" s="73" t="inlineStr">
        <is>
          <t>Centro de Capacitación</t>
        </is>
      </c>
      <c r="D22" s="73" t="inlineStr">
        <is>
          <t>Centro de Capacitación San Marcos</t>
        </is>
      </c>
      <c r="E22" s="73" t="n"/>
      <c r="F22" s="73" t="inlineStr">
        <is>
          <t>Centro de Capacitación / admisiones</t>
        </is>
      </c>
      <c r="G22" s="18" t="inlineStr">
        <is>
          <t>https://www.intecap.edu.gt/centros/centrosanmarcos/</t>
        </is>
      </c>
      <c r="H22" s="28" t="inlineStr">
        <is>
          <t>no disponible públicamente</t>
        </is>
      </c>
      <c r="I22" s="73" t="inlineStr">
        <is>
          <t>7790-5757 ext. 1101-1153</t>
        </is>
      </c>
      <c r="J22" s="73" t="inlineStr">
        <is>
          <t>centrosanmarcos@intecap.edu.gt</t>
        </is>
      </c>
      <c r="K22" s="18" t="inlineStr">
        <is>
          <t>https://www.intecap.edu.gt/centros/centrosanmarcos/</t>
        </is>
      </c>
      <c r="L22" s="51" t="inlineStr">
        <is>
          <t>CONFIRMADO</t>
        </is>
      </c>
      <c r="M22" s="30" t="n"/>
    </row>
    <row r="23" ht="30" customHeight="1" s="182">
      <c r="A23" s="42" t="inlineStr">
        <is>
          <t>Guatemala</t>
        </is>
      </c>
      <c r="B23" s="15" t="inlineStr">
        <is>
          <t>Formación técnica pública</t>
        </is>
      </c>
      <c r="C23" s="73" t="inlineStr">
        <is>
          <t>Centro de Capacitación</t>
        </is>
      </c>
      <c r="D23" s="73" t="inlineStr">
        <is>
          <t>Centro de Capacitación Quiché</t>
        </is>
      </c>
      <c r="E23" s="73" t="n"/>
      <c r="F23" s="73" t="inlineStr">
        <is>
          <t>Centro de Capacitación / admisiones</t>
        </is>
      </c>
      <c r="G23" s="18" t="inlineStr">
        <is>
          <t>https://www.intecap.edu.gt/centros/centroquiche/</t>
        </is>
      </c>
      <c r="H23" s="28" t="inlineStr">
        <is>
          <t>no disponible públicamente</t>
        </is>
      </c>
      <c r="I23" s="73" t="inlineStr">
        <is>
          <t>7790-4500</t>
        </is>
      </c>
      <c r="J23" s="73" t="inlineStr">
        <is>
          <t>intecapquiche@intecap.edu.gt</t>
        </is>
      </c>
      <c r="K23" s="18" t="inlineStr">
        <is>
          <t>https://www.intecap.edu.gt/centros/centroquiche/</t>
        </is>
      </c>
      <c r="L23" s="51" t="inlineStr">
        <is>
          <t>CONFIRMADO</t>
        </is>
      </c>
      <c r="M23" s="30" t="n"/>
    </row>
    <row r="24" ht="30" customHeight="1" s="182">
      <c r="A24" s="42" t="inlineStr">
        <is>
          <t>Guatemala</t>
        </is>
      </c>
      <c r="B24" s="15" t="inlineStr">
        <is>
          <t>Formación técnica pública</t>
        </is>
      </c>
      <c r="C24" s="73" t="inlineStr">
        <is>
          <t>Centro de Capacitación</t>
        </is>
      </c>
      <c r="D24" s="73" t="inlineStr">
        <is>
          <t>Centro de Capacitación Totonicapán</t>
        </is>
      </c>
      <c r="E24" s="73" t="n"/>
      <c r="F24" s="73" t="inlineStr">
        <is>
          <t>Centro de Capacitación / admisiones</t>
        </is>
      </c>
      <c r="G24" s="18" t="inlineStr">
        <is>
          <t>https://www.intecap.edu.gt/centros/centrototonicapan/</t>
        </is>
      </c>
      <c r="H24" s="28" t="inlineStr">
        <is>
          <t>no disponible públicamente</t>
        </is>
      </c>
      <c r="I24" s="73" t="inlineStr">
        <is>
          <t>7884-0000 ext. 50601</t>
        </is>
      </c>
      <c r="J24" s="73" t="inlineStr">
        <is>
          <t>centrototonicapan@intecap.edu.gt</t>
        </is>
      </c>
      <c r="K24" s="18" t="inlineStr">
        <is>
          <t>https://www.intecap.edu.gt/centros/centrototonicapan/</t>
        </is>
      </c>
      <c r="L24" s="51" t="inlineStr">
        <is>
          <t>CONFIRMADO</t>
        </is>
      </c>
      <c r="M24" s="30" t="n"/>
    </row>
    <row r="25" ht="30" customHeight="1" s="182">
      <c r="A25" s="42" t="inlineStr">
        <is>
          <t>Guatemala</t>
        </is>
      </c>
      <c r="B25" s="15" t="inlineStr">
        <is>
          <t>Formación técnica pública</t>
        </is>
      </c>
      <c r="C25" s="73" t="inlineStr">
        <is>
          <t>Centro de Capacitación</t>
        </is>
      </c>
      <c r="D25" s="73" t="inlineStr">
        <is>
          <t>Centro de Capacitación Santa Lucía Cotzumalguapa</t>
        </is>
      </c>
      <c r="E25" s="73" t="n"/>
      <c r="F25" s="73" t="inlineStr">
        <is>
          <t>Centro de Capacitación / admisiones</t>
        </is>
      </c>
      <c r="G25" s="18" t="inlineStr">
        <is>
          <t>https://www.intecap.edu.gt/centros/centrosantalucia/</t>
        </is>
      </c>
      <c r="H25" s="28" t="inlineStr">
        <is>
          <t>no disponible públicamente</t>
        </is>
      </c>
      <c r="I25" s="73" t="inlineStr">
        <is>
          <t>7828-0104 / 7828-0100</t>
        </is>
      </c>
      <c r="J25" s="73" t="inlineStr">
        <is>
          <t>centrosantalucia@intecap.edu.gt</t>
        </is>
      </c>
      <c r="K25" s="18" t="inlineStr">
        <is>
          <t>https://www.intecap.edu.gt/centros/centrosantalucia/</t>
        </is>
      </c>
      <c r="L25" s="51" t="inlineStr">
        <is>
          <t>CONFIRMADO</t>
        </is>
      </c>
      <c r="M25" s="30" t="n"/>
    </row>
    <row r="26" ht="30" customHeight="1" s="182">
      <c r="A26" s="42" t="inlineStr">
        <is>
          <t>Guatemala</t>
        </is>
      </c>
      <c r="B26" s="15" t="inlineStr">
        <is>
          <t>Formación técnica pública</t>
        </is>
      </c>
      <c r="C26" s="73" t="inlineStr">
        <is>
          <t>Centro de Capacitación</t>
        </is>
      </c>
      <c r="D26" s="73" t="inlineStr">
        <is>
          <t>Centro de Capacitación Retalhuleu</t>
        </is>
      </c>
      <c r="E26" s="73" t="n"/>
      <c r="F26" s="73" t="inlineStr">
        <is>
          <t>Centro de Capacitación / admisiones</t>
        </is>
      </c>
      <c r="G26" s="18" t="inlineStr">
        <is>
          <t>https://www.intecap.edu.gt/centros/centroretalhuleu/</t>
        </is>
      </c>
      <c r="H26" s="28" t="inlineStr">
        <is>
          <t>no disponible públicamente</t>
        </is>
      </c>
      <c r="I26" s="73" t="inlineStr">
        <is>
          <t>7600-8600</t>
        </is>
      </c>
      <c r="J26" s="73" t="inlineStr">
        <is>
          <t>centroretalhuleu@intecap.edu.gt</t>
        </is>
      </c>
      <c r="K26" s="18" t="inlineStr">
        <is>
          <t>https://www.intecap.edu.gt/centros/centroretalhuleu/</t>
        </is>
      </c>
      <c r="L26" s="51" t="inlineStr">
        <is>
          <t>CONFIRMADO</t>
        </is>
      </c>
      <c r="M26" s="30" t="n"/>
    </row>
    <row r="27" ht="30" customHeight="1" s="182">
      <c r="A27" s="42" t="inlineStr">
        <is>
          <t>Guatemala</t>
        </is>
      </c>
      <c r="B27" s="15" t="inlineStr">
        <is>
          <t>Formación técnica pública</t>
        </is>
      </c>
      <c r="C27" s="73" t="inlineStr">
        <is>
          <t>Centro de Capacitación</t>
        </is>
      </c>
      <c r="D27" s="73" t="inlineStr">
        <is>
          <t>Centro de Capacitación Escuintla 1</t>
        </is>
      </c>
      <c r="E27" s="73" t="n"/>
      <c r="F27" s="73" t="inlineStr">
        <is>
          <t>Centro de Capacitación / admisiones</t>
        </is>
      </c>
      <c r="G27" s="18" t="inlineStr">
        <is>
          <t>https://www.intecap.edu.gt/centros/centroescuintla1/</t>
        </is>
      </c>
      <c r="H27" s="28" t="inlineStr">
        <is>
          <t>no disponible públicamente</t>
        </is>
      </c>
      <c r="I27" s="73" t="inlineStr">
        <is>
          <t>7790-3232</t>
        </is>
      </c>
      <c r="J27" s="28" t="inlineStr">
        <is>
          <t>centroescuintla1@intecap.edu.gt</t>
        </is>
      </c>
      <c r="K27" s="18" t="inlineStr">
        <is>
          <t>https://www.intecap.edu.gt/centros/centroescuintla1/</t>
        </is>
      </c>
      <c r="L27" s="51" t="inlineStr">
        <is>
          <t>CONFIRMADO</t>
        </is>
      </c>
      <c r="M27" s="30" t="n"/>
    </row>
    <row r="28" ht="30" customHeight="1" s="182">
      <c r="A28" s="42" t="inlineStr">
        <is>
          <t>Guatemala</t>
        </is>
      </c>
      <c r="B28" s="15" t="inlineStr">
        <is>
          <t>Formación técnica pública</t>
        </is>
      </c>
      <c r="C28" s="73" t="inlineStr">
        <is>
          <t>Centro de Capacitación</t>
        </is>
      </c>
      <c r="D28" s="73" t="inlineStr">
        <is>
          <t>Centro de Capacitación Escuintla 2</t>
        </is>
      </c>
      <c r="E28" s="73" t="n"/>
      <c r="F28" s="73" t="inlineStr">
        <is>
          <t>Centro de Capacitación / admisiones</t>
        </is>
      </c>
      <c r="G28" s="18" t="inlineStr">
        <is>
          <t>https://www.intecap.edu.gt/centros/centroescuintla2/</t>
        </is>
      </c>
      <c r="H28" s="28" t="inlineStr">
        <is>
          <t>no disponible públicamente</t>
        </is>
      </c>
      <c r="I28" s="73" t="inlineStr">
        <is>
          <t>7889-0179 / 7889-0185</t>
        </is>
      </c>
      <c r="J28" s="73" t="inlineStr">
        <is>
          <t>centroescuintla2@intecap.edu.gt</t>
        </is>
      </c>
      <c r="K28" s="18" t="inlineStr">
        <is>
          <t>https://www.intecap.edu.gt/centros/centroescuintla2/</t>
        </is>
      </c>
      <c r="L28" s="51" t="inlineStr">
        <is>
          <t>CONFIRMADO</t>
        </is>
      </c>
      <c r="M28" s="30" t="n"/>
    </row>
    <row r="29" ht="30" customHeight="1" s="182">
      <c r="A29" s="42" t="inlineStr">
        <is>
          <t>Guatemala</t>
        </is>
      </c>
      <c r="B29" s="15" t="inlineStr">
        <is>
          <t>Formación técnica pública</t>
        </is>
      </c>
      <c r="C29" s="73" t="inlineStr">
        <is>
          <t>Centro de Capacitación</t>
        </is>
      </c>
      <c r="D29" s="73" t="inlineStr">
        <is>
          <t>Centro de Capacitación Coatepeque</t>
        </is>
      </c>
      <c r="E29" s="73" t="n"/>
      <c r="F29" s="73" t="inlineStr">
        <is>
          <t>Centro de Capacitación / admisiones</t>
        </is>
      </c>
      <c r="G29" s="18" t="inlineStr">
        <is>
          <t>https://www.intecap.edu.gt/centros/centrocoatepeque/</t>
        </is>
      </c>
      <c r="H29" s="28" t="inlineStr">
        <is>
          <t>no disponible públicamente</t>
        </is>
      </c>
      <c r="I29" s="73" t="inlineStr">
        <is>
          <t>7775-6262</t>
        </is>
      </c>
      <c r="J29" s="73" t="inlineStr">
        <is>
          <t>centrocoatepeque@intecap.edu.gt</t>
        </is>
      </c>
      <c r="K29" s="18" t="inlineStr">
        <is>
          <t>https://www.intecap.edu.gt/centros/centrocoatepeque/</t>
        </is>
      </c>
      <c r="L29" s="51" t="inlineStr">
        <is>
          <t>CONFIRMADO</t>
        </is>
      </c>
      <c r="M29" s="30" t="n"/>
    </row>
    <row r="30" ht="30" customHeight="1" s="182">
      <c r="A30" s="42" t="inlineStr">
        <is>
          <t>Guatemala</t>
        </is>
      </c>
      <c r="B30" s="15" t="inlineStr">
        <is>
          <t>Formación técnica pública</t>
        </is>
      </c>
      <c r="C30" s="73" t="inlineStr">
        <is>
          <t>Centro de Capacitación</t>
        </is>
      </c>
      <c r="D30" s="73" t="inlineStr">
        <is>
          <t>Centro de Capacitación Suchitepéquez</t>
        </is>
      </c>
      <c r="E30" s="73" t="n"/>
      <c r="F30" s="73" t="inlineStr">
        <is>
          <t>Centro de Capacitación / admisiones</t>
        </is>
      </c>
      <c r="G30" s="18" t="inlineStr">
        <is>
          <t>https://www.intecap.edu.gt/centros/centrosuchitepequez/</t>
        </is>
      </c>
      <c r="H30" s="28" t="inlineStr">
        <is>
          <t>no disponible públicamente</t>
        </is>
      </c>
      <c r="I30" s="73" t="inlineStr">
        <is>
          <t>7728-5200 / 7728-5201</t>
        </is>
      </c>
      <c r="J30" s="73" t="inlineStr">
        <is>
          <t>centrosuchitepequez@intecap.edu.gt</t>
        </is>
      </c>
      <c r="K30" s="18" t="inlineStr">
        <is>
          <t>https://www.intecap.edu.gt/centros/centrosuchitepequez/</t>
        </is>
      </c>
      <c r="L30" s="51" t="inlineStr">
        <is>
          <t>CONFIRMADO</t>
        </is>
      </c>
      <c r="M30" s="30" t="n"/>
    </row>
    <row r="31" ht="30" customHeight="1" s="182">
      <c r="A31" s="42" t="inlineStr">
        <is>
          <t>Guatemala</t>
        </is>
      </c>
      <c r="B31" s="15" t="inlineStr">
        <is>
          <t>Formación técnica pública</t>
        </is>
      </c>
      <c r="C31" s="73" t="inlineStr">
        <is>
          <t>Centro de Capacitación</t>
        </is>
      </c>
      <c r="D31" s="73" t="inlineStr">
        <is>
          <t>Centro de Capacitación Chiquimula</t>
        </is>
      </c>
      <c r="E31" s="73" t="n"/>
      <c r="F31" s="73" t="inlineStr">
        <is>
          <t>Centro de Capacitación / admisiones</t>
        </is>
      </c>
      <c r="G31" s="18" t="inlineStr">
        <is>
          <t>https://www.intecap.edu.gt/centros/centrochiquimula/</t>
        </is>
      </c>
      <c r="H31" s="28" t="inlineStr">
        <is>
          <t>no disponible públicamente</t>
        </is>
      </c>
      <c r="I31" s="73" t="inlineStr">
        <is>
          <t>7942-0511 / 7942-6118</t>
        </is>
      </c>
      <c r="J31" s="73" t="inlineStr">
        <is>
          <t>centrochiquimula@intecap.edu.gt</t>
        </is>
      </c>
      <c r="K31" s="18" t="inlineStr">
        <is>
          <t>https://www.intecap.edu.gt/centros/centrochiquimula/</t>
        </is>
      </c>
      <c r="L31" s="51" t="inlineStr">
        <is>
          <t>CONFIRMADO</t>
        </is>
      </c>
      <c r="M31" s="30" t="n"/>
    </row>
    <row r="32" ht="30" customHeight="1" s="182">
      <c r="A32" s="42" t="inlineStr">
        <is>
          <t>Guatemala</t>
        </is>
      </c>
      <c r="B32" s="15" t="inlineStr">
        <is>
          <t>Formación técnica pública</t>
        </is>
      </c>
      <c r="C32" s="73" t="inlineStr">
        <is>
          <t>Centro de Capacitación</t>
        </is>
      </c>
      <c r="D32" s="73" t="inlineStr">
        <is>
          <t>Centro de Capacitación Santo Tomás de Castilla</t>
        </is>
      </c>
      <c r="E32" s="73" t="n"/>
      <c r="F32" s="73" t="inlineStr">
        <is>
          <t>Centro de Capacitación / admisiones</t>
        </is>
      </c>
      <c r="G32" s="18" t="inlineStr">
        <is>
          <t>https://www.intecap.edu.gt/centros/centrosantotomas/</t>
        </is>
      </c>
      <c r="H32" s="28" t="inlineStr">
        <is>
          <t>no disponible públicamente</t>
        </is>
      </c>
      <c r="I32" s="73" t="inlineStr">
        <is>
          <t>7842-8386 / 7842-8387 / 7842-8388</t>
        </is>
      </c>
      <c r="J32" s="73" t="inlineStr">
        <is>
          <t>centrosantotomas@intecap.edu.gt</t>
        </is>
      </c>
      <c r="K32" s="18" t="inlineStr">
        <is>
          <t>https://www.intecap.edu.gt/centros/centrosantotomas/</t>
        </is>
      </c>
      <c r="L32" s="51" t="inlineStr">
        <is>
          <t>CONFIRMADO</t>
        </is>
      </c>
      <c r="M32" s="30" t="n"/>
    </row>
    <row r="33" ht="30" customHeight="1" s="182">
      <c r="A33" s="42" t="inlineStr">
        <is>
          <t>Guatemala</t>
        </is>
      </c>
      <c r="B33" s="15" t="inlineStr">
        <is>
          <t>Formación técnica pública</t>
        </is>
      </c>
      <c r="C33" s="73" t="inlineStr">
        <is>
          <t>Centro de Capacitación</t>
        </is>
      </c>
      <c r="D33" s="73" t="inlineStr">
        <is>
          <t>Centro de Capacitación Zacapa</t>
        </is>
      </c>
      <c r="E33" s="73" t="n"/>
      <c r="F33" s="73" t="inlineStr">
        <is>
          <t>Centro de Capacitación / admisiones</t>
        </is>
      </c>
      <c r="G33" s="18" t="inlineStr">
        <is>
          <t>https://www.intecap.edu.gt/centros/centrozacapa/</t>
        </is>
      </c>
      <c r="H33" s="28" t="inlineStr">
        <is>
          <t>no disponible públicamente</t>
        </is>
      </c>
      <c r="I33" s="73" t="inlineStr">
        <is>
          <t>7941-5961 / 7941-5962</t>
        </is>
      </c>
      <c r="J33" s="73" t="inlineStr">
        <is>
          <t>centrozacapa@intecap.edu.gt</t>
        </is>
      </c>
      <c r="K33" s="18" t="inlineStr">
        <is>
          <t>https://www.intecap.edu.gt/centros/centrozacapa/</t>
        </is>
      </c>
      <c r="L33" s="51" t="inlineStr">
        <is>
          <t>CONFIRMADO</t>
        </is>
      </c>
      <c r="M33" s="30" t="n"/>
    </row>
    <row r="34" ht="30" customHeight="1" s="182">
      <c r="A34" s="42" t="inlineStr">
        <is>
          <t>Guatemala</t>
        </is>
      </c>
      <c r="B34" s="15" t="inlineStr">
        <is>
          <t>Formación técnica pública</t>
        </is>
      </c>
      <c r="C34" s="73" t="inlineStr">
        <is>
          <t>Centro de Capacitación</t>
        </is>
      </c>
      <c r="D34" s="73" t="inlineStr">
        <is>
          <t>Centro de Capacitación Jalapa</t>
        </is>
      </c>
      <c r="E34" s="73" t="n"/>
      <c r="F34" s="73" t="inlineStr">
        <is>
          <t>Centro de Capacitación / admisiones</t>
        </is>
      </c>
      <c r="G34" s="18" t="inlineStr">
        <is>
          <t>https://www.intecap.edu.gt/centros/centrojalapa/</t>
        </is>
      </c>
      <c r="H34" s="28" t="inlineStr">
        <is>
          <t>no disponible públicamente</t>
        </is>
      </c>
      <c r="I34" s="73" t="inlineStr">
        <is>
          <t>7793-5700 ext. 60000/60009</t>
        </is>
      </c>
      <c r="J34" s="73" t="inlineStr">
        <is>
          <t>centrojalapa@intecap.edu.gt</t>
        </is>
      </c>
      <c r="K34" s="18" t="inlineStr">
        <is>
          <t>https://www.intecap.edu.gt/centros/centrojalapa/</t>
        </is>
      </c>
      <c r="L34" s="51" t="inlineStr">
        <is>
          <t>CONFIRMADO</t>
        </is>
      </c>
      <c r="M34" s="30" t="n"/>
    </row>
    <row r="35" ht="30" customHeight="1" s="182">
      <c r="A35" s="42" t="inlineStr">
        <is>
          <t>Guatemala</t>
        </is>
      </c>
      <c r="B35" s="15" t="inlineStr">
        <is>
          <t>Organizaciones juveniles</t>
        </is>
      </c>
      <c r="C35" s="73" t="inlineStr">
        <is>
          <t>Organización Juvenil / Voluntariado</t>
        </is>
      </c>
      <c r="D35" s="73" t="inlineStr">
        <is>
          <t>TECHO Guatemala</t>
        </is>
      </c>
      <c r="E35" s="73" t="n"/>
      <c r="F35" s="73" t="inlineStr">
        <is>
          <t>Dirección General / Coordinación de Voluntariado</t>
        </is>
      </c>
      <c r="G35" s="18" t="inlineStr">
        <is>
          <t>https://www.techo.org/guatemala/</t>
        </is>
      </c>
      <c r="H35" s="143" t="inlineStr">
        <is>
          <t xml:space="preserve">Dirección General </t>
        </is>
      </c>
      <c r="I35" s="143" t="inlineStr">
        <is>
          <t>502 2366 1120</t>
        </is>
      </c>
      <c r="J35" s="73" t="inlineStr">
        <is>
          <t>ximena.valle@techo.org</t>
        </is>
      </c>
      <c r="K35" s="18" t="inlineStr">
        <is>
          <t>https://guatemala.techo.org/contacto/</t>
        </is>
      </c>
      <c r="L35" s="51" t="inlineStr">
        <is>
          <t>CONFIRMADO</t>
        </is>
      </c>
      <c r="M35" s="30" t="n"/>
    </row>
    <row r="36" ht="30" customHeight="1" s="182">
      <c r="A36" s="42" t="inlineStr">
        <is>
          <t>Guatemala</t>
        </is>
      </c>
      <c r="B36" s="15" t="inlineStr">
        <is>
          <t>Organizaciones juveniles</t>
        </is>
      </c>
      <c r="C36" s="73" t="inlineStr">
        <is>
          <t>Organización Juvenil / Movimiento Escultista</t>
        </is>
      </c>
      <c r="D36" s="73" t="inlineStr">
        <is>
          <t>Asociación de Scouts de Guatemala</t>
        </is>
      </c>
      <c r="E36" s="73" t="n"/>
      <c r="F36" s="73" t="inlineStr">
        <is>
          <t>Oficina Scout Nacional / Consejo Scout Nacional</t>
        </is>
      </c>
      <c r="G36" s="18" t="inlineStr">
        <is>
          <t>https://scouts.org.gt/</t>
        </is>
      </c>
      <c r="H36" s="28" t="inlineStr">
        <is>
          <t>no disponible públicamente</t>
        </is>
      </c>
      <c r="I36" s="143" t="inlineStr">
        <is>
          <t>502 2372 2886</t>
        </is>
      </c>
      <c r="J36" s="28" t="inlineStr">
        <is>
          <t>no disponible públicamente</t>
        </is>
      </c>
      <c r="K36" s="18" t="inlineStr">
        <is>
          <t>https://scouts.org.gt/contactanos/</t>
        </is>
      </c>
      <c r="L36" s="51" t="inlineStr">
        <is>
          <t>CONFIRMADO</t>
        </is>
      </c>
      <c r="M36" s="30" t="n"/>
    </row>
    <row r="37" ht="30" customHeight="1" s="182">
      <c r="A37" s="42" t="inlineStr">
        <is>
          <t>Guatemala</t>
        </is>
      </c>
      <c r="B37" s="15" t="inlineStr">
        <is>
          <t>Organizaciones juveniles</t>
        </is>
      </c>
      <c r="C37" s="73" t="inlineStr">
        <is>
          <t>Organización Juvenil / Liderazgo</t>
        </is>
      </c>
      <c r="D37" s="73" t="inlineStr">
        <is>
          <t>AIESEC en Guatemala</t>
        </is>
      </c>
      <c r="E37" s="73" t="n"/>
      <c r="F37" s="73" t="inlineStr">
        <is>
          <t>Comité Nacional / Intercambios Juveniles</t>
        </is>
      </c>
      <c r="G37" s="18" t="inlineStr">
        <is>
          <t>https://aiesec.org.gt/</t>
        </is>
      </c>
      <c r="H37" s="28" t="inlineStr">
        <is>
          <t>no disponible públicamente</t>
        </is>
      </c>
      <c r="I37" s="143" t="inlineStr">
        <is>
          <t>502 36212485</t>
        </is>
      </c>
      <c r="J37" s="28" t="inlineStr">
        <is>
          <t>no disponible públicamente</t>
        </is>
      </c>
      <c r="K37" s="18" t="inlineStr">
        <is>
          <t>https://www.linkedin.com/company/aiesec-en-guatemala/about/</t>
        </is>
      </c>
      <c r="L37" s="51" t="inlineStr">
        <is>
          <t>CONFIRMADO</t>
        </is>
      </c>
      <c r="M37" s="30" t="n"/>
    </row>
    <row r="38" ht="30" customHeight="1" s="182">
      <c r="A38" s="42" t="inlineStr">
        <is>
          <t>Guatemala</t>
        </is>
      </c>
      <c r="B38" s="15" t="inlineStr">
        <is>
          <t>Organizaciones juveniles</t>
        </is>
      </c>
      <c r="C38" s="73" t="inlineStr">
        <is>
          <t>Organización Juvenil / Cruz Roja</t>
        </is>
      </c>
      <c r="D38" s="73" t="inlineStr">
        <is>
          <t>Juventud Cruz Roja Guatemalteca</t>
        </is>
      </c>
      <c r="E38" s="73" t="n"/>
      <c r="F38" s="73" t="inlineStr">
        <is>
          <t>Dirección Nacional de Juventud</t>
        </is>
      </c>
      <c r="G38" s="18" t="inlineStr">
        <is>
          <t>https://cruzroja.org.gt/</t>
        </is>
      </c>
      <c r="H38" s="28" t="inlineStr">
        <is>
          <t>no disponible públicamente</t>
        </is>
      </c>
      <c r="I38" s="143" t="inlineStr">
        <is>
          <t>2381-6565 / 66</t>
        </is>
      </c>
      <c r="J38" s="28" t="inlineStr">
        <is>
          <t>no disponible públicamente</t>
        </is>
      </c>
      <c r="K38" s="18" t="inlineStr">
        <is>
          <t>https://www.cruzroja.gt/comunicate/</t>
        </is>
      </c>
      <c r="L38" s="51" t="inlineStr">
        <is>
          <t>CONFIRMADO</t>
        </is>
      </c>
      <c r="M38" s="30" t="n"/>
    </row>
    <row r="39" ht="30" customHeight="1" s="182">
      <c r="A39" s="42" t="inlineStr">
        <is>
          <t>Guatemala</t>
        </is>
      </c>
      <c r="B39" s="15" t="inlineStr">
        <is>
          <t>Organizaciones juveniles</t>
        </is>
      </c>
      <c r="C39" s="73" t="inlineStr">
        <is>
          <t>Organización Juvenil / Ecología y Acción Social</t>
        </is>
      </c>
      <c r="D39" s="73" t="inlineStr">
        <is>
          <t>Jóvenes por el Cambio Guatemala</t>
        </is>
      </c>
      <c r="E39" s="73" t="n"/>
      <c r="F39" s="73" t="inlineStr">
        <is>
          <t>Coordinación General de Proyectos Juveniles</t>
        </is>
      </c>
      <c r="G39" s="18" t="inlineStr">
        <is>
          <t>https://conjuve.gob.gt/registro-de-organizaciones-juveniles-nacionales/</t>
        </is>
      </c>
      <c r="H39" s="28" t="inlineStr">
        <is>
          <t>no disponible públicamente</t>
        </is>
      </c>
      <c r="I39" s="143" t="inlineStr">
        <is>
          <t>(+502) 2498-0800</t>
        </is>
      </c>
      <c r="J39" s="73" t="inlineStr">
        <is>
          <t>: info@conjuve.gob.gt</t>
        </is>
      </c>
      <c r="K39" s="18" t="inlineStr">
        <is>
          <t>https://conjuve.gob.gt/contacto/</t>
        </is>
      </c>
      <c r="L39" s="51" t="inlineStr">
        <is>
          <t>CONFIRMADO</t>
        </is>
      </c>
      <c r="M39" s="30" t="n"/>
    </row>
    <row r="40" ht="30" customHeight="1" s="182">
      <c r="A40" s="42" t="inlineStr">
        <is>
          <t>Guatemala</t>
        </is>
      </c>
      <c r="B40" s="15" t="inlineStr">
        <is>
          <t>Organizaciones juveniles</t>
        </is>
      </c>
      <c r="C40" s="73" t="inlineStr">
        <is>
          <t>Organización Juvenil / Participación Ciudadana</t>
        </is>
      </c>
      <c r="D40" s="73" t="inlineStr">
        <is>
          <t>Red Nacional de Grupos Juveniles de Guatemala</t>
        </is>
      </c>
      <c r="E40" s="73" t="n"/>
      <c r="F40" s="143" t="inlineStr">
        <is>
          <t>Secretaría de Organización y Enlace Regional</t>
        </is>
      </c>
      <c r="G40" s="28" t="inlineStr">
        <is>
          <t>no disponible públicamente</t>
        </is>
      </c>
      <c r="H40" s="28" t="inlineStr">
        <is>
          <t>no disponible públicamente</t>
        </is>
      </c>
      <c r="I40" s="28" t="inlineStr">
        <is>
          <t>no disponible públicamente</t>
        </is>
      </c>
      <c r="J40" s="143" t="inlineStr">
        <is>
          <t>redjovenes@scouts.org.gt</t>
        </is>
      </c>
      <c r="K40" s="18" t="inlineStr">
        <is>
          <t>https://www.facebook.com/RDJGT/</t>
        </is>
      </c>
      <c r="L40" s="51" t="inlineStr">
        <is>
          <t>CONFIRMADO</t>
        </is>
      </c>
      <c r="M40" s="30" t="n"/>
    </row>
    <row r="41" ht="30" customHeight="1" s="182">
      <c r="A41" s="42" t="inlineStr">
        <is>
          <t>Guatemala</t>
        </is>
      </c>
      <c r="B41" s="15" t="inlineStr">
        <is>
          <t>Organizaciones juveniles</t>
        </is>
      </c>
      <c r="C41" s="73" t="inlineStr">
        <is>
          <t>Organización Juvenil / Emprendimiento y Liderazgo</t>
        </is>
      </c>
      <c r="D41" s="73" t="inlineStr">
        <is>
          <t>Asociación de Jóvenes Emprendedores de Guatemala (AJEG)</t>
        </is>
      </c>
      <c r="E41" s="73" t="n"/>
      <c r="F41" s="73" t="inlineStr">
        <is>
          <t>Dirección de Capacitación e Incidencia Juvenil</t>
        </is>
      </c>
      <c r="G41" s="18" t="inlineStr">
        <is>
          <t>http://ajegua.org/</t>
        </is>
      </c>
      <c r="H41" s="28" t="inlineStr">
        <is>
          <t>no disponible públicamente</t>
        </is>
      </c>
      <c r="I41" s="28" t="inlineStr">
        <is>
          <t>no disponible públicamente</t>
        </is>
      </c>
      <c r="J41" s="175" t="inlineStr">
        <is>
          <t>contacto@ajegua.org</t>
        </is>
      </c>
      <c r="K41" s="18" t="inlineStr">
        <is>
          <t>https://www.facebook.com/AJEGUA502/about</t>
        </is>
      </c>
      <c r="L41" s="51" t="inlineStr">
        <is>
          <t>CONFIRMADO</t>
        </is>
      </c>
      <c r="M41" s="30" t="n"/>
    </row>
    <row r="42" ht="30" customHeight="1" s="182">
      <c r="A42" s="42" t="inlineStr">
        <is>
          <t>Guatemala</t>
        </is>
      </c>
      <c r="B42" s="15" t="inlineStr">
        <is>
          <t>Organizaciones juveniles</t>
        </is>
      </c>
      <c r="C42" s="73" t="inlineStr">
        <is>
          <t>Organización Juvenil / Derechos Humanos</t>
        </is>
      </c>
      <c r="D42" s="73" t="inlineStr">
        <is>
          <t>Red Juvenil por los Derechos Humanos de Guatemala</t>
        </is>
      </c>
      <c r="E42" s="73" t="n"/>
      <c r="F42" s="73" t="inlineStr">
        <is>
          <t>Coordinación de Formación e Incidencia</t>
        </is>
      </c>
      <c r="G42" s="18" t="inlineStr">
        <is>
          <t>https://www.yhriguatemala.org/</t>
        </is>
      </c>
      <c r="H42" s="28" t="inlineStr">
        <is>
          <t>no disponible públicamente</t>
        </is>
      </c>
      <c r="I42" s="143" t="inlineStr">
        <is>
          <t>502 3771 9924</t>
        </is>
      </c>
      <c r="J42" s="73" t="inlineStr">
        <is>
          <t>info@yhriguatemala.org</t>
        </is>
      </c>
      <c r="K42" s="18" t="inlineStr">
        <is>
          <t>https://www.facebook.com/yhriguatemala/</t>
        </is>
      </c>
      <c r="L42" s="51" t="inlineStr">
        <is>
          <t>CONFIRMADO</t>
        </is>
      </c>
      <c r="M42" s="30" t="n"/>
    </row>
    <row r="43" ht="30" customHeight="1" s="182">
      <c r="A43" s="42" t="inlineStr">
        <is>
          <t>Guatemala</t>
        </is>
      </c>
      <c r="B43" s="15" t="inlineStr">
        <is>
          <t>Sindicatos y confederaciones de trabajadores</t>
        </is>
      </c>
      <c r="C43" s="73" t="inlineStr">
        <is>
          <t>Confederación Sindical</t>
        </is>
      </c>
      <c r="D43" s="73" t="inlineStr">
        <is>
          <t>Confederación de Unidad Sindical de Guatemala (CUSG)</t>
        </is>
      </c>
      <c r="E43" s="73" t="n"/>
      <c r="F43" s="28" t="inlineStr">
        <is>
          <t>no disponible públicamente</t>
        </is>
      </c>
      <c r="G43" s="28" t="inlineStr">
        <is>
          <t>no disponible públicamente</t>
        </is>
      </c>
      <c r="H43" s="28" t="inlineStr">
        <is>
          <t>no disponible públicamente</t>
        </is>
      </c>
      <c r="I43" s="28" t="inlineStr">
        <is>
          <t>no disponible públicamente</t>
        </is>
      </c>
      <c r="J43" s="28" t="inlineStr">
        <is>
          <t>no disponible públicamente</t>
        </is>
      </c>
      <c r="K43" s="18" t="inlineStr">
        <is>
          <t>https://www.facebook.com/ConfederacionDeUnidadSindicalDeGuatemalaCUSG/about</t>
        </is>
      </c>
      <c r="L43" s="22" t="inlineStr">
        <is>
          <t>CORREGIDO</t>
        </is>
      </c>
      <c r="M43" s="30" t="n"/>
    </row>
    <row r="44" ht="30" customHeight="1" s="182">
      <c r="A44" s="42" t="inlineStr">
        <is>
          <t>Guatemala</t>
        </is>
      </c>
      <c r="B44" s="15" t="inlineStr">
        <is>
          <t>Universidades públicas</t>
        </is>
      </c>
      <c r="C44" s="73" t="inlineStr">
        <is>
          <t>Educación superior pública autónoma (Sede Central)</t>
        </is>
      </c>
      <c r="D44" s="73" t="inlineStr">
        <is>
          <t>Universidad de San Carlos de Guatemala (USAC) - Campus Central</t>
        </is>
      </c>
      <c r="E44" s="73" t="n"/>
      <c r="F44" s="28" t="inlineStr">
        <is>
          <t>no disponible públicamente</t>
        </is>
      </c>
      <c r="G44" s="18" t="inlineStr">
        <is>
          <t>https://portal.usac.edu.gt/</t>
        </is>
      </c>
      <c r="H44" s="28" t="inlineStr">
        <is>
          <t>no disponible públicamente</t>
        </is>
      </c>
      <c r="I44" s="28" t="inlineStr">
        <is>
          <t>no disponible públicamente</t>
        </is>
      </c>
      <c r="J44" s="28" t="inlineStr">
        <is>
          <t>no disponible públicamente</t>
        </is>
      </c>
      <c r="K44" s="18" t="inlineStr">
        <is>
          <t>https://portal.usac.edu.gt/</t>
        </is>
      </c>
      <c r="L44" s="22" t="inlineStr">
        <is>
          <t>CORREGIDO</t>
        </is>
      </c>
      <c r="M44" s="30" t="n"/>
    </row>
    <row r="45" ht="30" customHeight="1" s="182">
      <c r="A45" s="42" t="inlineStr">
        <is>
          <t>Guatemala</t>
        </is>
      </c>
      <c r="B45" s="15" t="inlineStr">
        <is>
          <t>Universidades públicas</t>
        </is>
      </c>
      <c r="C45" s="73" t="inlineStr">
        <is>
          <t>Educación superior pública autónoma (Centro Universitario Regional)</t>
        </is>
      </c>
      <c r="D45" s="73" t="inlineStr">
        <is>
          <t>USAC - Centro Universitario de Occidente (CUNOC)</t>
        </is>
      </c>
      <c r="E45" s="73" t="n"/>
      <c r="F45" s="28" t="inlineStr">
        <is>
          <t>no disponible públicamente</t>
        </is>
      </c>
      <c r="G45" s="18" t="inlineStr">
        <is>
          <t>https://cunoc.edu.gt/</t>
        </is>
      </c>
      <c r="H45" s="28" t="inlineStr">
        <is>
          <t>no disponible públicamente</t>
        </is>
      </c>
      <c r="I45" s="73" t="inlineStr">
        <is>
          <t>(502) 7873-0000</t>
        </is>
      </c>
      <c r="J45" s="143" t="inlineStr">
        <is>
          <t>soporteestudiantes@cunoc.edu.gt</t>
        </is>
      </c>
      <c r="K45" s="18" t="inlineStr">
        <is>
          <t>https://www.cunoc.edu.gt/</t>
        </is>
      </c>
      <c r="L45" s="22" t="inlineStr">
        <is>
          <t>CORREGIDO</t>
        </is>
      </c>
      <c r="M45" s="30" t="n"/>
    </row>
    <row r="46" ht="30" customHeight="1" s="182">
      <c r="A46" s="42" t="inlineStr">
        <is>
          <t>Guatemala</t>
        </is>
      </c>
      <c r="B46" s="15" t="inlineStr">
        <is>
          <t>Universidades públicas</t>
        </is>
      </c>
      <c r="C46" s="73" t="inlineStr">
        <is>
          <t>Educación superior pública autónoma (Centro Universitario Regional)</t>
        </is>
      </c>
      <c r="D46" s="73" t="inlineStr">
        <is>
          <t>USAC - Centro Universitario de Oriente (CUNORI)</t>
        </is>
      </c>
      <c r="E46" s="73" t="n"/>
      <c r="F46" s="28" t="inlineStr">
        <is>
          <t>no disponible públicamente</t>
        </is>
      </c>
      <c r="G46" s="18" t="inlineStr">
        <is>
          <t>https://cunori.edu.gt/</t>
        </is>
      </c>
      <c r="H46" s="28" t="inlineStr">
        <is>
          <t>no disponible públicamente</t>
        </is>
      </c>
      <c r="I46" s="73" t="inlineStr">
        <is>
          <t>(502) 78730300</t>
        </is>
      </c>
      <c r="J46" s="73" t="inlineStr">
        <is>
          <t>info@cunori.edu.gt</t>
        </is>
      </c>
      <c r="K46" s="18" t="inlineStr">
        <is>
          <t>https://cunori.edu.gt/</t>
        </is>
      </c>
      <c r="L46" s="22" t="inlineStr">
        <is>
          <t>CORREGIDO</t>
        </is>
      </c>
      <c r="M46" s="30" t="n"/>
    </row>
    <row r="47" ht="30" customHeight="1" s="182">
      <c r="A47" s="42" t="inlineStr">
        <is>
          <t>Guatemala</t>
        </is>
      </c>
      <c r="B47" s="15" t="inlineStr">
        <is>
          <t>Universidades públicas</t>
        </is>
      </c>
      <c r="C47" s="73" t="inlineStr">
        <is>
          <t>Educación superior pública autónoma (Centro Universitario Regional)</t>
        </is>
      </c>
      <c r="D47" s="73" t="inlineStr">
        <is>
          <t>USAC - Centro Universitario del Norte (CUNOR)</t>
        </is>
      </c>
      <c r="E47" s="73" t="n"/>
      <c r="F47" s="28" t="inlineStr">
        <is>
          <t>no disponible públicamente</t>
        </is>
      </c>
      <c r="G47" s="18" t="inlineStr">
        <is>
          <t>https://cunor.usac.edu.gt/</t>
        </is>
      </c>
      <c r="H47" s="28" t="inlineStr">
        <is>
          <t>no disponible públicamente</t>
        </is>
      </c>
      <c r="I47" s="73" t="inlineStr">
        <is>
          <t>502 7956 6600</t>
        </is>
      </c>
      <c r="J47" s="143" t="inlineStr">
        <is>
          <t>informacion@cunor.edu.gt</t>
        </is>
      </c>
      <c r="K47" s="18" t="inlineStr">
        <is>
          <t>https://cunor.usac.edu.gt/contacto/</t>
        </is>
      </c>
      <c r="L47" s="22" t="inlineStr">
        <is>
          <t>CORREGIDO</t>
        </is>
      </c>
      <c r="M47" s="30" t="n"/>
    </row>
    <row r="48" ht="30" customHeight="1" s="182">
      <c r="A48" s="42" t="inlineStr">
        <is>
          <t>Guatemala</t>
        </is>
      </c>
      <c r="B48" s="15" t="inlineStr">
        <is>
          <t>Universidades públicas</t>
        </is>
      </c>
      <c r="C48" s="73" t="inlineStr">
        <is>
          <t>Educación superior pública autónoma (Centro Universitario Regional)</t>
        </is>
      </c>
      <c r="D48" s="73" t="inlineStr">
        <is>
          <t>USAC - Centro Universitario de Sur Occidente (CUNSUROC)</t>
        </is>
      </c>
      <c r="E48" s="73" t="n"/>
      <c r="F48" s="28" t="inlineStr">
        <is>
          <t>no disponible públicamente</t>
        </is>
      </c>
      <c r="G48" s="18" t="inlineStr">
        <is>
          <t>https://cunsuroc.usac.edu.gt/</t>
        </is>
      </c>
      <c r="H48" s="28" t="inlineStr">
        <is>
          <t>no disponible públicamente</t>
        </is>
      </c>
      <c r="I48" s="28" t="inlineStr">
        <is>
          <t>no disponible públicamente</t>
        </is>
      </c>
      <c r="J48" s="28" t="inlineStr">
        <is>
          <t>no disponible públicamente</t>
        </is>
      </c>
      <c r="K48" s="18" t="inlineStr">
        <is>
          <t>https://ddo.usac.edu.gt/index.php/administracion-central/</t>
        </is>
      </c>
      <c r="L48" s="186" t="inlineStr">
        <is>
          <t>VERIFICADO CON OBSERVACIONES</t>
        </is>
      </c>
      <c r="M48" s="30" t="inlineStr">
        <is>
          <t>No hay datos en página oficial</t>
        </is>
      </c>
    </row>
    <row r="49" ht="15.75" customHeight="1" s="182">
      <c r="A49" s="42" t="inlineStr">
        <is>
          <t>Guatemala</t>
        </is>
      </c>
      <c r="B49" s="15" t="inlineStr">
        <is>
          <t>Universidades públicas</t>
        </is>
      </c>
      <c r="C49" s="73" t="inlineStr">
        <is>
          <t>Educación superior pública autónoma (Centro Universitario Regional)</t>
        </is>
      </c>
      <c r="D49" s="73" t="inlineStr">
        <is>
          <t>USAC - Centro Universitario del Sur (CUNSUR)</t>
        </is>
      </c>
      <c r="E49" s="73" t="n"/>
      <c r="F49" s="28" t="inlineStr">
        <is>
          <t>no disponible públicamente</t>
        </is>
      </c>
      <c r="G49" s="18" t="inlineStr">
        <is>
          <t>https://cunsur.usac.edu.gt/</t>
        </is>
      </c>
      <c r="H49" s="28" t="inlineStr">
        <is>
          <t>no disponible públicamente</t>
        </is>
      </c>
      <c r="I49" s="143" t="inlineStr">
        <is>
          <t>Fax: 78880501; PBX 78898870</t>
        </is>
      </c>
      <c r="J49" s="143" t="inlineStr">
        <is>
          <t>: cunsur@internetdetelgua.com.g</t>
        </is>
      </c>
      <c r="K49" s="33" t="inlineStr">
        <is>
          <t>https://ddo.usac.edu.gt/wp-content/uploads/2024/03/M-N-Y-P-Coordinacion-Academica-CUNSUR-2009.pdf</t>
        </is>
      </c>
      <c r="L49" s="22" t="inlineStr">
        <is>
          <t>CORREGIDO</t>
        </is>
      </c>
      <c r="M49" s="30" t="n"/>
    </row>
    <row r="50" ht="15.75" customHeight="1" s="182">
      <c r="A50" s="42" t="inlineStr">
        <is>
          <t>Guatemala</t>
        </is>
      </c>
      <c r="B50" s="15" t="inlineStr">
        <is>
          <t>Universidades públicas</t>
        </is>
      </c>
      <c r="C50" s="73" t="inlineStr">
        <is>
          <t>Educación superior pública autónoma (Centro Universitario Regional)</t>
        </is>
      </c>
      <c r="D50" s="73" t="inlineStr">
        <is>
          <t>USAC - Centro Universitario de San Marcos (CUSAM)</t>
        </is>
      </c>
      <c r="E50" s="73" t="n"/>
      <c r="F50" s="28" t="inlineStr">
        <is>
          <t>no disponible públicamente</t>
        </is>
      </c>
      <c r="G50" s="18" t="inlineStr">
        <is>
          <t>https://cusam.usac.edu.gt/</t>
        </is>
      </c>
      <c r="H50" s="28" t="inlineStr">
        <is>
          <t>no disponible públicamente</t>
        </is>
      </c>
      <c r="I50" s="28" t="inlineStr">
        <is>
          <t>no disponible públicamente</t>
        </is>
      </c>
      <c r="J50" s="28" t="inlineStr">
        <is>
          <t>no disponible públicamente</t>
        </is>
      </c>
      <c r="K50" s="18" t="inlineStr">
        <is>
          <t>https://cusam.usac.edu.gt/</t>
        </is>
      </c>
      <c r="L50" s="186" t="inlineStr">
        <is>
          <t>VERIFICADO CON OBSERVACIONES</t>
        </is>
      </c>
      <c r="M50" s="30" t="inlineStr">
        <is>
          <t>No hay datos en página oficial</t>
        </is>
      </c>
    </row>
    <row r="51" ht="15.75" customHeight="1" s="182">
      <c r="A51" s="42" t="inlineStr">
        <is>
          <t>Guatemala</t>
        </is>
      </c>
      <c r="B51" s="15" t="inlineStr">
        <is>
          <t>Universidades públicas</t>
        </is>
      </c>
      <c r="C51" s="73" t="inlineStr">
        <is>
          <t>Educación superior pública autónoma (Centro Universitario Regional)</t>
        </is>
      </c>
      <c r="D51" s="73" t="inlineStr">
        <is>
          <t>USAC - Centro Universitario de Nor-Occidente (CUNOROC)</t>
        </is>
      </c>
      <c r="E51" s="73" t="n"/>
      <c r="F51" s="28" t="inlineStr">
        <is>
          <t>no disponible públicamente</t>
        </is>
      </c>
      <c r="G51" s="18" t="inlineStr">
        <is>
          <t>https://cunoroc.usac.edu.gt/</t>
        </is>
      </c>
      <c r="H51" s="28" t="inlineStr">
        <is>
          <t>no disponible públicamente</t>
        </is>
      </c>
      <c r="I51" s="28" t="inlineStr">
        <is>
          <t>no disponible públicamente</t>
        </is>
      </c>
      <c r="J51" s="28" t="inlineStr">
        <is>
          <t>no disponible públicamente</t>
        </is>
      </c>
      <c r="K51" s="18" t="inlineStr">
        <is>
          <t>https://www.cunoroc.edu.gt/</t>
        </is>
      </c>
      <c r="L51" s="186" t="inlineStr">
        <is>
          <t>VERIFICADO CON OBSERVACIONES</t>
        </is>
      </c>
      <c r="M51" s="30" t="inlineStr">
        <is>
          <t>No hay datos en página oficial</t>
        </is>
      </c>
    </row>
    <row r="52" ht="15.75" customHeight="1" s="182">
      <c r="A52" s="42" t="inlineStr">
        <is>
          <t>Guatemala</t>
        </is>
      </c>
      <c r="B52" s="15" t="inlineStr">
        <is>
          <t>Universidades públicas</t>
        </is>
      </c>
      <c r="C52" s="73" t="inlineStr">
        <is>
          <t>Educación superior pública autónoma (Centro Universitario Regional)</t>
        </is>
      </c>
      <c r="D52" s="73" t="inlineStr">
        <is>
          <t>USAC - Centro Universitario de Petén (CUDEP)</t>
        </is>
      </c>
      <c r="E52" s="73" t="n"/>
      <c r="F52" s="28" t="inlineStr">
        <is>
          <t>no disponible públicamente</t>
        </is>
      </c>
      <c r="G52" s="18" t="inlineStr">
        <is>
          <t>https://cudep.usac.edu.gt/</t>
        </is>
      </c>
      <c r="H52" s="28" t="inlineStr">
        <is>
          <t>no disponible públicamente</t>
        </is>
      </c>
      <c r="I52" s="28" t="inlineStr">
        <is>
          <t>no disponible públicamente</t>
        </is>
      </c>
      <c r="J52" s="28" t="inlineStr">
        <is>
          <t>no disponible públicamente</t>
        </is>
      </c>
      <c r="K52" s="18" t="inlineStr">
        <is>
          <t>https://centrouniversitariodepeten.com/</t>
        </is>
      </c>
      <c r="L52" s="186" t="inlineStr">
        <is>
          <t>VERIFICADO CON OBSERVACIONES</t>
        </is>
      </c>
      <c r="M52" s="30" t="inlineStr">
        <is>
          <t>No hay datos en página oficial</t>
        </is>
      </c>
    </row>
    <row r="53" ht="15.75" customHeight="1" s="182">
      <c r="A53" s="42" t="inlineStr">
        <is>
          <t>Guatemala</t>
        </is>
      </c>
      <c r="B53" s="15" t="inlineStr">
        <is>
          <t>Universidades públicas</t>
        </is>
      </c>
      <c r="C53" s="73" t="inlineStr">
        <is>
          <t>Educación superior pública autónoma (Centro Universitario Regional)</t>
        </is>
      </c>
      <c r="D53" s="73" t="inlineStr">
        <is>
          <t>USAC - Centro Universitario de Izabal (CUNIZAB)</t>
        </is>
      </c>
      <c r="E53" s="73" t="n"/>
      <c r="F53" s="143" t="inlineStr">
        <is>
          <t>División de Desarrollo Organizacional</t>
        </is>
      </c>
      <c r="G53" s="18" t="inlineStr">
        <is>
          <t>https://cunizab.usac.edu.gt/</t>
        </is>
      </c>
      <c r="H53" s="28" t="inlineStr">
        <is>
          <t>no disponible públicamente</t>
        </is>
      </c>
      <c r="I53" s="28" t="inlineStr">
        <is>
          <t>no disponible públicamente</t>
        </is>
      </c>
      <c r="J53" s="183" t="inlineStr">
        <is>
          <t>dorcas@usac.edu.gt;</t>
        </is>
      </c>
      <c r="K53" s="18" t="inlineStr">
        <is>
          <t>https://ddo.usac.edu.gt/wp-content/uploads/2024/03/M-O-CUNIZAB-2006.pdf</t>
        </is>
      </c>
      <c r="L53" s="186" t="inlineStr">
        <is>
          <t>VERIFICADO CON OBSERVACIONES</t>
        </is>
      </c>
      <c r="M53" s="30" t="inlineStr">
        <is>
          <t>No hay datos en página oficial</t>
        </is>
      </c>
    </row>
    <row r="54" ht="15.75" customHeight="1" s="182">
      <c r="A54" s="42" t="inlineStr">
        <is>
          <t>Guatemala</t>
        </is>
      </c>
      <c r="B54" s="15" t="inlineStr">
        <is>
          <t>Universidades públicas</t>
        </is>
      </c>
      <c r="C54" s="73" t="inlineStr">
        <is>
          <t>Educación superior pública autónoma (Centro Universitario Regional)</t>
        </is>
      </c>
      <c r="D54" s="73" t="inlineStr">
        <is>
          <t>USAC - Centro Universitario de Sur Oriente (CUNSURORI)</t>
        </is>
      </c>
      <c r="E54" s="73" t="n"/>
      <c r="F54" s="28" t="inlineStr">
        <is>
          <t>no disponible públicamente</t>
        </is>
      </c>
      <c r="G54" s="18" t="inlineStr">
        <is>
          <t>https://cunsurori.usac.edu.gt/</t>
        </is>
      </c>
      <c r="H54" s="28" t="inlineStr">
        <is>
          <t>no disponible públicamente</t>
        </is>
      </c>
      <c r="I54" s="28" t="inlineStr">
        <is>
          <t>no disponible públicamente</t>
        </is>
      </c>
      <c r="J54" s="28" t="inlineStr">
        <is>
          <t>no disponible públicamente</t>
        </is>
      </c>
      <c r="K54" s="18" t="inlineStr">
        <is>
          <t>https://ddo.usac.edu.gt/wp-content/uploads/2024/03/M-O-CUNSURORI-2006.pdf</t>
        </is>
      </c>
      <c r="L54" s="186" t="inlineStr">
        <is>
          <t>VERIFICADO CON OBSERVACIONES</t>
        </is>
      </c>
      <c r="M54" s="30" t="inlineStr">
        <is>
          <t>No hay datos en página oficial</t>
        </is>
      </c>
    </row>
    <row r="55" ht="15.75" customHeight="1" s="182">
      <c r="A55" s="42" t="inlineStr">
        <is>
          <t>Guatemala</t>
        </is>
      </c>
      <c r="B55" s="15" t="inlineStr">
        <is>
          <t>Universidades públicas</t>
        </is>
      </c>
      <c r="C55" s="73" t="inlineStr">
        <is>
          <t>Educación superior pública autónoma (Centro Universitario Regional)</t>
        </is>
      </c>
      <c r="D55" s="73" t="inlineStr">
        <is>
          <t>USAC - Centro Universitario de Baja Verapaz (CUNBA)</t>
        </is>
      </c>
      <c r="E55" s="73" t="n"/>
      <c r="F55" s="28" t="inlineStr">
        <is>
          <t>no disponible públicamente</t>
        </is>
      </c>
      <c r="G55" s="18" t="inlineStr">
        <is>
          <t>https://cunba.usac.edu.gt/</t>
        </is>
      </c>
      <c r="H55" s="28" t="inlineStr">
        <is>
          <t>no disponible públicamente</t>
        </is>
      </c>
      <c r="I55" s="73" t="inlineStr">
        <is>
          <t>3945-9897</t>
        </is>
      </c>
      <c r="J55" s="73" t="inlineStr">
        <is>
          <t>secretariacunbav@gmail.com</t>
        </is>
      </c>
      <c r="K55" s="18" t="inlineStr">
        <is>
          <t>https://cunbav.usac.edu.gt/</t>
        </is>
      </c>
      <c r="L55" s="22" t="inlineStr">
        <is>
          <t>CORREGIDO</t>
        </is>
      </c>
      <c r="M55" s="30" t="n"/>
    </row>
    <row r="56" ht="15.75" customHeight="1" s="182">
      <c r="A56" s="42" t="inlineStr">
        <is>
          <t>Guatemala</t>
        </is>
      </c>
      <c r="B56" s="15" t="inlineStr">
        <is>
          <t>Universidades públicas</t>
        </is>
      </c>
      <c r="C56" s="73" t="inlineStr">
        <is>
          <t>Educación superior pública autónoma (Centro Universitario Regional)</t>
        </is>
      </c>
      <c r="D56" s="73" t="inlineStr">
        <is>
          <t>USAC - Centro Universitario de Sololá (CUNSOL)</t>
        </is>
      </c>
      <c r="E56" s="73" t="n"/>
      <c r="F56" s="73" t="inlineStr">
        <is>
          <t>Dirección CUNSOL / Administración</t>
        </is>
      </c>
      <c r="G56" s="18" t="inlineStr">
        <is>
          <t>https://cunsol.usac.edu.gt/</t>
        </is>
      </c>
      <c r="H56" s="28" t="inlineStr">
        <is>
          <t>no disponible públicamente</t>
        </is>
      </c>
      <c r="I56" s="73" t="inlineStr">
        <is>
          <t xml:space="preserve">7762-4996
</t>
        </is>
      </c>
      <c r="J56" s="73" t="inlineStr">
        <is>
          <t>info@cunsol.edu.gt</t>
        </is>
      </c>
      <c r="K56" s="18" t="inlineStr">
        <is>
          <t>https://www.cunsol.edu.gt/?page_id=401</t>
        </is>
      </c>
      <c r="L56" s="22" t="inlineStr">
        <is>
          <t>CORREGIDO</t>
        </is>
      </c>
      <c r="M56" s="30" t="n"/>
    </row>
    <row r="57" ht="15.75" customHeight="1" s="182">
      <c r="A57" s="42" t="inlineStr">
        <is>
          <t>Guatemala</t>
        </is>
      </c>
      <c r="B57" s="15" t="inlineStr">
        <is>
          <t>Universidades públicas</t>
        </is>
      </c>
      <c r="C57" s="73" t="inlineStr">
        <is>
          <t>Educación superior pública autónoma (Centro Universitario Regional)</t>
        </is>
      </c>
      <c r="D57" s="73" t="inlineStr">
        <is>
          <t>USAC - Centro Universitario de Chimaltenango (CUNDECH)</t>
        </is>
      </c>
      <c r="E57" s="73" t="n"/>
      <c r="F57" s="73" t="inlineStr">
        <is>
          <t xml:space="preserve">Dirección CUNDECH </t>
        </is>
      </c>
      <c r="G57" s="18" t="inlineStr">
        <is>
          <t>https://cundech.usac.edu.gt/</t>
        </is>
      </c>
      <c r="H57" s="28" t="inlineStr">
        <is>
          <t>no disponible públicamente</t>
        </is>
      </c>
      <c r="I57" s="73" t="inlineStr">
        <is>
          <t xml:space="preserve">77914319 / 78391698 </t>
        </is>
      </c>
      <c r="J57" s="28" t="inlineStr">
        <is>
          <t>no disponible públicamente</t>
        </is>
      </c>
      <c r="K57" s="18" t="inlineStr">
        <is>
          <t>https://cundech.usac.edu.gt/?page_id=273</t>
        </is>
      </c>
      <c r="L57" s="22" t="inlineStr">
        <is>
          <t>CORREGIDO</t>
        </is>
      </c>
      <c r="M57" s="30" t="n"/>
    </row>
    <row r="58" ht="15.75" customHeight="1" s="182">
      <c r="A58" s="42" t="inlineStr">
        <is>
          <t>Guatemala</t>
        </is>
      </c>
      <c r="B58" s="15" t="inlineStr">
        <is>
          <t>Universidades públicas</t>
        </is>
      </c>
      <c r="C58" s="73" t="inlineStr">
        <is>
          <t>Educación superior pública autónoma (Centro Universitario Regional)</t>
        </is>
      </c>
      <c r="D58" s="73" t="inlineStr">
        <is>
          <t>USAC - Centro Universitario de El Progreso (CUNPROPRO)</t>
        </is>
      </c>
      <c r="E58" s="73" t="n"/>
      <c r="F58" s="73" t="inlineStr">
        <is>
          <t>Dirección CUNPROPRO / Secretaría</t>
        </is>
      </c>
      <c r="G58" s="18" t="inlineStr">
        <is>
          <t>https://cunpropro.usac.edu.gt/</t>
        </is>
      </c>
      <c r="H58" s="28" t="inlineStr">
        <is>
          <t>no disponible públicamente</t>
        </is>
      </c>
      <c r="I58" s="73" t="inlineStr">
        <is>
          <t>7945 1717</t>
        </is>
      </c>
      <c r="J58" s="28" t="inlineStr">
        <is>
          <t>no disponible públicamente</t>
        </is>
      </c>
      <c r="K58" s="18" t="inlineStr">
        <is>
          <t>https://ddo.usac.edu.gt/wp-content/uploads/2024/03/M-O-CUNPROGRESO-2013.pdf</t>
        </is>
      </c>
      <c r="L58" s="22" t="inlineStr">
        <is>
          <t>CORREGIDO</t>
        </is>
      </c>
      <c r="M58" s="30" t="n"/>
    </row>
    <row r="59" ht="15.75" customHeight="1" s="182">
      <c r="A59" s="42" t="inlineStr">
        <is>
          <t>Guatemala</t>
        </is>
      </c>
      <c r="B59" s="15" t="inlineStr">
        <is>
          <t>Universidades públicas</t>
        </is>
      </c>
      <c r="C59" s="73" t="inlineStr">
        <is>
          <t>Educación superior pública autónoma (Centro Universitario Regional)</t>
        </is>
      </c>
      <c r="D59" s="73" t="inlineStr">
        <is>
          <t>USAC - Centro Universitario de Totonicapán (CUNTOT)</t>
        </is>
      </c>
      <c r="E59" s="73" t="n"/>
      <c r="F59" s="28" t="inlineStr">
        <is>
          <t>no disponible públicamente</t>
        </is>
      </c>
      <c r="G59" s="18" t="inlineStr">
        <is>
          <t>https://cuntot.usac.edu.gt/</t>
        </is>
      </c>
      <c r="H59" s="28" t="inlineStr">
        <is>
          <t>no disponible públicamente</t>
        </is>
      </c>
      <c r="I59" s="73" t="inlineStr">
        <is>
          <t>7766-4717</t>
        </is>
      </c>
      <c r="J59" s="73" t="inlineStr">
        <is>
          <t>direccioncuntoto@usac.edu.gt</t>
        </is>
      </c>
      <c r="K59" s="18" t="inlineStr">
        <is>
          <t>https://cuntoto.usac.edu.gt/</t>
        </is>
      </c>
      <c r="L59" s="22" t="inlineStr">
        <is>
          <t>CORREGIDO</t>
        </is>
      </c>
      <c r="M59" s="30" t="n"/>
    </row>
    <row r="60" ht="15.75" customHeight="1" s="182">
      <c r="A60" s="42" t="inlineStr">
        <is>
          <t>Guatemala</t>
        </is>
      </c>
      <c r="B60" s="15" t="inlineStr">
        <is>
          <t>Universidades públicas</t>
        </is>
      </c>
      <c r="C60" s="73" t="inlineStr">
        <is>
          <t>Educación superior pública autónoma (Centro Universitario Regional)</t>
        </is>
      </c>
      <c r="D60" s="73" t="inlineStr">
        <is>
          <t>USAC - Centro Universitario de Sacatepéquez (CUNSAC)</t>
        </is>
      </c>
      <c r="E60" s="73" t="n"/>
      <c r="F60" s="28" t="inlineStr">
        <is>
          <t>no disponible públicamente</t>
        </is>
      </c>
      <c r="G60" s="18" t="inlineStr">
        <is>
          <t>https://cunsac.usac.edu.gt/</t>
        </is>
      </c>
      <c r="H60" s="28" t="inlineStr">
        <is>
          <t>no disponible públicamente</t>
        </is>
      </c>
      <c r="I60" s="176" t="n">
        <v>51113481</v>
      </c>
      <c r="J60" s="73" t="inlineStr">
        <is>
          <t>centrouniversitario_sacatepequez@usac.edu.gt</t>
        </is>
      </c>
      <c r="K60" s="18" t="inlineStr">
        <is>
          <t>https://cunsac.usac.edu.gt/contactenos/</t>
        </is>
      </c>
      <c r="L60" s="22" t="inlineStr">
        <is>
          <t>CORREGIDO</t>
        </is>
      </c>
      <c r="M60" s="30" t="n"/>
    </row>
    <row r="61" ht="15.75" customHeight="1" s="182">
      <c r="A61" s="42" t="inlineStr">
        <is>
          <t>Guatemala</t>
        </is>
      </c>
      <c r="B61" s="56" t="inlineStr">
        <is>
          <t>Universidades públicas</t>
        </is>
      </c>
      <c r="C61" s="80" t="inlineStr">
        <is>
          <t>Educación superior pública autónoma (Centro Universitario Regional)</t>
        </is>
      </c>
      <c r="D61" s="80" t="inlineStr">
        <is>
          <t>USAC - Centro Universitario de Jutiapa (CUNJUT)</t>
        </is>
      </c>
      <c r="E61" s="80" t="n"/>
      <c r="F61" s="28" t="inlineStr">
        <is>
          <t>no disponible públicamente</t>
        </is>
      </c>
      <c r="G61" s="95" t="inlineStr">
        <is>
          <t>https://ddo.usac.edu.gt/index.php/centros-universitarios/centro-universitario-de-jutiapa-jusac/</t>
        </is>
      </c>
      <c r="H61" s="28" t="inlineStr">
        <is>
          <t>no disponible públicamente</t>
        </is>
      </c>
      <c r="I61" s="178" t="n">
        <v>78446284</v>
      </c>
      <c r="J61" s="225" t="inlineStr">
        <is>
          <t>jusaccentrouniversitario@gmail.com</t>
        </is>
      </c>
      <c r="K61" s="95" t="inlineStr">
        <is>
          <t>https://ddo.usac.edu.gt/wp-content/uploads/2024/03/M-O-JUSAC-2016.pdf</t>
        </is>
      </c>
      <c r="L61" s="22" t="inlineStr">
        <is>
          <t>CORREGIDO</t>
        </is>
      </c>
      <c r="M61" s="82" t="n"/>
    </row>
    <row r="62" ht="15.75" customHeight="1" s="182">
      <c r="A62" s="42" t="inlineStr">
        <is>
          <t>Guatemala</t>
        </is>
      </c>
      <c r="B62" s="56" t="inlineStr">
        <is>
          <t>Universidades públicas</t>
        </is>
      </c>
      <c r="C62" s="98" t="inlineStr">
        <is>
          <t>Educación superior pública autónoma (Centro Universitario Regional)</t>
        </is>
      </c>
      <c r="D62" s="98" t="inlineStr">
        <is>
          <t>USAC - Centro Universitario de Zacapa (CUNZAC)</t>
        </is>
      </c>
      <c r="E62" s="98" t="n"/>
      <c r="F62" s="28" t="inlineStr">
        <is>
          <t>no disponible públicamente</t>
        </is>
      </c>
      <c r="G62" s="100" t="inlineStr">
        <is>
          <t>https://cunzac.usac.edu.gt/</t>
        </is>
      </c>
      <c r="H62" s="28" t="inlineStr">
        <is>
          <t>no disponible públicamente</t>
        </is>
      </c>
      <c r="I62" s="179" t="inlineStr">
        <is>
          <t>(502) 3941-2685</t>
        </is>
      </c>
      <c r="J62" s="98" t="inlineStr">
        <is>
          <t>orientacionvocacional@cunzac.edu.gt</t>
        </is>
      </c>
      <c r="K62" s="100" t="inlineStr">
        <is>
          <t>https://cunzac.usac.edu.gt/index.php/ubicacion-3/</t>
        </is>
      </c>
      <c r="L62" s="22" t="inlineStr">
        <is>
          <t>CORREGIDO</t>
        </is>
      </c>
      <c r="M62" s="86" t="n"/>
    </row>
    <row r="63" ht="15.75" customHeight="1" s="182">
      <c r="A63" s="42" t="inlineStr">
        <is>
          <t>Guatemala</t>
        </is>
      </c>
      <c r="B63" s="56" t="inlineStr">
        <is>
          <t>Universidades públicas</t>
        </is>
      </c>
      <c r="C63" s="98" t="inlineStr">
        <is>
          <t>Educación superior pública autónoma (Centro Universitario Regional)</t>
        </is>
      </c>
      <c r="D63" s="98" t="inlineStr">
        <is>
          <t>USAC - Centro Universitario de Santa Rosa (CUNSARO)</t>
        </is>
      </c>
      <c r="E63" s="98" t="n"/>
      <c r="F63" s="28" t="inlineStr">
        <is>
          <t>no disponible públicamente</t>
        </is>
      </c>
      <c r="G63" s="100" t="inlineStr">
        <is>
          <t>https://cunsudi.usac.edu.gt/</t>
        </is>
      </c>
      <c r="H63" s="28" t="inlineStr">
        <is>
          <t>no disponible públicamente</t>
        </is>
      </c>
      <c r="I63" s="179" t="inlineStr">
        <is>
          <t>502 7886 5657</t>
        </is>
      </c>
      <c r="J63" s="28" t="inlineStr">
        <is>
          <t>no disponible públicamente</t>
        </is>
      </c>
      <c r="K63" s="100" t="inlineStr">
        <is>
          <t>https://ddo.usac.edu.gt/wp-content/uploads/2024/03/Manual-de-Organizacion-del-CUNSARO.pdf</t>
        </is>
      </c>
      <c r="L63" s="22" t="inlineStr">
        <is>
          <t>CORREGIDO</t>
        </is>
      </c>
      <c r="M63" s="86" t="n"/>
    </row>
    <row r="64" ht="15.75" customHeight="1" s="182">
      <c r="A64" s="42" t="inlineStr">
        <is>
          <t>Guatemala</t>
        </is>
      </c>
      <c r="B64" s="56" t="inlineStr">
        <is>
          <t>Universidades públicas</t>
        </is>
      </c>
      <c r="C64" s="98" t="inlineStr">
        <is>
          <t>Educación superior pública autónoma (Centro Universitario Regional)</t>
        </is>
      </c>
      <c r="D64" s="98" t="inlineStr">
        <is>
          <t>USAC - Centro Universitario de Quiché (CUNQUICHE)</t>
        </is>
      </c>
      <c r="E64" s="98" t="n"/>
      <c r="F64" s="98" t="inlineStr">
        <is>
          <t>Dirección CUNQUICHE / Administración</t>
        </is>
      </c>
      <c r="G64" s="100" t="inlineStr">
        <is>
          <t>https://cunquiche.usac.edu.gt/</t>
        </is>
      </c>
      <c r="H64" s="28" t="inlineStr">
        <is>
          <t>no disponible públicamente</t>
        </is>
      </c>
      <c r="I64" s="179" t="n">
        <v>77551273</v>
      </c>
      <c r="J64" s="98" t="inlineStr">
        <is>
          <t>cusacq@usac.edu.gt</t>
        </is>
      </c>
      <c r="K64" s="100" t="inlineStr">
        <is>
          <t>https://ddo.usac.edu.gt/wp-content/uploads/2024/03/M-O-CUSACQ-2015.pdf</t>
        </is>
      </c>
      <c r="L64" s="22" t="inlineStr">
        <is>
          <t>CORREGIDO</t>
        </is>
      </c>
      <c r="M64" s="86" t="n"/>
    </row>
    <row r="65" ht="15.75" customHeight="1" s="182">
      <c r="A65" s="42" t="inlineStr">
        <is>
          <t>Guatemala</t>
        </is>
      </c>
      <c r="B65" s="56" t="inlineStr">
        <is>
          <t>Universidades públicas</t>
        </is>
      </c>
      <c r="C65" s="98" t="inlineStr">
        <is>
          <t>Educación superior pública autónoma (Centro Universitario Regional)</t>
        </is>
      </c>
      <c r="D65" s="98" t="inlineStr">
        <is>
          <t>USAC - Centro Universitario de Retalhuleu (CUNRETAL)</t>
        </is>
      </c>
      <c r="E65" s="98" t="n"/>
      <c r="F65" s="98" t="inlineStr">
        <is>
          <t>Dirección CUNRETAL / Secretaría</t>
        </is>
      </c>
      <c r="G65" s="117" t="inlineStr">
        <is>
          <t>https://cunreu.usac.edu.gt/</t>
        </is>
      </c>
      <c r="H65" s="28" t="inlineStr">
        <is>
          <t>no disponible públicamente</t>
        </is>
      </c>
      <c r="I65" s="179" t="inlineStr">
        <is>
          <t>(502) 3991-1135</t>
        </is>
      </c>
      <c r="J65" s="98" t="inlineStr">
        <is>
          <t>cunreu@usac.edu.gt</t>
        </is>
      </c>
      <c r="K65" s="100" t="inlineStr">
        <is>
          <t>https://cunreu.usac.edu.gt/</t>
        </is>
      </c>
      <c r="L65" s="22" t="inlineStr">
        <is>
          <t>CORREGIDO</t>
        </is>
      </c>
      <c r="M65" s="86" t="n"/>
    </row>
    <row r="66" ht="15.75" customHeight="1" s="182"/>
    <row r="67" ht="15.75" customHeight="1" s="182"/>
    <row r="68" ht="15.75" customHeight="1" s="182"/>
    <row r="69" ht="15.75" customHeight="1" s="182"/>
    <row r="70" ht="15.75" customHeight="1" s="182"/>
    <row r="71" ht="15.75" customHeight="1" s="182"/>
    <row r="72" ht="15.75" customHeight="1" s="182"/>
    <row r="73" ht="15.75" customHeight="1" s="182"/>
    <row r="74" ht="15.75" customHeight="1" s="182"/>
    <row r="75" ht="15.75" customHeight="1" s="182"/>
    <row r="76" ht="15.75" customHeight="1" s="182"/>
    <row r="77" ht="15.75" customHeight="1" s="182"/>
    <row r="78" ht="15.75" customHeight="1" s="182"/>
    <row r="79" ht="15.75" customHeight="1" s="182"/>
    <row r="80" ht="15.75" customHeight="1" s="182"/>
    <row r="81" ht="15.75" customHeight="1" s="182"/>
    <row r="82" ht="15.75" customHeight="1" s="182"/>
    <row r="83" ht="15.75" customHeight="1" s="182"/>
    <row r="84" ht="15.75" customHeight="1" s="182"/>
    <row r="85" ht="15.75" customHeight="1" s="182"/>
    <row r="86" ht="15.75" customHeight="1" s="182"/>
    <row r="87" ht="15.75" customHeight="1" s="182"/>
    <row r="88" ht="15.75" customHeight="1" s="182"/>
    <row r="89" ht="15.75" customHeight="1" s="182"/>
    <row r="90" ht="15.75" customHeight="1" s="182"/>
    <row r="91" ht="15.75" customHeight="1" s="182"/>
    <row r="92" ht="15.75" customHeight="1" s="182"/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</sheetData>
  <autoFilter ref="$A$1:$M$65"/>
  <dataValidations count="1">
    <dataValidation sqref="E2:E65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K3" r:id="rId4"/>
    <hyperlink xmlns:r="http://schemas.openxmlformats.org/officeDocument/2006/relationships" ref="G4" r:id="rId5"/>
    <hyperlink xmlns:r="http://schemas.openxmlformats.org/officeDocument/2006/relationships" ref="K4" r:id="rId6"/>
    <hyperlink xmlns:r="http://schemas.openxmlformats.org/officeDocument/2006/relationships" ref="G5" r:id="rId7"/>
    <hyperlink xmlns:r="http://schemas.openxmlformats.org/officeDocument/2006/relationships" ref="K5" r:id="rId8"/>
    <hyperlink xmlns:r="http://schemas.openxmlformats.org/officeDocument/2006/relationships" ref="G6" r:id="rId9"/>
    <hyperlink xmlns:r="http://schemas.openxmlformats.org/officeDocument/2006/relationships" ref="K6" r:id="rId10"/>
    <hyperlink xmlns:r="http://schemas.openxmlformats.org/officeDocument/2006/relationships" ref="G7" r:id="rId11"/>
    <hyperlink xmlns:r="http://schemas.openxmlformats.org/officeDocument/2006/relationships" ref="K7" r:id="rId12"/>
    <hyperlink xmlns:r="http://schemas.openxmlformats.org/officeDocument/2006/relationships" ref="G8" r:id="rId13"/>
    <hyperlink xmlns:r="http://schemas.openxmlformats.org/officeDocument/2006/relationships" ref="K8" r:id="rId14"/>
    <hyperlink xmlns:r="http://schemas.openxmlformats.org/officeDocument/2006/relationships" ref="G9" r:id="rId15"/>
    <hyperlink xmlns:r="http://schemas.openxmlformats.org/officeDocument/2006/relationships" ref="K9" r:id="rId16"/>
    <hyperlink xmlns:r="http://schemas.openxmlformats.org/officeDocument/2006/relationships" ref="G10" r:id="rId17"/>
    <hyperlink xmlns:r="http://schemas.openxmlformats.org/officeDocument/2006/relationships" ref="K10" r:id="rId18"/>
    <hyperlink xmlns:r="http://schemas.openxmlformats.org/officeDocument/2006/relationships" ref="G11" r:id="rId19"/>
    <hyperlink xmlns:r="http://schemas.openxmlformats.org/officeDocument/2006/relationships" ref="K11" r:id="rId20"/>
    <hyperlink xmlns:r="http://schemas.openxmlformats.org/officeDocument/2006/relationships" ref="G12" r:id="rId21"/>
    <hyperlink xmlns:r="http://schemas.openxmlformats.org/officeDocument/2006/relationships" ref="K12" r:id="rId22"/>
    <hyperlink xmlns:r="http://schemas.openxmlformats.org/officeDocument/2006/relationships" ref="G13" r:id="rId23"/>
    <hyperlink xmlns:r="http://schemas.openxmlformats.org/officeDocument/2006/relationships" ref="K13" r:id="rId24"/>
    <hyperlink xmlns:r="http://schemas.openxmlformats.org/officeDocument/2006/relationships" ref="G14" r:id="rId25"/>
    <hyperlink xmlns:r="http://schemas.openxmlformats.org/officeDocument/2006/relationships" ref="K14" r:id="rId26"/>
    <hyperlink xmlns:r="http://schemas.openxmlformats.org/officeDocument/2006/relationships" ref="G15" r:id="rId27"/>
    <hyperlink xmlns:r="http://schemas.openxmlformats.org/officeDocument/2006/relationships" ref="K15" r:id="rId28"/>
    <hyperlink xmlns:r="http://schemas.openxmlformats.org/officeDocument/2006/relationships" ref="G16" r:id="rId29"/>
    <hyperlink xmlns:r="http://schemas.openxmlformats.org/officeDocument/2006/relationships" ref="K16" r:id="rId30"/>
    <hyperlink xmlns:r="http://schemas.openxmlformats.org/officeDocument/2006/relationships" ref="G17" r:id="rId31"/>
    <hyperlink xmlns:r="http://schemas.openxmlformats.org/officeDocument/2006/relationships" ref="K17" r:id="rId32"/>
    <hyperlink xmlns:r="http://schemas.openxmlformats.org/officeDocument/2006/relationships" ref="G18" r:id="rId33"/>
    <hyperlink xmlns:r="http://schemas.openxmlformats.org/officeDocument/2006/relationships" ref="K18" r:id="rId34"/>
    <hyperlink xmlns:r="http://schemas.openxmlformats.org/officeDocument/2006/relationships" ref="G19" r:id="rId35"/>
    <hyperlink xmlns:r="http://schemas.openxmlformats.org/officeDocument/2006/relationships" ref="K19" r:id="rId36"/>
    <hyperlink xmlns:r="http://schemas.openxmlformats.org/officeDocument/2006/relationships" ref="G20" r:id="rId37"/>
    <hyperlink xmlns:r="http://schemas.openxmlformats.org/officeDocument/2006/relationships" ref="K20" r:id="rId38"/>
    <hyperlink xmlns:r="http://schemas.openxmlformats.org/officeDocument/2006/relationships" ref="G21" r:id="rId39"/>
    <hyperlink xmlns:r="http://schemas.openxmlformats.org/officeDocument/2006/relationships" ref="K21" r:id="rId40"/>
    <hyperlink xmlns:r="http://schemas.openxmlformats.org/officeDocument/2006/relationships" ref="G22" r:id="rId41"/>
    <hyperlink xmlns:r="http://schemas.openxmlformats.org/officeDocument/2006/relationships" ref="K22" r:id="rId42"/>
    <hyperlink xmlns:r="http://schemas.openxmlformats.org/officeDocument/2006/relationships" ref="G23" r:id="rId43"/>
    <hyperlink xmlns:r="http://schemas.openxmlformats.org/officeDocument/2006/relationships" ref="K23" r:id="rId44"/>
    <hyperlink xmlns:r="http://schemas.openxmlformats.org/officeDocument/2006/relationships" ref="G24" r:id="rId45"/>
    <hyperlink xmlns:r="http://schemas.openxmlformats.org/officeDocument/2006/relationships" ref="K24" r:id="rId46"/>
    <hyperlink xmlns:r="http://schemas.openxmlformats.org/officeDocument/2006/relationships" ref="G25" r:id="rId47"/>
    <hyperlink xmlns:r="http://schemas.openxmlformats.org/officeDocument/2006/relationships" ref="K25" r:id="rId48"/>
    <hyperlink xmlns:r="http://schemas.openxmlformats.org/officeDocument/2006/relationships" ref="G26" r:id="rId49"/>
    <hyperlink xmlns:r="http://schemas.openxmlformats.org/officeDocument/2006/relationships" ref="K26" r:id="rId50"/>
    <hyperlink xmlns:r="http://schemas.openxmlformats.org/officeDocument/2006/relationships" ref="G27" r:id="rId51"/>
    <hyperlink xmlns:r="http://schemas.openxmlformats.org/officeDocument/2006/relationships" ref="K27" r:id="rId52"/>
    <hyperlink xmlns:r="http://schemas.openxmlformats.org/officeDocument/2006/relationships" ref="G28" r:id="rId53"/>
    <hyperlink xmlns:r="http://schemas.openxmlformats.org/officeDocument/2006/relationships" ref="K28" r:id="rId54"/>
    <hyperlink xmlns:r="http://schemas.openxmlformats.org/officeDocument/2006/relationships" ref="G29" r:id="rId55"/>
    <hyperlink xmlns:r="http://schemas.openxmlformats.org/officeDocument/2006/relationships" ref="K29" r:id="rId56"/>
    <hyperlink xmlns:r="http://schemas.openxmlformats.org/officeDocument/2006/relationships" ref="G30" r:id="rId57"/>
    <hyperlink xmlns:r="http://schemas.openxmlformats.org/officeDocument/2006/relationships" ref="K30" r:id="rId58"/>
    <hyperlink xmlns:r="http://schemas.openxmlformats.org/officeDocument/2006/relationships" ref="G31" r:id="rId59"/>
    <hyperlink xmlns:r="http://schemas.openxmlformats.org/officeDocument/2006/relationships" ref="K31" r:id="rId60"/>
    <hyperlink xmlns:r="http://schemas.openxmlformats.org/officeDocument/2006/relationships" ref="G32" r:id="rId61"/>
    <hyperlink xmlns:r="http://schemas.openxmlformats.org/officeDocument/2006/relationships" ref="K32" r:id="rId62"/>
    <hyperlink xmlns:r="http://schemas.openxmlformats.org/officeDocument/2006/relationships" ref="G33" r:id="rId63"/>
    <hyperlink xmlns:r="http://schemas.openxmlformats.org/officeDocument/2006/relationships" ref="K33" r:id="rId64"/>
    <hyperlink xmlns:r="http://schemas.openxmlformats.org/officeDocument/2006/relationships" ref="G34" r:id="rId65"/>
    <hyperlink xmlns:r="http://schemas.openxmlformats.org/officeDocument/2006/relationships" ref="K34" r:id="rId66"/>
    <hyperlink xmlns:r="http://schemas.openxmlformats.org/officeDocument/2006/relationships" ref="G35" r:id="rId67"/>
    <hyperlink xmlns:r="http://schemas.openxmlformats.org/officeDocument/2006/relationships" ref="K35" r:id="rId68"/>
    <hyperlink xmlns:r="http://schemas.openxmlformats.org/officeDocument/2006/relationships" ref="G36" r:id="rId69"/>
    <hyperlink xmlns:r="http://schemas.openxmlformats.org/officeDocument/2006/relationships" ref="K36" r:id="rId70"/>
    <hyperlink xmlns:r="http://schemas.openxmlformats.org/officeDocument/2006/relationships" ref="G37" r:id="rId71"/>
    <hyperlink xmlns:r="http://schemas.openxmlformats.org/officeDocument/2006/relationships" ref="K37" r:id="rId72"/>
    <hyperlink xmlns:r="http://schemas.openxmlformats.org/officeDocument/2006/relationships" ref="G38" r:id="rId73"/>
    <hyperlink xmlns:r="http://schemas.openxmlformats.org/officeDocument/2006/relationships" ref="K38" r:id="rId74"/>
    <hyperlink xmlns:r="http://schemas.openxmlformats.org/officeDocument/2006/relationships" ref="G39" r:id="rId75"/>
    <hyperlink xmlns:r="http://schemas.openxmlformats.org/officeDocument/2006/relationships" ref="K39" r:id="rId76"/>
    <hyperlink xmlns:r="http://schemas.openxmlformats.org/officeDocument/2006/relationships" ref="K40" r:id="rId77"/>
    <hyperlink xmlns:r="http://schemas.openxmlformats.org/officeDocument/2006/relationships" ref="G41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G42" r:id="rId81"/>
    <hyperlink xmlns:r="http://schemas.openxmlformats.org/officeDocument/2006/relationships" ref="K42" r:id="rId82"/>
    <hyperlink xmlns:r="http://schemas.openxmlformats.org/officeDocument/2006/relationships" ref="K43" r:id="rId83"/>
    <hyperlink xmlns:r="http://schemas.openxmlformats.org/officeDocument/2006/relationships" ref="G44" r:id="rId84"/>
    <hyperlink xmlns:r="http://schemas.openxmlformats.org/officeDocument/2006/relationships" ref="K44" r:id="rId85"/>
    <hyperlink xmlns:r="http://schemas.openxmlformats.org/officeDocument/2006/relationships" ref="G45" r:id="rId86"/>
    <hyperlink xmlns:r="http://schemas.openxmlformats.org/officeDocument/2006/relationships" ref="K45" r:id="rId87"/>
    <hyperlink xmlns:r="http://schemas.openxmlformats.org/officeDocument/2006/relationships" ref="G46" r:id="rId88"/>
    <hyperlink xmlns:r="http://schemas.openxmlformats.org/officeDocument/2006/relationships" ref="K46" r:id="rId89"/>
    <hyperlink xmlns:r="http://schemas.openxmlformats.org/officeDocument/2006/relationships" ref="G47" r:id="rId90"/>
    <hyperlink xmlns:r="http://schemas.openxmlformats.org/officeDocument/2006/relationships" ref="K47" r:id="rId91"/>
    <hyperlink xmlns:r="http://schemas.openxmlformats.org/officeDocument/2006/relationships" ref="G48" r:id="rId92"/>
    <hyperlink xmlns:r="http://schemas.openxmlformats.org/officeDocument/2006/relationships" ref="K48" r:id="rId93"/>
    <hyperlink xmlns:r="http://schemas.openxmlformats.org/officeDocument/2006/relationships" ref="G49" r:id="rId94"/>
    <hyperlink xmlns:r="http://schemas.openxmlformats.org/officeDocument/2006/relationships" ref="K49" r:id="rId95"/>
    <hyperlink xmlns:r="http://schemas.openxmlformats.org/officeDocument/2006/relationships" ref="G50" r:id="rId96"/>
    <hyperlink xmlns:r="http://schemas.openxmlformats.org/officeDocument/2006/relationships" ref="K50" r:id="rId97"/>
    <hyperlink xmlns:r="http://schemas.openxmlformats.org/officeDocument/2006/relationships" ref="G51" r:id="rId98"/>
    <hyperlink xmlns:r="http://schemas.openxmlformats.org/officeDocument/2006/relationships" ref="K51" r:id="rId99"/>
    <hyperlink xmlns:r="http://schemas.openxmlformats.org/officeDocument/2006/relationships" ref="G52" r:id="rId100"/>
    <hyperlink xmlns:r="http://schemas.openxmlformats.org/officeDocument/2006/relationships" ref="K52" r:id="rId101"/>
    <hyperlink xmlns:r="http://schemas.openxmlformats.org/officeDocument/2006/relationships" ref="G53" r:id="rId102"/>
    <hyperlink xmlns:r="http://schemas.openxmlformats.org/officeDocument/2006/relationships" ref="K53" r:id="rId103"/>
    <hyperlink xmlns:r="http://schemas.openxmlformats.org/officeDocument/2006/relationships" ref="G54" r:id="rId104"/>
    <hyperlink xmlns:r="http://schemas.openxmlformats.org/officeDocument/2006/relationships" ref="K54" r:id="rId105"/>
    <hyperlink xmlns:r="http://schemas.openxmlformats.org/officeDocument/2006/relationships" ref="G55" r:id="rId106"/>
    <hyperlink xmlns:r="http://schemas.openxmlformats.org/officeDocument/2006/relationships" ref="K55" r:id="rId107"/>
    <hyperlink xmlns:r="http://schemas.openxmlformats.org/officeDocument/2006/relationships" ref="G56" r:id="rId108"/>
    <hyperlink xmlns:r="http://schemas.openxmlformats.org/officeDocument/2006/relationships" ref="K56" r:id="rId109"/>
    <hyperlink xmlns:r="http://schemas.openxmlformats.org/officeDocument/2006/relationships" ref="G57" r:id="rId110"/>
    <hyperlink xmlns:r="http://schemas.openxmlformats.org/officeDocument/2006/relationships" ref="K57" r:id="rId111"/>
    <hyperlink xmlns:r="http://schemas.openxmlformats.org/officeDocument/2006/relationships" ref="G58" r:id="rId112"/>
    <hyperlink xmlns:r="http://schemas.openxmlformats.org/officeDocument/2006/relationships" ref="K58" r:id="rId113"/>
    <hyperlink xmlns:r="http://schemas.openxmlformats.org/officeDocument/2006/relationships" ref="G59" r:id="rId114"/>
    <hyperlink xmlns:r="http://schemas.openxmlformats.org/officeDocument/2006/relationships" ref="K59" r:id="rId115"/>
    <hyperlink xmlns:r="http://schemas.openxmlformats.org/officeDocument/2006/relationships" ref="G60" r:id="rId116"/>
    <hyperlink xmlns:r="http://schemas.openxmlformats.org/officeDocument/2006/relationships" ref="K60" r:id="rId117"/>
    <hyperlink xmlns:r="http://schemas.openxmlformats.org/officeDocument/2006/relationships" ref="G61" r:id="rId118"/>
    <hyperlink xmlns:r="http://schemas.openxmlformats.org/officeDocument/2006/relationships" ref="K61" r:id="rId119"/>
    <hyperlink xmlns:r="http://schemas.openxmlformats.org/officeDocument/2006/relationships" ref="G62" r:id="rId120"/>
    <hyperlink xmlns:r="http://schemas.openxmlformats.org/officeDocument/2006/relationships" ref="K62" r:id="rId121"/>
    <hyperlink xmlns:r="http://schemas.openxmlformats.org/officeDocument/2006/relationships" ref="G63" r:id="rId122"/>
    <hyperlink xmlns:r="http://schemas.openxmlformats.org/officeDocument/2006/relationships" ref="K63" r:id="rId123"/>
    <hyperlink xmlns:r="http://schemas.openxmlformats.org/officeDocument/2006/relationships" ref="G64" r:id="rId124"/>
    <hyperlink xmlns:r="http://schemas.openxmlformats.org/officeDocument/2006/relationships" ref="K64" r:id="rId125"/>
    <hyperlink xmlns:r="http://schemas.openxmlformats.org/officeDocument/2006/relationships" ref="G65" r:id="rId126"/>
    <hyperlink xmlns:r="http://schemas.openxmlformats.org/officeDocument/2006/relationships" ref="K65" r:id="rId127"/>
  </hyperlinks>
  <pageMargins left="0.75" right="0.75" top="1" bottom="1" header="0" footer="0"/>
  <pageSetup orientation="landscape"/>
  <tableParts count="1">
    <tablePart xmlns:r="http://schemas.openxmlformats.org/officeDocument/2006/relationships" r:id="rId128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14" customWidth="1" style="182" min="1" max="1"/>
    <col width="22" customWidth="1" style="182" min="2" max="2"/>
    <col width="34" customWidth="1" style="182" min="3" max="4"/>
    <col width="17" customWidth="1" style="182" min="5" max="5"/>
    <col width="26" customWidth="1" style="182" min="6" max="7"/>
    <col width="24" customWidth="1" style="182" min="8" max="8"/>
    <col width="22.29" customWidth="1" style="182" min="9" max="9"/>
    <col width="22" customWidth="1" style="182" min="10" max="10"/>
    <col width="30" customWidth="1" style="182" min="11" max="11"/>
    <col width="17.86" customWidth="1" style="182" min="12" max="12"/>
    <col width="17.71" customWidth="1" style="182" min="13" max="13"/>
    <col width="25.86" customWidth="1" style="182" min="14" max="14"/>
    <col width="8.710000000000001" customWidth="1" style="182" min="15" max="27"/>
  </cols>
  <sheetData>
    <row r="1" ht="30" customHeight="1" s="182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 ht="30" customHeight="1" s="182">
      <c r="A2" s="170" t="inlineStr">
        <is>
          <t>Uruguay</t>
        </is>
      </c>
      <c r="B2" s="124" t="inlineStr">
        <is>
          <t>Universidades públicas</t>
        </is>
      </c>
      <c r="C2" s="124" t="inlineStr">
        <is>
          <t>Universidad autónoma estatal / Educación superior pública</t>
        </is>
      </c>
      <c r="D2" s="124" t="inlineStr">
        <is>
          <t>Universidad de la República (Udelar)</t>
        </is>
      </c>
      <c r="E2" s="73" t="n"/>
      <c r="F2" s="124" t="inlineStr">
        <is>
          <t>División Secretaría General / Rectorado</t>
        </is>
      </c>
      <c r="G2" s="49" t="inlineStr">
        <is>
          <t>https://udelar.edu.uy/</t>
        </is>
      </c>
      <c r="H2" s="203" t="inlineStr">
        <is>
          <t>Héctor Cancela (Rector) / Gerardo Siuciak (Director Depto. Secretaría General)</t>
        </is>
      </c>
      <c r="I2" s="203" t="inlineStr">
        <is>
          <t>(+598) 2409 2779 / (+598) 2400 8393 int. 12</t>
        </is>
      </c>
      <c r="J2" s="203" t="inlineStr">
        <is>
          <t>rector@rectorado.udelar.edu.uy / gerardo.siuciak@udelar.edu.uy</t>
        </is>
      </c>
      <c r="K2" s="213" t="inlineStr">
        <is>
          <t>https://gestion.udelar.edu.uy/directorio/direcciones/division-secretaria-general</t>
        </is>
      </c>
      <c r="L2" s="188" t="inlineStr">
        <is>
          <t>CORREGIDO</t>
        </is>
      </c>
      <c r="M2" s="184" t="inlineStr">
        <is>
          <t>Auditoría 08-oct-2026: Email secregral@oce.edu.uy no corresponde a Udelar; rector actualizado.</t>
        </is>
      </c>
    </row>
    <row r="3" ht="30" customHeight="1" s="182">
      <c r="A3" s="42" t="inlineStr">
        <is>
          <t>Uruguay</t>
        </is>
      </c>
      <c r="B3" s="124" t="inlineStr">
        <is>
          <t>Universidades públicas</t>
        </is>
      </c>
      <c r="C3" s="124" t="inlineStr">
        <is>
          <t>Universidad pública tecnológica / Educación superior pública</t>
        </is>
      </c>
      <c r="D3" s="124" t="inlineStr">
        <is>
          <t>Universidad Tecnológica del Uruguay (UTEC)</t>
        </is>
      </c>
      <c r="E3" s="73" t="n"/>
      <c r="F3" s="124" t="inlineStr">
        <is>
          <t>Secretaría General</t>
        </is>
      </c>
      <c r="G3" s="49" t="inlineStr">
        <is>
          <t>https://utec.edu.uy/</t>
        </is>
      </c>
      <c r="H3" s="124" t="inlineStr">
        <is>
          <t>Rossana Santomauro (Secretaria General)</t>
        </is>
      </c>
      <c r="I3" s="124" t="inlineStr">
        <is>
          <t>(+598) 2603 8832</t>
        </is>
      </c>
      <c r="J3" s="124" t="inlineStr">
        <is>
          <t>rossana.santomauro@utec.edu.uy / consultas@utec.edu.uy</t>
        </is>
      </c>
      <c r="K3" s="49" t="inlineStr">
        <is>
          <t>https://utec.edu.uy/es/sobre-utec/autoridades/</t>
        </is>
      </c>
      <c r="L3" s="188" t="inlineStr">
        <is>
          <t>PENDIENTE</t>
        </is>
      </c>
      <c r="M3" s="30" t="n"/>
    </row>
    <row r="4" ht="30" customHeight="1" s="182">
      <c r="A4" s="231" t="inlineStr">
        <is>
          <t>Uruguay</t>
        </is>
      </c>
      <c r="B4" s="232" t="inlineStr">
        <is>
          <t>Formación técnica pública</t>
        </is>
      </c>
      <c r="C4" s="183" t="inlineStr">
        <is>
          <t>Educación técnico profesional pública (ANEP)</t>
        </is>
      </c>
      <c r="D4" s="183" t="inlineStr">
        <is>
          <t>Dirección General de Educación Técnico Profesional – UTU (DGETP-UTU)</t>
        </is>
      </c>
      <c r="E4" s="183" t="n"/>
      <c r="F4" s="183" t="inlineStr">
        <is>
          <t>Secretaría General / Dirección General</t>
        </is>
      </c>
      <c r="G4" s="183" t="inlineStr">
        <is>
          <t>https://www.utu.edu.uy/</t>
        </is>
      </c>
      <c r="H4" s="192" t="inlineStr">
        <is>
          <t>No disponible públicamente</t>
        </is>
      </c>
      <c r="I4" s="183" t="inlineStr">
        <is>
          <t>(+598) 2410 5055</t>
        </is>
      </c>
      <c r="J4" s="183" t="inlineStr">
        <is>
          <t>secretariageneral@utu.edu.uy / direcciongeneral@utu.edu.uy</t>
        </is>
      </c>
      <c r="K4" s="183" t="inlineStr">
        <is>
          <t>https://www.gub.uy/agencia-gobierno-electronico-sociedad-informacion-conocimiento/politicas-y-gestion/convenios/direccion-general-educacion-tecnico-profesional-dgetp-utu-agesic</t>
        </is>
      </c>
      <c r="L4" s="188" t="inlineStr">
        <is>
          <t>VERIFICAR</t>
        </is>
      </c>
      <c r="M4" s="184" t="inlineStr">
        <is>
          <t>Agregado auditoría 08-oct-2026. Correo de fuente institucional única; no reproducido en búsqueda independiente. Directorio antiguo; confirmar.</t>
        </is>
      </c>
    </row>
    <row r="5" ht="30" customHeight="1" s="182">
      <c r="A5" s="231" t="inlineStr">
        <is>
          <t>Uruguay</t>
        </is>
      </c>
      <c r="B5" s="232" t="inlineStr">
        <is>
          <t>Formación técnica pública</t>
        </is>
      </c>
      <c r="C5" s="183" t="inlineStr">
        <is>
          <t>Instituto de empleo y formación profesional (tripartito)</t>
        </is>
      </c>
      <c r="D5" s="183" t="inlineStr">
        <is>
          <t>Instituto Nacional de Empleo y Formación Profesional (INEFOP)</t>
        </is>
      </c>
      <c r="E5" s="183" t="n"/>
      <c r="F5" s="183" t="inlineStr">
        <is>
          <t>Secretaría (comunicaciones a autoridades)</t>
        </is>
      </c>
      <c r="G5" s="183" t="inlineStr">
        <is>
          <t>https://www.inefop.uy/</t>
        </is>
      </c>
      <c r="H5" s="192" t="inlineStr">
        <is>
          <t>No disponible públicamente</t>
        </is>
      </c>
      <c r="I5" s="183" t="inlineStr">
        <is>
          <t>(+598) 2917 0425</t>
        </is>
      </c>
      <c r="J5" s="183" t="inlineStr">
        <is>
          <t>secretaria@inefop.org.uy</t>
        </is>
      </c>
      <c r="K5" s="183" t="inlineStr">
        <is>
          <t>https://www.inefop.uy/contacto</t>
        </is>
      </c>
      <c r="L5" s="188" t="inlineStr">
        <is>
          <t>VERIFICAR</t>
        </is>
      </c>
      <c r="M5" s="184" t="inlineStr">
        <is>
          <t>Agregado auditoría 08-oct-2026. Correo de fuente institucional única; no reproducido en búsqueda independiente.</t>
        </is>
      </c>
    </row>
    <row r="6" ht="30" customHeight="1" s="182">
      <c r="A6" s="231" t="inlineStr">
        <is>
          <t>Uruguay</t>
        </is>
      </c>
      <c r="B6" s="232" t="inlineStr">
        <is>
          <t>Organizaciones juveniles</t>
        </is>
      </c>
      <c r="C6" s="183" t="inlineStr">
        <is>
          <t>Organismo público de juventud</t>
        </is>
      </c>
      <c r="D6" s="183" t="inlineStr">
        <is>
          <t>Instituto Nacional de la Juventud (INJU – MIDES)</t>
        </is>
      </c>
      <c r="E6" s="183" t="n"/>
      <c r="F6" s="183" t="inlineStr">
        <is>
          <t>Contacto institucional</t>
        </is>
      </c>
      <c r="G6" s="183" t="inlineStr">
        <is>
          <t>https://www.gub.uy/ministerio-desarrollo-social/institucional/estructura-del-organismo/instituto-nacional-juventud</t>
        </is>
      </c>
      <c r="H6" s="192" t="inlineStr">
        <is>
          <t>No disponible públicamente</t>
        </is>
      </c>
      <c r="I6" s="183" t="inlineStr">
        <is>
          <t>(+598) 2400 0302 / 0800 4658</t>
        </is>
      </c>
      <c r="J6" s="183" t="inlineStr">
        <is>
          <t>casainju@mides.gub.uy</t>
        </is>
      </c>
      <c r="K6" s="183" t="inlineStr">
        <is>
          <t>https://www.gub.uy/tramites/casa-inju</t>
        </is>
      </c>
      <c r="L6" s="188" t="inlineStr">
        <is>
          <t>VERIFICAR</t>
        </is>
      </c>
      <c r="M6" s="184" t="inlineStr">
        <is>
          <t>Agregado auditoría 08-oct-2026. Correo de fuente institucional única; no reproducido en búsqueda independiente.</t>
        </is>
      </c>
    </row>
    <row r="7" ht="30" customHeight="1" s="182">
      <c r="A7" s="233" t="inlineStr">
        <is>
          <t>Uruguay</t>
        </is>
      </c>
      <c r="B7" s="234" t="inlineStr">
        <is>
          <t>Asociaciones de seguridad social</t>
        </is>
      </c>
      <c r="C7" s="235" t="inlineStr">
        <is>
          <t>Seguridad social (entidad pública)</t>
        </is>
      </c>
      <c r="D7" s="235" t="inlineStr">
        <is>
          <t>Banco de Previsión Social (BPS)</t>
        </is>
      </c>
      <c r="E7" s="235" t="n"/>
      <c r="F7" s="235" t="inlineStr">
        <is>
          <t>Presidencia</t>
        </is>
      </c>
      <c r="G7" s="235" t="inlineStr">
        <is>
          <t>https://www.bps.gub.uy/</t>
        </is>
      </c>
      <c r="H7" s="236" t="inlineStr">
        <is>
          <t>No disponible públicamente</t>
        </is>
      </c>
      <c r="I7" s="235" t="inlineStr">
        <is>
          <t>(+598) 1997 0000</t>
        </is>
      </c>
      <c r="J7" s="235" t="inlineStr">
        <is>
          <t>presidencia@bps.gub.uy</t>
        </is>
      </c>
      <c r="K7" s="235" t="inlineStr">
        <is>
          <t>https://www.bps.gub.uy/12674/autoridades.html</t>
        </is>
      </c>
      <c r="L7" s="237" t="inlineStr">
        <is>
          <t>CONFIRMADO</t>
        </is>
      </c>
      <c r="M7" s="238" t="inlineStr">
        <is>
          <t>Agregado auditoría 08-oct-2026. Doble verificación OK: correo reproducido en https://www.gub.uy/oficina-nacional-servicio-civil/sites/oficina-nacional-servicio-civil/files/documentos/publicaciones/ENTES%20AUT%C3%93NOMOS_24.pdf</t>
        </is>
      </c>
    </row>
    <row r="8" ht="30" customHeight="1" s="182">
      <c r="A8" s="231" t="inlineStr">
        <is>
          <t>Uruguay</t>
        </is>
      </c>
      <c r="B8" s="232" t="inlineStr">
        <is>
          <t>Asociaciones de seguridad social</t>
        </is>
      </c>
      <c r="C8" s="183" t="inlineStr">
        <is>
          <t>Caja paraestatal</t>
        </is>
      </c>
      <c r="D8" s="183" t="inlineStr">
        <is>
          <t>Caja de Jubilaciones y Pensiones de Profesionales Universitarios (CJPPU)</t>
        </is>
      </c>
      <c r="E8" s="183" t="n"/>
      <c r="F8" s="183" t="inlineStr">
        <is>
          <t>Prestaciones</t>
        </is>
      </c>
      <c r="G8" s="183" t="inlineStr">
        <is>
          <t>https://www.cjppu.org.uy/</t>
        </is>
      </c>
      <c r="H8" s="192" t="inlineStr">
        <is>
          <t>No disponible públicamente</t>
        </is>
      </c>
      <c r="I8" s="183" t="inlineStr">
        <is>
          <t>(+598) 2902 8941</t>
        </is>
      </c>
      <c r="J8" s="183" t="inlineStr">
        <is>
          <t>consultas@cjppu.org.uy</t>
        </is>
      </c>
      <c r="K8" s="183" t="inlineStr">
        <is>
          <t>https://www.gub.uy/agencia-gobierno-electronico-sociedad-informacion-conocimiento/soluciones/domicilio-digital/ayuda</t>
        </is>
      </c>
      <c r="L8" s="188" t="inlineStr">
        <is>
          <t>VERIFICAR</t>
        </is>
      </c>
      <c r="M8" s="184" t="inlineStr">
        <is>
          <t>Agregado auditoría 08-oct-2026. Correo de fuente institucional única; no reproducido en búsqueda independiente.</t>
        </is>
      </c>
    </row>
    <row r="9" ht="30" customHeight="1" s="182">
      <c r="A9" s="231" t="inlineStr">
        <is>
          <t>Uruguay</t>
        </is>
      </c>
      <c r="B9" s="232" t="inlineStr">
        <is>
          <t>Asociaciones de seguridad social</t>
        </is>
      </c>
      <c r="C9" s="183" t="inlineStr">
        <is>
          <t>Caja paraestatal</t>
        </is>
      </c>
      <c r="D9" s="183" t="inlineStr">
        <is>
          <t>Caja de Jubilaciones y Pensiones Bancarias (CJPB)</t>
        </is>
      </c>
      <c r="E9" s="183" t="n"/>
      <c r="F9" s="183" t="inlineStr">
        <is>
          <t>Contacto institucional</t>
        </is>
      </c>
      <c r="G9" s="183" t="inlineStr">
        <is>
          <t>https://www.cjpb.org.uy/</t>
        </is>
      </c>
      <c r="H9" s="192" t="inlineStr">
        <is>
          <t>No disponible públicamente</t>
        </is>
      </c>
      <c r="I9" s="183" t="inlineStr">
        <is>
          <t>1925</t>
        </is>
      </c>
      <c r="J9" s="183" t="inlineStr">
        <is>
          <t>cajabancaria@cjpb.org.uy</t>
        </is>
      </c>
      <c r="K9" s="183" t="inlineStr">
        <is>
          <t>https://www.cjpb.org.uy/contacto/</t>
        </is>
      </c>
      <c r="L9" s="188" t="inlineStr">
        <is>
          <t>VERIFICAR</t>
        </is>
      </c>
      <c r="M9" s="184" t="inlineStr">
        <is>
          <t>Agregado auditoría 08-oct-2026. Correo de fuente institucional única; no reproducido en búsqueda independiente.</t>
        </is>
      </c>
    </row>
    <row r="10" ht="30" customHeight="1" s="182">
      <c r="A10" s="231" t="inlineStr">
        <is>
          <t>Uruguay</t>
        </is>
      </c>
      <c r="B10" s="232" t="inlineStr">
        <is>
          <t>Escuelas de gobierno y administración pública</t>
        </is>
      </c>
      <c r="C10" s="183" t="inlineStr">
        <is>
          <t>Escuela nacional de administración pública</t>
        </is>
      </c>
      <c r="D10" s="183" t="inlineStr">
        <is>
          <t>Escuela Nacional de Administración Pública (ENAP – ONSC)</t>
        </is>
      </c>
      <c r="E10" s="183" t="n"/>
      <c r="F10" s="183" t="inlineStr">
        <is>
          <t>ENAP</t>
        </is>
      </c>
      <c r="G10" s="183" t="inlineStr">
        <is>
          <t>https://www.onsc.gub.uy/</t>
        </is>
      </c>
      <c r="H10" s="192" t="inlineStr">
        <is>
          <t>No disponible públicamente</t>
        </is>
      </c>
      <c r="I10" s="183" t="inlineStr">
        <is>
          <t>(+598) 2901 3941 / 2901 4643</t>
        </is>
      </c>
      <c r="J10" s="183" t="inlineStr">
        <is>
          <t>enap@onsc.gub.uy</t>
        </is>
      </c>
      <c r="K10" s="183" t="inlineStr">
        <is>
          <t>https://www.onsc.gub.uy/moodle/course/index.php</t>
        </is>
      </c>
      <c r="L10" s="188" t="inlineStr">
        <is>
          <t>VERIFICAR</t>
        </is>
      </c>
      <c r="M10" s="184" t="inlineStr">
        <is>
          <t>Agregado auditoría 08-oct-2026. Correo de fuente institucional única; no reproducido en búsqueda independiente. Teléfonos de 2019.</t>
        </is>
      </c>
    </row>
    <row r="11" ht="30" customHeight="1" s="182">
      <c r="A11" s="231" t="inlineStr">
        <is>
          <t>Uruguay</t>
        </is>
      </c>
      <c r="B11" s="232" t="inlineStr">
        <is>
          <t>Escuelas de gobierno y administración pública</t>
        </is>
      </c>
      <c r="C11" s="183" t="inlineStr">
        <is>
          <t>Escuela de gobierno universitaria</t>
        </is>
      </c>
      <c r="D11" s="183" t="inlineStr">
        <is>
          <t>Escuela de Gobierno – Udelar</t>
        </is>
      </c>
      <c r="E11" s="183" t="n"/>
      <c r="F11" s="183" t="inlineStr">
        <is>
          <t>Escuela de Gobierno</t>
        </is>
      </c>
      <c r="G11" s="183" t="inlineStr">
        <is>
          <t>https://escueladegobierno.udelar.edu.uy/</t>
        </is>
      </c>
      <c r="H11" s="192" t="inlineStr">
        <is>
          <t>No disponible públicamente</t>
        </is>
      </c>
      <c r="I11" s="183" t="inlineStr">
        <is>
          <t>No disponible públicamente</t>
        </is>
      </c>
      <c r="J11" s="183" t="inlineStr">
        <is>
          <t>No disponible públicamente</t>
        </is>
      </c>
      <c r="K11" s="183" t="inlineStr">
        <is>
          <t>https://escueladegobierno.udelar.edu.uy/oficina-nacional-del-servicio-civil-y-escuela-de-gobierno-oferta-de-formacion-2022/</t>
        </is>
      </c>
      <c r="L11" s="188" t="inlineStr">
        <is>
          <t>VERIFICAR</t>
        </is>
      </c>
      <c r="M11" s="184" t="inlineStr">
        <is>
          <t>Agregado auditoría 08-oct-2026. Sin correo publicado en fuente oficial; contactar por teléfono/web. Sin contacto en resultados; revisar web.</t>
        </is>
      </c>
    </row>
    <row r="12" ht="30" customHeight="1" s="182">
      <c r="A12" s="231" t="inlineStr">
        <is>
          <t>Uruguay</t>
        </is>
      </c>
      <c r="B12" s="232" t="inlineStr">
        <is>
          <t>Sindicatos y confederaciones de trabajadores</t>
        </is>
      </c>
      <c r="C12" s="183" t="inlineStr">
        <is>
          <t>Central sindical única</t>
        </is>
      </c>
      <c r="D12" s="183" t="inlineStr">
        <is>
          <t>PIT-CNT</t>
        </is>
      </c>
      <c r="E12" s="183" t="n"/>
      <c r="F12" s="183" t="inlineStr">
        <is>
          <t>Sede central (Jackson 1283, Montevideo)</t>
        </is>
      </c>
      <c r="G12" s="183" t="inlineStr">
        <is>
          <t>https://www.pitcnt.uy/</t>
        </is>
      </c>
      <c r="H12" s="192" t="inlineStr">
        <is>
          <t>Marcelo Abdala (dirigente; dato 2015)</t>
        </is>
      </c>
      <c r="I12" s="183" t="inlineStr">
        <is>
          <t>(+598) 2409 6680 / 2409 2267</t>
        </is>
      </c>
      <c r="J12" s="183" t="inlineStr">
        <is>
          <t>pitcnt@pitcnt.uy</t>
        </is>
      </c>
      <c r="K12" s="183" t="inlineStr">
        <is>
          <t>https://www.pitcnt.uy/contacto/itemlist/category/39-sindicatos-afiliados</t>
        </is>
      </c>
      <c r="L12" s="188" t="inlineStr">
        <is>
          <t>VERIFICAR</t>
        </is>
      </c>
      <c r="M12" s="184" t="inlineStr">
        <is>
          <t>Agregado auditoría 08-oct-2026. Correo de fuente institucional única; no reproducido en búsqueda independiente.</t>
        </is>
      </c>
    </row>
    <row r="13" ht="30" customHeight="1" s="182">
      <c r="A13" s="42" t="n"/>
      <c r="B13" s="15" t="n"/>
      <c r="C13" s="73" t="n"/>
      <c r="D13" s="73" t="n"/>
      <c r="E13" s="73" t="n"/>
      <c r="F13" s="73" t="n"/>
      <c r="G13" s="73" t="n"/>
      <c r="H13" s="28" t="n"/>
      <c r="I13" s="73" t="n"/>
      <c r="J13" s="73" t="n"/>
      <c r="K13" s="73" t="n"/>
      <c r="L13" s="51" t="n"/>
      <c r="M13" s="30" t="n"/>
    </row>
    <row r="14" ht="30" customHeight="1" s="182">
      <c r="A14" s="42" t="n"/>
      <c r="B14" s="15" t="n"/>
      <c r="C14" s="73" t="n"/>
      <c r="D14" s="73" t="n"/>
      <c r="E14" s="73" t="n"/>
      <c r="F14" s="73" t="n"/>
      <c r="G14" s="73" t="n"/>
      <c r="H14" s="28" t="n"/>
      <c r="I14" s="73" t="n"/>
      <c r="J14" s="73" t="n"/>
      <c r="K14" s="73" t="n"/>
      <c r="L14" s="51" t="n"/>
      <c r="M14" s="30" t="n"/>
    </row>
    <row r="15" ht="30" customHeight="1" s="182">
      <c r="A15" s="42" t="n"/>
      <c r="B15" s="15" t="n"/>
      <c r="C15" s="73" t="n"/>
      <c r="D15" s="73" t="n"/>
      <c r="E15" s="73" t="n"/>
      <c r="F15" s="73" t="n"/>
      <c r="G15" s="73" t="n"/>
      <c r="H15" s="28" t="n"/>
      <c r="I15" s="73" t="n"/>
      <c r="J15" s="73" t="n"/>
      <c r="K15" s="73" t="n"/>
      <c r="L15" s="51" t="n"/>
      <c r="M15" s="30" t="n"/>
    </row>
    <row r="16" ht="30" customHeight="1" s="182">
      <c r="A16" s="42" t="n"/>
      <c r="B16" s="15" t="n"/>
      <c r="C16" s="73" t="n"/>
      <c r="D16" s="73" t="n"/>
      <c r="E16" s="73" t="n"/>
      <c r="F16" s="73" t="n"/>
      <c r="G16" s="73" t="n"/>
      <c r="H16" s="28" t="n"/>
      <c r="I16" s="73" t="n"/>
      <c r="J16" s="73" t="n"/>
      <c r="K16" s="73" t="n"/>
      <c r="L16" s="51" t="n"/>
      <c r="M16" s="30" t="n"/>
    </row>
    <row r="17" ht="30" customHeight="1" s="182">
      <c r="A17" s="42" t="n"/>
      <c r="B17" s="15" t="n"/>
      <c r="C17" s="73" t="n"/>
      <c r="D17" s="73" t="n"/>
      <c r="E17" s="73" t="n"/>
      <c r="F17" s="73" t="n"/>
      <c r="G17" s="73" t="n"/>
      <c r="H17" s="28" t="n"/>
      <c r="I17" s="73" t="n"/>
      <c r="J17" s="73" t="n"/>
      <c r="K17" s="73" t="n"/>
      <c r="L17" s="51" t="n"/>
      <c r="M17" s="30" t="n"/>
    </row>
    <row r="18" ht="30" customHeight="1" s="182">
      <c r="A18" s="42" t="n"/>
      <c r="B18" s="15" t="n"/>
      <c r="C18" s="73" t="n"/>
      <c r="D18" s="73" t="n"/>
      <c r="E18" s="73" t="n"/>
      <c r="F18" s="73" t="n"/>
      <c r="G18" s="73" t="n"/>
      <c r="H18" s="28" t="n"/>
      <c r="I18" s="73" t="n"/>
      <c r="J18" s="73" t="n"/>
      <c r="K18" s="73" t="n"/>
      <c r="L18" s="51" t="n"/>
      <c r="M18" s="30" t="n"/>
    </row>
    <row r="19" ht="30" customHeight="1" s="182">
      <c r="A19" s="42" t="n"/>
      <c r="B19" s="15" t="n"/>
      <c r="C19" s="73" t="n"/>
      <c r="D19" s="73" t="n"/>
      <c r="E19" s="73" t="n"/>
      <c r="F19" s="73" t="n"/>
      <c r="G19" s="73" t="n"/>
      <c r="H19" s="28" t="n"/>
      <c r="I19" s="73" t="n"/>
      <c r="J19" s="73" t="n"/>
      <c r="K19" s="73" t="n"/>
      <c r="L19" s="51" t="n"/>
      <c r="M19" s="30" t="n"/>
    </row>
    <row r="20" ht="30" customHeight="1" s="182">
      <c r="A20" s="42" t="n"/>
      <c r="B20" s="15" t="n"/>
      <c r="C20" s="73" t="n"/>
      <c r="D20" s="73" t="n"/>
      <c r="E20" s="73" t="n"/>
      <c r="F20" s="73" t="n"/>
      <c r="G20" s="73" t="n"/>
      <c r="H20" s="28" t="n"/>
      <c r="I20" s="73" t="n"/>
      <c r="J20" s="73" t="n"/>
      <c r="K20" s="73" t="n"/>
      <c r="L20" s="51" t="n"/>
      <c r="M20" s="30" t="n"/>
    </row>
    <row r="21" ht="30" customHeight="1" s="182">
      <c r="A21" s="42" t="n"/>
      <c r="B21" s="15" t="n"/>
      <c r="C21" s="73" t="n"/>
      <c r="D21" s="73" t="n"/>
      <c r="E21" s="73" t="n"/>
      <c r="F21" s="73" t="n"/>
      <c r="G21" s="73" t="n"/>
      <c r="H21" s="28" t="n"/>
      <c r="I21" s="73" t="n"/>
      <c r="J21" s="73" t="n"/>
      <c r="K21" s="73" t="n"/>
      <c r="L21" s="51" t="n"/>
      <c r="M21" s="30" t="n"/>
    </row>
    <row r="22" ht="30" customHeight="1" s="182">
      <c r="A22" s="42" t="n"/>
      <c r="B22" s="15" t="n"/>
      <c r="C22" s="73" t="n"/>
      <c r="D22" s="73" t="n"/>
      <c r="E22" s="73" t="n"/>
      <c r="F22" s="73" t="n"/>
      <c r="G22" s="73" t="n"/>
      <c r="H22" s="28" t="n"/>
      <c r="I22" s="73" t="n"/>
      <c r="J22" s="73" t="n"/>
      <c r="K22" s="73" t="n"/>
      <c r="L22" s="51" t="n"/>
      <c r="M22" s="30" t="n"/>
    </row>
    <row r="23" ht="30" customHeight="1" s="182">
      <c r="A23" s="42" t="n"/>
      <c r="B23" s="15" t="n"/>
      <c r="C23" s="73" t="n"/>
      <c r="D23" s="73" t="n"/>
      <c r="E23" s="73" t="n"/>
      <c r="F23" s="73" t="n"/>
      <c r="G23" s="73" t="n"/>
      <c r="H23" s="28" t="n"/>
      <c r="I23" s="73" t="n"/>
      <c r="J23" s="73" t="n"/>
      <c r="K23" s="73" t="n"/>
      <c r="L23" s="51" t="n"/>
      <c r="M23" s="30" t="n"/>
    </row>
    <row r="24" ht="30" customHeight="1" s="182">
      <c r="A24" s="42" t="n"/>
      <c r="B24" s="15" t="n"/>
      <c r="C24" s="73" t="n"/>
      <c r="D24" s="73" t="n"/>
      <c r="E24" s="73" t="n"/>
      <c r="F24" s="73" t="n"/>
      <c r="G24" s="73" t="n"/>
      <c r="H24" s="28" t="n"/>
      <c r="I24" s="73" t="n"/>
      <c r="J24" s="73" t="n"/>
      <c r="K24" s="73" t="n"/>
      <c r="L24" s="51" t="n"/>
      <c r="M24" s="30" t="n"/>
    </row>
    <row r="25" ht="30" customHeight="1" s="182">
      <c r="A25" s="42" t="n"/>
      <c r="B25" s="15" t="n"/>
      <c r="C25" s="73" t="n"/>
      <c r="D25" s="73" t="n"/>
      <c r="E25" s="73" t="n"/>
      <c r="F25" s="73" t="n"/>
      <c r="G25" s="73" t="n"/>
      <c r="H25" s="28" t="n"/>
      <c r="I25" s="73" t="n"/>
      <c r="J25" s="73" t="n"/>
      <c r="K25" s="73" t="n"/>
      <c r="L25" s="51" t="n"/>
      <c r="M25" s="30" t="n"/>
    </row>
    <row r="26" ht="30" customHeight="1" s="182">
      <c r="A26" s="42" t="n"/>
      <c r="B26" s="15" t="n"/>
      <c r="C26" s="73" t="n"/>
      <c r="D26" s="73" t="n"/>
      <c r="E26" s="73" t="n"/>
      <c r="F26" s="73" t="n"/>
      <c r="G26" s="73" t="n"/>
      <c r="H26" s="28" t="n"/>
      <c r="I26" s="73" t="n"/>
      <c r="J26" s="73" t="n"/>
      <c r="K26" s="73" t="n"/>
      <c r="L26" s="51" t="n"/>
      <c r="M26" s="30" t="n"/>
    </row>
    <row r="27" ht="30" customHeight="1" s="182">
      <c r="A27" s="42" t="n"/>
      <c r="B27" s="15" t="n"/>
      <c r="C27" s="73" t="n"/>
      <c r="D27" s="73" t="n"/>
      <c r="E27" s="73" t="n"/>
      <c r="F27" s="73" t="n"/>
      <c r="G27" s="73" t="n"/>
      <c r="H27" s="28" t="n"/>
      <c r="I27" s="73" t="n"/>
      <c r="J27" s="28" t="n"/>
      <c r="K27" s="73" t="n"/>
      <c r="L27" s="51" t="n"/>
      <c r="M27" s="30" t="n"/>
    </row>
    <row r="28" ht="30" customHeight="1" s="182">
      <c r="A28" s="42" t="n"/>
      <c r="B28" s="15" t="n"/>
      <c r="C28" s="73" t="n"/>
      <c r="D28" s="73" t="n"/>
      <c r="E28" s="73" t="n"/>
      <c r="F28" s="73" t="n"/>
      <c r="G28" s="73" t="n"/>
      <c r="H28" s="28" t="n"/>
      <c r="I28" s="73" t="n"/>
      <c r="J28" s="73" t="n"/>
      <c r="K28" s="73" t="n"/>
      <c r="L28" s="51" t="n"/>
      <c r="M28" s="30" t="n"/>
    </row>
    <row r="29" ht="30" customHeight="1" s="182">
      <c r="A29" s="42" t="n"/>
      <c r="B29" s="15" t="n"/>
      <c r="C29" s="73" t="n"/>
      <c r="D29" s="73" t="n"/>
      <c r="E29" s="73" t="n"/>
      <c r="F29" s="73" t="n"/>
      <c r="G29" s="73" t="n"/>
      <c r="H29" s="28" t="n"/>
      <c r="I29" s="73" t="n"/>
      <c r="J29" s="73" t="n"/>
      <c r="K29" s="73" t="n"/>
      <c r="L29" s="51" t="n"/>
      <c r="M29" s="30" t="n"/>
    </row>
    <row r="30" ht="30" customHeight="1" s="182">
      <c r="A30" s="170" t="n"/>
      <c r="B30" s="15" t="n"/>
      <c r="C30" s="73" t="n"/>
      <c r="D30" s="73" t="n"/>
      <c r="E30" s="73" t="n"/>
      <c r="F30" s="73" t="n"/>
      <c r="G30" s="73" t="n"/>
      <c r="H30" s="28" t="n"/>
      <c r="I30" s="73" t="n"/>
      <c r="J30" s="73" t="n"/>
      <c r="K30" s="73" t="n"/>
      <c r="L30" s="51" t="n"/>
      <c r="M30" s="30" t="n"/>
    </row>
    <row r="31" ht="30" customHeight="1" s="182">
      <c r="A31" s="42" t="n"/>
      <c r="B31" s="15" t="n"/>
      <c r="C31" s="73" t="n"/>
      <c r="D31" s="73" t="n"/>
      <c r="E31" s="73" t="n"/>
      <c r="F31" s="73" t="n"/>
      <c r="G31" s="73" t="n"/>
      <c r="H31" s="28" t="n"/>
      <c r="I31" s="73" t="n"/>
      <c r="J31" s="73" t="n"/>
      <c r="K31" s="73" t="n"/>
      <c r="L31" s="51" t="n"/>
      <c r="M31" s="30" t="n"/>
    </row>
    <row r="32" ht="30" customHeight="1" s="182">
      <c r="A32" s="42" t="n"/>
      <c r="B32" s="15" t="n"/>
      <c r="C32" s="73" t="n"/>
      <c r="D32" s="73" t="n"/>
      <c r="E32" s="73" t="n"/>
      <c r="F32" s="73" t="n"/>
      <c r="G32" s="73" t="n"/>
      <c r="H32" s="28" t="n"/>
      <c r="I32" s="73" t="n"/>
      <c r="J32" s="73" t="n"/>
      <c r="K32" s="73" t="n"/>
      <c r="L32" s="51" t="n"/>
      <c r="M32" s="30" t="n"/>
    </row>
    <row r="33" ht="30" customHeight="1" s="182">
      <c r="A33" s="42" t="n"/>
      <c r="B33" s="15" t="n"/>
      <c r="C33" s="73" t="n"/>
      <c r="D33" s="73" t="n"/>
      <c r="E33" s="73" t="n"/>
      <c r="F33" s="73" t="n"/>
      <c r="G33" s="73" t="n"/>
      <c r="H33" s="28" t="n"/>
      <c r="I33" s="73" t="n"/>
      <c r="J33" s="73" t="n"/>
      <c r="K33" s="73" t="n"/>
      <c r="L33" s="51" t="n"/>
      <c r="M33" s="30" t="n"/>
    </row>
    <row r="34" ht="30" customHeight="1" s="182">
      <c r="A34" s="42" t="n"/>
      <c r="B34" s="15" t="n"/>
      <c r="C34" s="73" t="n"/>
      <c r="D34" s="73" t="n"/>
      <c r="E34" s="73" t="n"/>
      <c r="F34" s="73" t="n"/>
      <c r="G34" s="73" t="n"/>
      <c r="H34" s="28" t="n"/>
      <c r="I34" s="73" t="n"/>
      <c r="J34" s="73" t="n"/>
      <c r="K34" s="73" t="n"/>
      <c r="L34" s="51" t="n"/>
      <c r="M34" s="30" t="n"/>
    </row>
    <row r="35" ht="30" customHeight="1" s="182">
      <c r="A35" s="42" t="n"/>
      <c r="B35" s="15" t="n"/>
      <c r="C35" s="73" t="n"/>
      <c r="D35" s="73" t="n"/>
      <c r="E35" s="73" t="n"/>
      <c r="F35" s="73" t="n"/>
      <c r="G35" s="73" t="n"/>
      <c r="H35" s="143" t="n"/>
      <c r="I35" s="143" t="n"/>
      <c r="J35" s="73" t="n"/>
      <c r="K35" s="73" t="n"/>
      <c r="L35" s="51" t="n"/>
      <c r="M35" s="30" t="n"/>
    </row>
    <row r="36" ht="30" customHeight="1" s="182">
      <c r="A36" s="42" t="n"/>
      <c r="B36" s="15" t="n"/>
      <c r="C36" s="73" t="n"/>
      <c r="D36" s="73" t="n"/>
      <c r="E36" s="73" t="n"/>
      <c r="F36" s="73" t="n"/>
      <c r="G36" s="73" t="n"/>
      <c r="H36" s="28" t="n"/>
      <c r="I36" s="143" t="n"/>
      <c r="J36" s="28" t="n"/>
      <c r="K36" s="73" t="n"/>
      <c r="L36" s="51" t="n"/>
      <c r="M36" s="30" t="n"/>
    </row>
    <row r="37" ht="30" customHeight="1" s="182">
      <c r="A37" s="42" t="n"/>
      <c r="B37" s="15" t="n"/>
      <c r="C37" s="73" t="n"/>
      <c r="D37" s="73" t="n"/>
      <c r="E37" s="73" t="n"/>
      <c r="F37" s="73" t="n"/>
      <c r="G37" s="73" t="n"/>
      <c r="H37" s="28" t="n"/>
      <c r="I37" s="143" t="n"/>
      <c r="J37" s="28" t="n"/>
      <c r="K37" s="73" t="n"/>
      <c r="L37" s="51" t="n"/>
      <c r="M37" s="30" t="n"/>
    </row>
    <row r="38" ht="30" customHeight="1" s="182">
      <c r="A38" s="42" t="n"/>
      <c r="B38" s="15" t="n"/>
      <c r="C38" s="73" t="n"/>
      <c r="D38" s="73" t="n"/>
      <c r="E38" s="73" t="n"/>
      <c r="F38" s="73" t="n"/>
      <c r="G38" s="73" t="n"/>
      <c r="H38" s="28" t="n"/>
      <c r="I38" s="143" t="n"/>
      <c r="J38" s="28" t="n"/>
      <c r="K38" s="73" t="n"/>
      <c r="L38" s="51" t="n"/>
      <c r="M38" s="30" t="n"/>
    </row>
    <row r="39" ht="30" customHeight="1" s="182">
      <c r="A39" s="42" t="n"/>
      <c r="B39" s="15" t="n"/>
      <c r="C39" s="73" t="n"/>
      <c r="D39" s="73" t="n"/>
      <c r="E39" s="73" t="n"/>
      <c r="F39" s="73" t="n"/>
      <c r="G39" s="73" t="n"/>
      <c r="H39" s="28" t="n"/>
      <c r="I39" s="143" t="n"/>
      <c r="J39" s="73" t="n"/>
      <c r="K39" s="73" t="n"/>
      <c r="L39" s="51" t="n"/>
      <c r="M39" s="30" t="n"/>
    </row>
    <row r="40" ht="30" customHeight="1" s="182">
      <c r="A40" s="42" t="n"/>
      <c r="B40" s="15" t="n"/>
      <c r="C40" s="73" t="n"/>
      <c r="D40" s="73" t="n"/>
      <c r="E40" s="73" t="n"/>
      <c r="F40" s="143" t="n"/>
      <c r="G40" s="28" t="n"/>
      <c r="H40" s="28" t="n"/>
      <c r="I40" s="28" t="n"/>
      <c r="J40" s="143" t="n"/>
      <c r="K40" s="73" t="n"/>
      <c r="L40" s="51" t="n"/>
      <c r="M40" s="30" t="n"/>
    </row>
    <row r="41" ht="30" customHeight="1" s="182">
      <c r="A41" s="42" t="n"/>
      <c r="B41" s="15" t="n"/>
      <c r="C41" s="73" t="n"/>
      <c r="D41" s="73" t="n"/>
      <c r="E41" s="73" t="n"/>
      <c r="F41" s="73" t="n"/>
      <c r="G41" s="73" t="n"/>
      <c r="H41" s="28" t="n"/>
      <c r="I41" s="28" t="n"/>
      <c r="J41" s="73" t="n"/>
      <c r="K41" s="73" t="n"/>
      <c r="L41" s="51" t="n"/>
      <c r="M41" s="30" t="n"/>
    </row>
    <row r="42" ht="30" customHeight="1" s="182">
      <c r="A42" s="42" t="n"/>
      <c r="B42" s="15" t="n"/>
      <c r="C42" s="73" t="n"/>
      <c r="D42" s="73" t="n"/>
      <c r="E42" s="73" t="n"/>
      <c r="F42" s="73" t="n"/>
      <c r="G42" s="73" t="n"/>
      <c r="H42" s="28" t="n"/>
      <c r="I42" s="143" t="n"/>
      <c r="J42" s="73" t="n"/>
      <c r="K42" s="73" t="n"/>
      <c r="L42" s="51" t="n"/>
      <c r="M42" s="30" t="n"/>
    </row>
    <row r="43" ht="30" customHeight="1" s="182">
      <c r="A43" s="42" t="n"/>
      <c r="B43" s="15" t="n"/>
      <c r="C43" s="73" t="n"/>
      <c r="D43" s="73" t="n"/>
      <c r="E43" s="73" t="n"/>
      <c r="F43" s="28" t="n"/>
      <c r="G43" s="28" t="n"/>
      <c r="H43" s="28" t="n"/>
      <c r="I43" s="28" t="n"/>
      <c r="J43" s="28" t="n"/>
      <c r="K43" s="73" t="n"/>
      <c r="L43" s="22" t="n"/>
      <c r="M43" s="30" t="n"/>
    </row>
    <row r="44" ht="30" customHeight="1" s="182">
      <c r="A44" s="42" t="n"/>
      <c r="B44" s="15" t="n"/>
      <c r="C44" s="73" t="n"/>
      <c r="D44" s="73" t="n"/>
      <c r="E44" s="73" t="n"/>
      <c r="F44" s="28" t="n"/>
      <c r="G44" s="73" t="n"/>
      <c r="H44" s="28" t="n"/>
      <c r="I44" s="28" t="n"/>
      <c r="J44" s="28" t="n"/>
      <c r="K44" s="73" t="n"/>
      <c r="L44" s="22" t="n"/>
      <c r="M44" s="30" t="n"/>
    </row>
    <row r="45" ht="30" customHeight="1" s="182">
      <c r="A45" s="42" t="n"/>
      <c r="B45" s="15" t="n"/>
      <c r="C45" s="73" t="n"/>
      <c r="D45" s="73" t="n"/>
      <c r="E45" s="73" t="n"/>
      <c r="F45" s="28" t="n"/>
      <c r="G45" s="73" t="n"/>
      <c r="H45" s="28" t="n"/>
      <c r="I45" s="73" t="n"/>
      <c r="J45" s="143" t="n"/>
      <c r="K45" s="73" t="n"/>
      <c r="L45" s="22" t="n"/>
      <c r="M45" s="30" t="n"/>
    </row>
    <row r="46" ht="30" customHeight="1" s="182">
      <c r="A46" s="42" t="n"/>
      <c r="B46" s="15" t="n"/>
      <c r="C46" s="73" t="n"/>
      <c r="D46" s="73" t="n"/>
      <c r="E46" s="73" t="n"/>
      <c r="F46" s="28" t="n"/>
      <c r="G46" s="73" t="n"/>
      <c r="H46" s="28" t="n"/>
      <c r="I46" s="73" t="n"/>
      <c r="J46" s="73" t="n"/>
      <c r="K46" s="73" t="n"/>
      <c r="L46" s="22" t="n"/>
      <c r="M46" s="30" t="n"/>
    </row>
    <row r="47" ht="30" customHeight="1" s="182">
      <c r="A47" s="42" t="n"/>
      <c r="B47" s="15" t="n"/>
      <c r="C47" s="73" t="n"/>
      <c r="D47" s="73" t="n"/>
      <c r="E47" s="73" t="n"/>
      <c r="F47" s="28" t="n"/>
      <c r="G47" s="73" t="n"/>
      <c r="H47" s="28" t="n"/>
      <c r="I47" s="73" t="n"/>
      <c r="J47" s="143" t="n"/>
      <c r="K47" s="73" t="n"/>
      <c r="L47" s="22" t="n"/>
      <c r="M47" s="30" t="n"/>
    </row>
    <row r="48" ht="30" customHeight="1" s="182">
      <c r="A48" s="42" t="n"/>
      <c r="B48" s="15" t="n"/>
      <c r="C48" s="73" t="n"/>
      <c r="D48" s="73" t="n"/>
      <c r="E48" s="73" t="n"/>
      <c r="F48" s="28" t="n"/>
      <c r="G48" s="73" t="n"/>
      <c r="H48" s="28" t="n"/>
      <c r="I48" s="28" t="n"/>
      <c r="J48" s="28" t="n"/>
      <c r="K48" s="73" t="n"/>
      <c r="L48" s="35" t="n"/>
      <c r="M48" s="30" t="n"/>
    </row>
    <row r="49" ht="15.75" customHeight="1" s="182">
      <c r="A49" s="42" t="n"/>
      <c r="B49" s="15" t="n"/>
      <c r="C49" s="73" t="n"/>
      <c r="D49" s="73" t="n"/>
      <c r="E49" s="73" t="n"/>
      <c r="F49" s="28" t="n"/>
      <c r="G49" s="73" t="n"/>
      <c r="H49" s="28" t="n"/>
      <c r="I49" s="143" t="n"/>
      <c r="J49" s="143" t="n"/>
      <c r="K49" s="73" t="n"/>
      <c r="L49" s="22" t="n"/>
      <c r="M49" s="30" t="n"/>
    </row>
    <row r="50" ht="15.75" customHeight="1" s="182">
      <c r="A50" s="42" t="n"/>
      <c r="B50" s="15" t="n"/>
      <c r="C50" s="73" t="n"/>
      <c r="D50" s="73" t="n"/>
      <c r="E50" s="73" t="n"/>
      <c r="F50" s="28" t="n"/>
      <c r="G50" s="73" t="n"/>
      <c r="H50" s="28" t="n"/>
      <c r="I50" s="28" t="n"/>
      <c r="J50" s="28" t="n"/>
      <c r="K50" s="73" t="n"/>
      <c r="L50" s="35" t="n"/>
      <c r="M50" s="30" t="n"/>
    </row>
    <row r="51" ht="15.75" customHeight="1" s="182">
      <c r="A51" s="42" t="n"/>
      <c r="B51" s="15" t="n"/>
      <c r="C51" s="73" t="n"/>
      <c r="D51" s="73" t="n"/>
      <c r="E51" s="73" t="n"/>
      <c r="F51" s="28" t="n"/>
      <c r="G51" s="73" t="n"/>
      <c r="H51" s="28" t="n"/>
      <c r="I51" s="28" t="n"/>
      <c r="J51" s="28" t="n"/>
      <c r="K51" s="73" t="n"/>
      <c r="L51" s="35" t="n"/>
      <c r="M51" s="30" t="n"/>
    </row>
    <row r="52" ht="15.75" customHeight="1" s="182">
      <c r="A52" s="42" t="n"/>
      <c r="B52" s="15" t="n"/>
      <c r="C52" s="73" t="n"/>
      <c r="D52" s="73" t="n"/>
      <c r="E52" s="73" t="n"/>
      <c r="F52" s="28" t="n"/>
      <c r="G52" s="73" t="n"/>
      <c r="H52" s="28" t="n"/>
      <c r="I52" s="28" t="n"/>
      <c r="J52" s="28" t="n"/>
      <c r="K52" s="73" t="n"/>
      <c r="L52" s="35" t="n"/>
      <c r="M52" s="30" t="n"/>
    </row>
    <row r="53" ht="15.75" customHeight="1" s="182">
      <c r="A53" s="42" t="n"/>
      <c r="B53" s="15" t="n"/>
      <c r="C53" s="73" t="n"/>
      <c r="D53" s="73" t="n"/>
      <c r="E53" s="73" t="n"/>
      <c r="F53" s="143" t="n"/>
      <c r="G53" s="73" t="n"/>
      <c r="H53" s="28" t="n"/>
      <c r="I53" s="28" t="n"/>
      <c r="J53" s="73" t="n"/>
      <c r="K53" s="73" t="n"/>
      <c r="L53" s="35" t="n"/>
      <c r="M53" s="30" t="n"/>
    </row>
    <row r="54" ht="15.75" customHeight="1" s="182">
      <c r="A54" s="42" t="n"/>
      <c r="B54" s="15" t="n"/>
      <c r="C54" s="73" t="n"/>
      <c r="D54" s="73" t="n"/>
      <c r="E54" s="73" t="n"/>
      <c r="F54" s="28" t="n"/>
      <c r="G54" s="73" t="n"/>
      <c r="H54" s="28" t="n"/>
      <c r="I54" s="28" t="n"/>
      <c r="J54" s="28" t="n"/>
      <c r="K54" s="73" t="n"/>
      <c r="L54" s="35" t="n"/>
      <c r="M54" s="30" t="n"/>
    </row>
    <row r="55" ht="15.75" customHeight="1" s="182">
      <c r="A55" s="170" t="n"/>
      <c r="B55" s="15" t="n"/>
      <c r="C55" s="73" t="n"/>
      <c r="D55" s="73" t="n"/>
      <c r="E55" s="73" t="n"/>
      <c r="F55" s="28" t="n"/>
      <c r="G55" s="73" t="n"/>
      <c r="H55" s="28" t="n"/>
      <c r="I55" s="73" t="n"/>
      <c r="J55" s="73" t="n"/>
      <c r="K55" s="73" t="n"/>
      <c r="L55" s="22" t="n"/>
      <c r="M55" s="30" t="n"/>
    </row>
    <row r="56" ht="15.75" customHeight="1" s="182">
      <c r="A56" s="42" t="n"/>
      <c r="B56" s="15" t="n"/>
      <c r="C56" s="73" t="n"/>
      <c r="D56" s="73" t="n"/>
      <c r="E56" s="73" t="n"/>
      <c r="F56" s="73" t="n"/>
      <c r="G56" s="73" t="n"/>
      <c r="H56" s="28" t="n"/>
      <c r="I56" s="73" t="n"/>
      <c r="J56" s="73" t="n"/>
      <c r="K56" s="73" t="n"/>
      <c r="L56" s="22" t="n"/>
      <c r="M56" s="30" t="n"/>
    </row>
    <row r="57" ht="15.75" customHeight="1" s="182">
      <c r="A57" s="42" t="n"/>
      <c r="B57" s="15" t="n"/>
      <c r="C57" s="73" t="n"/>
      <c r="D57" s="73" t="n"/>
      <c r="E57" s="73" t="n"/>
      <c r="F57" s="73" t="n"/>
      <c r="G57" s="73" t="n"/>
      <c r="H57" s="28" t="n"/>
      <c r="I57" s="73" t="n"/>
      <c r="J57" s="28" t="n"/>
      <c r="K57" s="73" t="n"/>
      <c r="L57" s="22" t="n"/>
      <c r="M57" s="30" t="n"/>
    </row>
    <row r="58" ht="15.75" customHeight="1" s="182">
      <c r="A58" s="42" t="n"/>
      <c r="B58" s="15" t="n"/>
      <c r="C58" s="73" t="n"/>
      <c r="D58" s="73" t="n"/>
      <c r="E58" s="73" t="n"/>
      <c r="F58" s="73" t="n"/>
      <c r="G58" s="73" t="n"/>
      <c r="H58" s="28" t="n"/>
      <c r="I58" s="73" t="n"/>
      <c r="J58" s="28" t="n"/>
      <c r="K58" s="73" t="n"/>
      <c r="L58" s="22" t="n"/>
      <c r="M58" s="30" t="n"/>
    </row>
    <row r="59" ht="15.75" customHeight="1" s="182">
      <c r="A59" s="42" t="n"/>
      <c r="B59" s="15" t="n"/>
      <c r="C59" s="73" t="n"/>
      <c r="D59" s="73" t="n"/>
      <c r="E59" s="73" t="n"/>
      <c r="F59" s="28" t="n"/>
      <c r="G59" s="73" t="n"/>
      <c r="H59" s="28" t="n"/>
      <c r="I59" s="73" t="n"/>
      <c r="J59" s="73" t="n"/>
      <c r="K59" s="73" t="n"/>
      <c r="L59" s="22" t="n"/>
      <c r="M59" s="30" t="n"/>
    </row>
    <row r="60" ht="15.75" customHeight="1" s="182">
      <c r="A60" s="42" t="n"/>
      <c r="B60" s="15" t="n"/>
      <c r="C60" s="73" t="n"/>
      <c r="D60" s="73" t="n"/>
      <c r="E60" s="73" t="n"/>
      <c r="F60" s="28" t="n"/>
      <c r="G60" s="73" t="n"/>
      <c r="H60" s="28" t="n"/>
      <c r="I60" s="176" t="n"/>
      <c r="J60" s="73" t="n"/>
      <c r="K60" s="73" t="n"/>
      <c r="L60" s="22" t="n"/>
      <c r="M60" s="30" t="n"/>
    </row>
    <row r="61" ht="15.75" customHeight="1" s="182">
      <c r="A61" s="42" t="n"/>
      <c r="B61" s="56" t="n"/>
      <c r="C61" s="80" t="n"/>
      <c r="D61" s="80" t="n"/>
      <c r="E61" s="80" t="n"/>
      <c r="F61" s="28" t="n"/>
      <c r="G61" s="80" t="n"/>
      <c r="H61" s="28" t="n"/>
      <c r="I61" s="178" t="n"/>
      <c r="J61" s="80" t="n"/>
      <c r="K61" s="80" t="n"/>
      <c r="L61" s="22" t="n"/>
      <c r="M61" s="82" t="n"/>
    </row>
    <row r="62" ht="15.75" customHeight="1" s="182">
      <c r="A62" s="42" t="n"/>
      <c r="B62" s="56" t="n"/>
      <c r="C62" s="98" t="n"/>
      <c r="D62" s="98" t="n"/>
      <c r="E62" s="98" t="n"/>
      <c r="F62" s="28" t="n"/>
      <c r="G62" s="98" t="n"/>
      <c r="H62" s="28" t="n"/>
      <c r="I62" s="179" t="n"/>
      <c r="J62" s="98" t="n"/>
      <c r="K62" s="98" t="n"/>
      <c r="L62" s="22" t="n"/>
      <c r="M62" s="86" t="n"/>
    </row>
    <row r="63" ht="15.75" customHeight="1" s="182">
      <c r="A63" s="42" t="n"/>
      <c r="B63" s="56" t="n"/>
      <c r="C63" s="98" t="n"/>
      <c r="D63" s="98" t="n"/>
      <c r="E63" s="98" t="n"/>
      <c r="F63" s="28" t="n"/>
      <c r="G63" s="98" t="n"/>
      <c r="H63" s="28" t="n"/>
      <c r="I63" s="179" t="n"/>
      <c r="J63" s="28" t="n"/>
      <c r="K63" s="98" t="n"/>
      <c r="L63" s="22" t="n"/>
      <c r="M63" s="86" t="n"/>
    </row>
    <row r="64" ht="15.75" customHeight="1" s="182">
      <c r="A64" s="42" t="n"/>
      <c r="B64" s="56" t="n"/>
      <c r="C64" s="98" t="n"/>
      <c r="D64" s="98" t="n"/>
      <c r="E64" s="98" t="n"/>
      <c r="F64" s="98" t="n"/>
      <c r="G64" s="98" t="n"/>
      <c r="H64" s="28" t="n"/>
      <c r="I64" s="179" t="n"/>
      <c r="J64" s="98" t="n"/>
      <c r="K64" s="98" t="n"/>
      <c r="L64" s="22" t="n"/>
      <c r="M64" s="86" t="n"/>
    </row>
    <row r="65" ht="15.75" customHeight="1" s="182">
      <c r="A65" s="42" t="n"/>
      <c r="B65" s="56" t="n"/>
      <c r="C65" s="98" t="n"/>
      <c r="D65" s="98" t="n"/>
      <c r="E65" s="98" t="n"/>
      <c r="F65" s="98" t="n"/>
      <c r="G65" s="117" t="n"/>
      <c r="H65" s="28" t="n"/>
      <c r="I65" s="179" t="n"/>
      <c r="J65" s="98" t="n"/>
      <c r="K65" s="98" t="n"/>
      <c r="L65" s="22" t="n"/>
      <c r="M65" s="86" t="n"/>
    </row>
    <row r="66" ht="15.75" customHeight="1" s="182">
      <c r="A66" s="42" t="n"/>
      <c r="B66" s="180" t="n"/>
      <c r="C66" s="98" t="n"/>
      <c r="D66" s="98" t="n"/>
      <c r="E66" s="98" t="n"/>
      <c r="F66" s="98" t="n"/>
      <c r="G66" s="117" t="n"/>
      <c r="H66" s="181" t="n"/>
      <c r="I66" s="179" t="n"/>
      <c r="J66" s="98" t="n"/>
      <c r="K66" s="98" t="n"/>
      <c r="L66" s="155" t="n"/>
      <c r="M66" s="86" t="n"/>
    </row>
    <row r="67" ht="15.75" customHeight="1" s="182">
      <c r="A67" s="42" t="n"/>
      <c r="B67" s="180" t="n"/>
      <c r="C67" s="98" t="n"/>
      <c r="D67" s="98" t="n"/>
      <c r="E67" s="98" t="n"/>
      <c r="F67" s="98" t="n"/>
      <c r="G67" s="117" t="n"/>
      <c r="H67" s="181" t="n"/>
      <c r="I67" s="179" t="n"/>
      <c r="J67" s="98" t="n"/>
      <c r="K67" s="98" t="n"/>
      <c r="L67" s="155" t="n"/>
      <c r="M67" s="86" t="n"/>
    </row>
    <row r="68" ht="15.75" customHeight="1" s="182">
      <c r="A68" s="42" t="n"/>
      <c r="B68" s="180" t="n"/>
      <c r="C68" s="98" t="n"/>
      <c r="D68" s="98" t="n"/>
      <c r="E68" s="98" t="n"/>
      <c r="F68" s="98" t="n"/>
      <c r="G68" s="117" t="n"/>
      <c r="H68" s="181" t="n"/>
      <c r="I68" s="179" t="n"/>
      <c r="J68" s="98" t="n"/>
      <c r="K68" s="98" t="n"/>
      <c r="L68" s="155" t="n"/>
      <c r="M68" s="86" t="n"/>
    </row>
    <row r="69" ht="15.75" customHeight="1" s="182">
      <c r="A69" s="42" t="n"/>
      <c r="B69" s="180" t="n"/>
      <c r="C69" s="98" t="n"/>
      <c r="D69" s="98" t="n"/>
      <c r="E69" s="98" t="n"/>
      <c r="F69" s="98" t="n"/>
      <c r="G69" s="117" t="n"/>
      <c r="H69" s="181" t="n"/>
      <c r="I69" s="179" t="n"/>
      <c r="J69" s="98" t="n"/>
      <c r="K69" s="98" t="n"/>
      <c r="L69" s="155" t="n"/>
      <c r="M69" s="86" t="n"/>
    </row>
    <row r="70" ht="15.75" customHeight="1" s="182">
      <c r="A70" s="42" t="n"/>
      <c r="B70" s="180" t="n"/>
      <c r="C70" s="98" t="n"/>
      <c r="D70" s="98" t="n"/>
      <c r="E70" s="98" t="n"/>
      <c r="F70" s="98" t="n"/>
      <c r="G70" s="117" t="n"/>
      <c r="H70" s="181" t="n"/>
      <c r="I70" s="179" t="n"/>
      <c r="J70" s="98" t="n"/>
      <c r="K70" s="98" t="n"/>
      <c r="L70" s="155" t="n"/>
      <c r="M70" s="86" t="n"/>
    </row>
    <row r="71" ht="15.75" customHeight="1" s="182">
      <c r="A71" s="42" t="n"/>
      <c r="B71" s="180" t="n"/>
      <c r="C71" s="98" t="n"/>
      <c r="D71" s="98" t="n"/>
      <c r="E71" s="98" t="n"/>
      <c r="F71" s="98" t="n"/>
      <c r="G71" s="117" t="n"/>
      <c r="H71" s="181" t="n"/>
      <c r="I71" s="179" t="n"/>
      <c r="J71" s="98" t="n"/>
      <c r="K71" s="98" t="n"/>
      <c r="L71" s="155" t="n"/>
      <c r="M71" s="86" t="n"/>
    </row>
    <row r="72" ht="15.75" customHeight="1" s="182">
      <c r="A72" s="42" t="n"/>
      <c r="B72" s="180" t="n"/>
      <c r="C72" s="98" t="n"/>
      <c r="D72" s="98" t="n"/>
      <c r="E72" s="98" t="n"/>
      <c r="F72" s="98" t="n"/>
      <c r="G72" s="117" t="n"/>
      <c r="H72" s="181" t="n"/>
      <c r="I72" s="179" t="n"/>
      <c r="J72" s="98" t="n"/>
      <c r="K72" s="98" t="n"/>
      <c r="L72" s="155" t="n"/>
      <c r="M72" s="86" t="n"/>
    </row>
    <row r="73" ht="15.75" customHeight="1" s="182">
      <c r="A73" s="42" t="n"/>
      <c r="B73" s="180" t="n"/>
      <c r="C73" s="98" t="n"/>
      <c r="D73" s="98" t="n"/>
      <c r="E73" s="98" t="n"/>
      <c r="F73" s="98" t="n"/>
      <c r="G73" s="117" t="n"/>
      <c r="H73" s="181" t="n"/>
      <c r="I73" s="179" t="n"/>
      <c r="J73" s="98" t="n"/>
      <c r="K73" s="98" t="n"/>
      <c r="L73" s="155" t="n"/>
      <c r="M73" s="86" t="n"/>
    </row>
    <row r="74" ht="15.75" customHeight="1" s="182">
      <c r="A74" s="42" t="n"/>
      <c r="B74" s="180" t="n"/>
      <c r="C74" s="98" t="n"/>
      <c r="D74" s="98" t="n"/>
      <c r="E74" s="98" t="n"/>
      <c r="F74" s="98" t="n"/>
      <c r="G74" s="117" t="n"/>
      <c r="H74" s="181" t="n"/>
      <c r="I74" s="179" t="n"/>
      <c r="J74" s="98" t="n"/>
      <c r="K74" s="98" t="n"/>
      <c r="L74" s="155" t="n"/>
      <c r="M74" s="86" t="n"/>
    </row>
    <row r="75" ht="15.75" customHeight="1" s="182">
      <c r="A75" s="42" t="n"/>
      <c r="B75" s="180" t="n"/>
      <c r="C75" s="98" t="n"/>
      <c r="D75" s="98" t="n"/>
      <c r="E75" s="98" t="n"/>
      <c r="F75" s="98" t="n"/>
      <c r="G75" s="117" t="n"/>
      <c r="H75" s="181" t="n"/>
      <c r="I75" s="179" t="n"/>
      <c r="J75" s="98" t="n"/>
      <c r="K75" s="98" t="n"/>
      <c r="L75" s="155" t="n"/>
      <c r="M75" s="86" t="n"/>
    </row>
    <row r="76" ht="15.75" customHeight="1" s="182">
      <c r="A76" s="42" t="n"/>
      <c r="B76" s="180" t="n"/>
      <c r="C76" s="98" t="n"/>
      <c r="D76" s="98" t="n"/>
      <c r="E76" s="98" t="n"/>
      <c r="F76" s="98" t="n"/>
      <c r="G76" s="117" t="n"/>
      <c r="H76" s="181" t="n"/>
      <c r="I76" s="179" t="n"/>
      <c r="J76" s="98" t="n"/>
      <c r="K76" s="98" t="n"/>
      <c r="L76" s="155" t="n"/>
      <c r="M76" s="86" t="n"/>
    </row>
    <row r="77" ht="15.75" customHeight="1" s="182">
      <c r="A77" s="42" t="n"/>
      <c r="B77" s="180" t="n"/>
      <c r="C77" s="98" t="n"/>
      <c r="D77" s="98" t="n"/>
      <c r="E77" s="98" t="n"/>
      <c r="F77" s="98" t="n"/>
      <c r="G77" s="117" t="n"/>
      <c r="H77" s="181" t="n"/>
      <c r="I77" s="179" t="n"/>
      <c r="J77" s="98" t="n"/>
      <c r="K77" s="98" t="n"/>
      <c r="L77" s="155" t="n"/>
      <c r="M77" s="86" t="n"/>
    </row>
    <row r="78" ht="15.75" customHeight="1" s="182">
      <c r="A78" s="42" t="n"/>
      <c r="B78" s="180" t="n"/>
      <c r="C78" s="98" t="n"/>
      <c r="D78" s="98" t="n"/>
      <c r="E78" s="98" t="n"/>
      <c r="F78" s="98" t="n"/>
      <c r="G78" s="117" t="n"/>
      <c r="H78" s="181" t="n"/>
      <c r="I78" s="179" t="n"/>
      <c r="J78" s="98" t="n"/>
      <c r="K78" s="98" t="n"/>
      <c r="L78" s="155" t="n"/>
      <c r="M78" s="86" t="n"/>
    </row>
    <row r="79" ht="15.75" customHeight="1" s="182">
      <c r="A79" s="42" t="n"/>
      <c r="B79" s="180" t="n"/>
      <c r="C79" s="98" t="n"/>
      <c r="D79" s="98" t="n"/>
      <c r="E79" s="98" t="n"/>
      <c r="F79" s="98" t="n"/>
      <c r="G79" s="117" t="n"/>
      <c r="H79" s="181" t="n"/>
      <c r="I79" s="179" t="n"/>
      <c r="J79" s="98" t="n"/>
      <c r="K79" s="98" t="n"/>
      <c r="L79" s="155" t="n"/>
      <c r="M79" s="86" t="n"/>
    </row>
    <row r="80" ht="15.75" customHeight="1" s="182"/>
    <row r="81" ht="15.75" customHeight="1" s="182"/>
    <row r="82" ht="15.75" customHeight="1" s="182"/>
    <row r="83" ht="15.75" customHeight="1" s="182"/>
    <row r="84" ht="15.75" customHeight="1" s="182"/>
    <row r="85" ht="15.75" customHeight="1" s="182"/>
    <row r="86" ht="15.75" customHeight="1" s="182"/>
    <row r="87" ht="15.75" customHeight="1" s="182"/>
    <row r="88" ht="15.75" customHeight="1" s="182"/>
    <row r="89" ht="15.75" customHeight="1" s="182"/>
    <row r="90" ht="15.75" customHeight="1" s="182"/>
    <row r="91" ht="15.75" customHeight="1" s="182"/>
    <row r="92" ht="15.75" customHeight="1" s="182"/>
    <row r="93" ht="15.75" customHeight="1" s="182"/>
    <row r="94" ht="15.75" customHeight="1" s="182"/>
    <row r="95" ht="15.75" customHeight="1" s="182"/>
    <row r="96" ht="15.75" customHeight="1" s="182"/>
    <row r="97" ht="15.75" customHeight="1" s="182"/>
    <row r="98" ht="15.75" customHeight="1" s="182"/>
    <row r="99" ht="15.75" customHeight="1" s="182"/>
    <row r="100" ht="15.75" customHeight="1" s="182"/>
    <row r="101" ht="15.75" customHeight="1" s="182"/>
    <row r="102" ht="15.75" customHeight="1" s="182"/>
    <row r="103" ht="15.75" customHeight="1" s="182"/>
    <row r="104" ht="15.75" customHeight="1" s="182"/>
    <row r="105" ht="15.75" customHeight="1" s="182"/>
    <row r="106" ht="15.75" customHeight="1" s="182"/>
    <row r="107" ht="15.75" customHeight="1" s="182"/>
    <row r="108" ht="15.75" customHeight="1" s="182"/>
    <row r="109" ht="15.75" customHeight="1" s="182"/>
    <row r="110" ht="15.75" customHeight="1" s="182"/>
    <row r="111" ht="15.75" customHeight="1" s="182"/>
    <row r="112" ht="15.75" customHeight="1" s="182"/>
    <row r="113" ht="15.75" customHeight="1" s="182"/>
    <row r="114" ht="15.75" customHeight="1" s="182"/>
    <row r="115" ht="15.75" customHeight="1" s="182"/>
    <row r="116" ht="15.75" customHeight="1" s="182"/>
    <row r="117" ht="15.75" customHeight="1" s="182"/>
    <row r="118" ht="15.75" customHeight="1" s="182"/>
    <row r="119" ht="15.75" customHeight="1" s="182"/>
    <row r="120" ht="15.75" customHeight="1" s="182"/>
    <row r="121" ht="15.75" customHeight="1" s="182"/>
    <row r="122" ht="15.75" customHeight="1" s="182"/>
    <row r="123" ht="15.75" customHeight="1" s="182"/>
    <row r="124" ht="15.75" customHeight="1" s="182"/>
    <row r="125" ht="15.75" customHeight="1" s="182"/>
    <row r="126" ht="15.75" customHeight="1" s="182"/>
    <row r="127" ht="15.75" customHeight="1" s="182"/>
    <row r="128" ht="15.75" customHeight="1" s="182"/>
    <row r="129" ht="15.75" customHeight="1" s="182"/>
    <row r="130" ht="15.75" customHeight="1" s="182"/>
    <row r="131" ht="15.75" customHeight="1" s="182"/>
    <row r="132" ht="15.75" customHeight="1" s="182"/>
    <row r="133" ht="15.75" customHeight="1" s="182"/>
    <row r="134" ht="15.75" customHeight="1" s="182"/>
    <row r="135" ht="15.75" customHeight="1" s="182"/>
    <row r="136" ht="15.75" customHeight="1" s="182"/>
    <row r="137" ht="15.75" customHeight="1" s="182"/>
    <row r="138" ht="15.75" customHeight="1" s="182"/>
    <row r="139" ht="15.75" customHeight="1" s="182"/>
    <row r="140" ht="15.75" customHeight="1" s="182"/>
    <row r="141" ht="15.75" customHeight="1" s="182"/>
    <row r="142" ht="15.75" customHeight="1" s="182"/>
    <row r="143" ht="15.75" customHeight="1" s="182"/>
    <row r="144" ht="15.75" customHeight="1" s="182"/>
    <row r="145" ht="15.75" customHeight="1" s="182"/>
    <row r="146" ht="15.75" customHeight="1" s="182"/>
    <row r="147" ht="15.75" customHeight="1" s="182"/>
    <row r="148" ht="15.75" customHeight="1" s="182"/>
    <row r="149" ht="15.75" customHeight="1" s="182"/>
    <row r="150" ht="15.75" customHeight="1" s="182"/>
    <row r="151" ht="15.75" customHeight="1" s="182"/>
    <row r="152" ht="15.75" customHeight="1" s="182"/>
    <row r="153" ht="15.75" customHeight="1" s="182"/>
    <row r="154" ht="15.75" customHeight="1" s="182"/>
    <row r="155" ht="15.75" customHeight="1" s="182"/>
    <row r="156" ht="15.75" customHeight="1" s="182"/>
    <row r="157" ht="15.75" customHeight="1" s="182"/>
    <row r="158" ht="15.75" customHeight="1" s="182"/>
    <row r="159" ht="15.75" customHeight="1" s="182"/>
    <row r="160" ht="15.75" customHeight="1" s="182"/>
    <row r="161" ht="15.75" customHeight="1" s="182"/>
    <row r="162" ht="15.75" customHeight="1" s="182"/>
    <row r="163" ht="15.75" customHeight="1" s="182"/>
    <row r="164" ht="15.75" customHeight="1" s="182"/>
    <row r="165" ht="15.75" customHeight="1" s="182"/>
    <row r="166" ht="15.75" customHeight="1" s="182"/>
    <row r="167" ht="15.75" customHeight="1" s="182"/>
    <row r="168" ht="15.75" customHeight="1" s="182"/>
    <row r="169" ht="15.75" customHeight="1" s="182"/>
    <row r="170" ht="15.75" customHeight="1" s="182"/>
    <row r="171" ht="15.75" customHeight="1" s="182"/>
    <row r="172" ht="15.75" customHeight="1" s="182"/>
    <row r="173" ht="15.75" customHeight="1" s="182"/>
    <row r="174" ht="15.75" customHeight="1" s="182"/>
    <row r="175" ht="15.75" customHeight="1" s="182"/>
    <row r="176" ht="15.75" customHeight="1" s="182"/>
    <row r="177" ht="15.75" customHeight="1" s="182"/>
    <row r="178" ht="15.75" customHeight="1" s="182"/>
    <row r="179" ht="15.75" customHeight="1" s="182"/>
    <row r="180" ht="15.75" customHeight="1" s="182"/>
    <row r="181" ht="15.75" customHeight="1" s="182"/>
    <row r="182" ht="15.75" customHeight="1" s="182"/>
    <row r="183" ht="15.75" customHeight="1" s="182"/>
    <row r="184" ht="15.75" customHeight="1" s="182"/>
    <row r="185" ht="15.75" customHeight="1" s="182"/>
    <row r="186" ht="15.75" customHeight="1" s="182"/>
    <row r="187" ht="15.75" customHeight="1" s="182"/>
    <row r="188" ht="15.75" customHeight="1" s="182"/>
    <row r="189" ht="15.75" customHeight="1" s="182"/>
    <row r="190" ht="15.75" customHeight="1" s="182"/>
    <row r="191" ht="15.75" customHeight="1" s="182"/>
    <row r="192" ht="15.75" customHeight="1" s="182"/>
    <row r="193" ht="15.75" customHeight="1" s="182"/>
    <row r="194" ht="15.75" customHeight="1" s="182"/>
    <row r="195" ht="15.75" customHeight="1" s="182"/>
    <row r="196" ht="15.75" customHeight="1" s="182"/>
    <row r="197" ht="15.75" customHeight="1" s="182"/>
    <row r="198" ht="15.75" customHeight="1" s="182"/>
    <row r="199" ht="15.75" customHeight="1" s="182"/>
    <row r="200" ht="15.75" customHeight="1" s="182"/>
    <row r="201" ht="15.75" customHeight="1" s="182"/>
    <row r="202" ht="15.75" customHeight="1" s="182"/>
    <row r="203" ht="15.75" customHeight="1" s="182"/>
    <row r="204" ht="15.75" customHeight="1" s="182"/>
    <row r="205" ht="15.75" customHeight="1" s="182"/>
    <row r="206" ht="15.75" customHeight="1" s="182"/>
    <row r="207" ht="15.75" customHeight="1" s="182"/>
    <row r="208" ht="15.75" customHeight="1" s="182"/>
    <row r="209" ht="15.75" customHeight="1" s="182"/>
    <row r="210" ht="15.75" customHeight="1" s="182"/>
    <row r="211" ht="15.75" customHeight="1" s="182"/>
    <row r="212" ht="15.75" customHeight="1" s="182"/>
    <row r="213" ht="15.75" customHeight="1" s="182"/>
    <row r="214" ht="15.75" customHeight="1" s="182"/>
    <row r="215" ht="15.75" customHeight="1" s="182"/>
    <row r="216" ht="15.75" customHeight="1" s="182"/>
    <row r="217" ht="15.75" customHeight="1" s="182"/>
    <row r="218" ht="15.75" customHeight="1" s="182"/>
    <row r="219" ht="15.75" customHeight="1" s="182"/>
    <row r="220" ht="15.75" customHeight="1" s="182"/>
    <row r="221" ht="15.75" customHeight="1" s="182"/>
    <row r="222" ht="15.75" customHeight="1" s="182"/>
    <row r="223" ht="15.75" customHeight="1" s="182"/>
    <row r="224" ht="15.75" customHeight="1" s="182"/>
    <row r="225" ht="15.75" customHeight="1" s="182"/>
    <row r="226" ht="15.75" customHeight="1" s="182"/>
    <row r="227" ht="15.75" customHeight="1" s="182"/>
    <row r="228" ht="15.75" customHeight="1" s="182"/>
    <row r="229" ht="15.75" customHeight="1" s="182"/>
    <row r="230" ht="15.75" customHeight="1" s="182"/>
    <row r="231" ht="15.75" customHeight="1" s="182"/>
    <row r="232" ht="15.75" customHeight="1" s="182"/>
    <row r="233" ht="15.75" customHeight="1" s="182"/>
    <row r="234" ht="15.75" customHeight="1" s="182"/>
    <row r="235" ht="15.75" customHeight="1" s="182"/>
    <row r="236" ht="15.75" customHeight="1" s="182"/>
    <row r="237" ht="15.75" customHeight="1" s="182"/>
    <row r="238" ht="15.75" customHeight="1" s="182"/>
    <row r="239" ht="15.75" customHeight="1" s="182"/>
    <row r="240" ht="15.75" customHeight="1" s="182"/>
    <row r="241" ht="15.75" customHeight="1" s="182"/>
    <row r="242" ht="15.75" customHeight="1" s="182"/>
    <row r="243" ht="15.75" customHeight="1" s="182"/>
    <row r="244" ht="15.75" customHeight="1" s="182"/>
    <row r="245" ht="15.75" customHeight="1" s="182"/>
    <row r="246" ht="15.75" customHeight="1" s="182"/>
    <row r="247" ht="15.75" customHeight="1" s="182"/>
    <row r="248" ht="15.75" customHeight="1" s="182"/>
    <row r="249" ht="15.75" customHeight="1" s="182"/>
    <row r="250" ht="15.75" customHeight="1" s="182"/>
    <row r="251" ht="15.75" customHeight="1" s="182"/>
    <row r="252" ht="15.75" customHeight="1" s="182"/>
    <row r="253" ht="15.75" customHeight="1" s="182"/>
    <row r="254" ht="15.75" customHeight="1" s="182"/>
    <row r="255" ht="15.75" customHeight="1" s="182"/>
    <row r="256" ht="15.75" customHeight="1" s="182"/>
    <row r="257" ht="15.75" customHeight="1" s="182"/>
    <row r="258" ht="15.75" customHeight="1" s="182"/>
    <row r="259" ht="15.75" customHeight="1" s="182"/>
    <row r="260" ht="15.75" customHeight="1" s="182"/>
    <row r="261" ht="15.75" customHeight="1" s="182"/>
    <row r="262" ht="15.75" customHeight="1" s="182"/>
    <row r="263" ht="15.75" customHeight="1" s="182"/>
    <row r="264" ht="15.75" customHeight="1" s="182"/>
    <row r="265" ht="15.75" customHeight="1" s="182"/>
    <row r="266" ht="15.75" customHeight="1" s="182"/>
    <row r="267" ht="15.75" customHeight="1" s="182"/>
    <row r="268" ht="15.75" customHeight="1" s="182"/>
    <row r="269" ht="15.75" customHeight="1" s="182"/>
    <row r="270" ht="15.75" customHeight="1" s="182"/>
    <row r="271" ht="15.75" customHeight="1" s="182"/>
    <row r="272" ht="15.75" customHeight="1" s="182"/>
    <row r="273" ht="15.75" customHeight="1" s="182"/>
    <row r="274" ht="15.75" customHeight="1" s="182"/>
    <row r="275" ht="15.75" customHeight="1" s="182"/>
    <row r="276" ht="15.75" customHeight="1" s="182"/>
    <row r="277" ht="15.75" customHeight="1" s="182"/>
    <row r="278" ht="15.75" customHeight="1" s="182"/>
    <row r="279" ht="15.75" customHeight="1" s="182"/>
    <row r="280" ht="15.75" customHeight="1" s="182"/>
    <row r="281" ht="15.75" customHeight="1" s="182"/>
    <row r="282" ht="15.75" customHeight="1" s="182"/>
    <row r="283" ht="15.75" customHeight="1" s="182"/>
    <row r="284" ht="15.75" customHeight="1" s="182"/>
    <row r="285" ht="15.75" customHeight="1" s="182"/>
    <row r="286" ht="15.75" customHeight="1" s="182"/>
    <row r="287" ht="15.75" customHeight="1" s="182"/>
    <row r="288" ht="15.75" customHeight="1" s="182"/>
    <row r="289" ht="15.75" customHeight="1" s="182"/>
    <row r="290" ht="15.75" customHeight="1" s="182"/>
    <row r="291" ht="15.75" customHeight="1" s="182"/>
    <row r="292" ht="15.75" customHeight="1" s="182"/>
    <row r="293" ht="15.75" customHeight="1" s="182"/>
    <row r="294" ht="15.75" customHeight="1" s="182"/>
    <row r="295" ht="15.75" customHeight="1" s="182"/>
    <row r="296" ht="15.75" customHeight="1" s="182"/>
    <row r="297" ht="15.75" customHeight="1" s="182"/>
    <row r="298" ht="15.75" customHeight="1" s="182"/>
    <row r="299" ht="15.75" customHeight="1" s="182"/>
    <row r="300" ht="15.75" customHeight="1" s="182"/>
    <row r="301" ht="15.75" customHeight="1" s="182"/>
    <row r="302" ht="15.75" customHeight="1" s="182"/>
    <row r="303" ht="15.75" customHeight="1" s="182"/>
    <row r="304" ht="15.75" customHeight="1" s="182"/>
    <row r="305" ht="15.75" customHeight="1" s="182"/>
    <row r="306" ht="15.75" customHeight="1" s="182"/>
    <row r="307" ht="15.75" customHeight="1" s="182"/>
    <row r="308" ht="15.75" customHeight="1" s="182"/>
    <row r="309" ht="15.75" customHeight="1" s="182"/>
    <row r="310" ht="15.75" customHeight="1" s="182"/>
    <row r="311" ht="15.75" customHeight="1" s="182"/>
    <row r="312" ht="15.75" customHeight="1" s="182"/>
    <row r="313" ht="15.75" customHeight="1" s="182"/>
    <row r="314" ht="15.75" customHeight="1" s="182"/>
    <row r="315" ht="15.75" customHeight="1" s="182"/>
    <row r="316" ht="15.75" customHeight="1" s="182"/>
    <row r="317" ht="15.75" customHeight="1" s="182"/>
    <row r="318" ht="15.75" customHeight="1" s="182"/>
    <row r="319" ht="15.75" customHeight="1" s="182"/>
    <row r="320" ht="15.75" customHeight="1" s="182"/>
    <row r="321" ht="15.75" customHeight="1" s="182"/>
    <row r="322" ht="15.75" customHeight="1" s="182"/>
    <row r="323" ht="15.75" customHeight="1" s="182"/>
    <row r="324" ht="15.75" customHeight="1" s="182"/>
    <row r="325" ht="15.75" customHeight="1" s="182"/>
    <row r="326" ht="15.75" customHeight="1" s="182"/>
    <row r="327" ht="15.75" customHeight="1" s="182"/>
    <row r="328" ht="15.75" customHeight="1" s="182"/>
    <row r="329" ht="15.75" customHeight="1" s="182"/>
    <row r="330" ht="15.75" customHeight="1" s="182"/>
    <row r="331" ht="15.75" customHeight="1" s="182"/>
    <row r="332" ht="15.75" customHeight="1" s="182"/>
    <row r="333" ht="15.75" customHeight="1" s="182"/>
    <row r="334" ht="15.75" customHeight="1" s="182"/>
    <row r="335" ht="15.75" customHeight="1" s="182"/>
    <row r="336" ht="15.75" customHeight="1" s="182"/>
    <row r="337" ht="15.75" customHeight="1" s="182"/>
    <row r="338" ht="15.75" customHeight="1" s="182"/>
    <row r="339" ht="15.75" customHeight="1" s="182"/>
    <row r="340" ht="15.75" customHeight="1" s="182"/>
    <row r="341" ht="15.75" customHeight="1" s="182"/>
    <row r="342" ht="15.75" customHeight="1" s="182"/>
    <row r="343" ht="15.75" customHeight="1" s="182"/>
    <row r="344" ht="15.75" customHeight="1" s="182"/>
    <row r="345" ht="15.75" customHeight="1" s="182"/>
    <row r="346" ht="15.75" customHeight="1" s="182"/>
    <row r="347" ht="15.75" customHeight="1" s="182"/>
    <row r="348" ht="15.75" customHeight="1" s="182"/>
    <row r="349" ht="15.75" customHeight="1" s="182"/>
    <row r="350" ht="15.75" customHeight="1" s="182"/>
    <row r="351" ht="15.75" customHeight="1" s="182"/>
    <row r="352" ht="15.75" customHeight="1" s="182"/>
    <row r="353" ht="15.75" customHeight="1" s="182"/>
    <row r="354" ht="15.75" customHeight="1" s="182"/>
    <row r="355" ht="15.75" customHeight="1" s="182"/>
    <row r="356" ht="15.75" customHeight="1" s="182"/>
    <row r="357" ht="15.75" customHeight="1" s="182"/>
    <row r="358" ht="15.75" customHeight="1" s="182"/>
    <row r="359" ht="15.75" customHeight="1" s="182"/>
    <row r="360" ht="15.75" customHeight="1" s="182"/>
    <row r="361" ht="15.75" customHeight="1" s="182"/>
    <row r="362" ht="15.75" customHeight="1" s="182"/>
    <row r="363" ht="15.75" customHeight="1" s="182"/>
    <row r="364" ht="15.75" customHeight="1" s="182"/>
    <row r="365" ht="15.75" customHeight="1" s="182"/>
    <row r="366" ht="15.75" customHeight="1" s="182"/>
    <row r="367" ht="15.75" customHeight="1" s="182"/>
    <row r="368" ht="15.75" customHeight="1" s="182"/>
    <row r="369" ht="15.75" customHeight="1" s="182"/>
    <row r="370" ht="15.75" customHeight="1" s="182"/>
    <row r="371" ht="15.75" customHeight="1" s="182"/>
    <row r="372" ht="15.75" customHeight="1" s="182"/>
    <row r="373" ht="15.75" customHeight="1" s="182"/>
    <row r="374" ht="15.75" customHeight="1" s="182"/>
    <row r="375" ht="15.75" customHeight="1" s="182"/>
    <row r="376" ht="15.75" customHeight="1" s="182"/>
    <row r="377" ht="15.75" customHeight="1" s="182"/>
    <row r="378" ht="15.75" customHeight="1" s="182"/>
    <row r="379" ht="15.75" customHeight="1" s="182"/>
    <row r="380" ht="15.75" customHeight="1" s="182"/>
    <row r="381" ht="15.75" customHeight="1" s="182"/>
    <row r="382" ht="15.75" customHeight="1" s="182"/>
    <row r="383" ht="15.75" customHeight="1" s="182"/>
    <row r="384" ht="15.75" customHeight="1" s="182"/>
    <row r="385" ht="15.75" customHeight="1" s="182"/>
    <row r="386" ht="15.75" customHeight="1" s="182"/>
    <row r="387" ht="15.75" customHeight="1" s="182"/>
    <row r="388" ht="15.75" customHeight="1" s="182"/>
    <row r="389" ht="15.75" customHeight="1" s="182"/>
    <row r="390" ht="15.75" customHeight="1" s="182"/>
    <row r="391" ht="15.75" customHeight="1" s="182"/>
    <row r="392" ht="15.75" customHeight="1" s="182"/>
    <row r="393" ht="15.75" customHeight="1" s="182"/>
    <row r="394" ht="15.75" customHeight="1" s="182"/>
    <row r="395" ht="15.75" customHeight="1" s="182"/>
    <row r="396" ht="15.75" customHeight="1" s="182"/>
    <row r="397" ht="15.75" customHeight="1" s="182"/>
    <row r="398" ht="15.75" customHeight="1" s="182"/>
    <row r="399" ht="15.75" customHeight="1" s="182"/>
    <row r="400" ht="15.75" customHeight="1" s="182"/>
    <row r="401" ht="15.75" customHeight="1" s="182"/>
    <row r="402" ht="15.75" customHeight="1" s="182"/>
    <row r="403" ht="15.75" customHeight="1" s="182"/>
    <row r="404" ht="15.75" customHeight="1" s="182"/>
    <row r="405" ht="15.75" customHeight="1" s="182"/>
    <row r="406" ht="15.75" customHeight="1" s="182"/>
    <row r="407" ht="15.75" customHeight="1" s="182"/>
    <row r="408" ht="15.75" customHeight="1" s="182"/>
    <row r="409" ht="15.75" customHeight="1" s="182"/>
    <row r="410" ht="15.75" customHeight="1" s="182"/>
    <row r="411" ht="15.75" customHeight="1" s="182"/>
    <row r="412" ht="15.75" customHeight="1" s="182"/>
    <row r="413" ht="15.75" customHeight="1" s="182"/>
    <row r="414" ht="15.75" customHeight="1" s="182"/>
    <row r="415" ht="15.75" customHeight="1" s="182"/>
    <row r="416" ht="15.75" customHeight="1" s="182"/>
    <row r="417" ht="15.75" customHeight="1" s="182"/>
    <row r="418" ht="15.75" customHeight="1" s="182"/>
    <row r="419" ht="15.75" customHeight="1" s="182"/>
    <row r="420" ht="15.75" customHeight="1" s="182"/>
    <row r="421" ht="15.75" customHeight="1" s="182"/>
    <row r="422" ht="15.75" customHeight="1" s="182"/>
    <row r="423" ht="15.75" customHeight="1" s="182"/>
    <row r="424" ht="15.75" customHeight="1" s="182"/>
    <row r="425" ht="15.75" customHeight="1" s="182"/>
    <row r="426" ht="15.75" customHeight="1" s="182"/>
    <row r="427" ht="15.75" customHeight="1" s="182"/>
    <row r="428" ht="15.75" customHeight="1" s="182"/>
    <row r="429" ht="15.75" customHeight="1" s="182"/>
    <row r="430" ht="15.75" customHeight="1" s="182"/>
    <row r="431" ht="15.75" customHeight="1" s="182"/>
    <row r="432" ht="15.75" customHeight="1" s="182"/>
    <row r="433" ht="15.75" customHeight="1" s="182"/>
    <row r="434" ht="15.75" customHeight="1" s="182"/>
    <row r="435" ht="15.75" customHeight="1" s="182"/>
    <row r="436" ht="15.75" customHeight="1" s="182"/>
    <row r="437" ht="15.75" customHeight="1" s="182"/>
    <row r="438" ht="15.75" customHeight="1" s="182"/>
    <row r="439" ht="15.75" customHeight="1" s="182"/>
    <row r="440" ht="15.75" customHeight="1" s="182"/>
    <row r="441" ht="15.75" customHeight="1" s="182"/>
    <row r="442" ht="15.75" customHeight="1" s="182"/>
    <row r="443" ht="15.75" customHeight="1" s="182"/>
    <row r="444" ht="15.75" customHeight="1" s="182"/>
    <row r="445" ht="15.75" customHeight="1" s="182"/>
    <row r="446" ht="15.75" customHeight="1" s="182"/>
    <row r="447" ht="15.75" customHeight="1" s="182"/>
    <row r="448" ht="15.75" customHeight="1" s="182"/>
    <row r="449" ht="15.75" customHeight="1" s="182"/>
    <row r="450" ht="15.75" customHeight="1" s="182"/>
    <row r="451" ht="15.75" customHeight="1" s="182"/>
    <row r="452" ht="15.75" customHeight="1" s="182"/>
    <row r="453" ht="15.75" customHeight="1" s="182"/>
    <row r="454" ht="15.75" customHeight="1" s="182"/>
    <row r="455" ht="15.75" customHeight="1" s="182"/>
    <row r="456" ht="15.75" customHeight="1" s="182"/>
    <row r="457" ht="15.75" customHeight="1" s="182"/>
    <row r="458" ht="15.75" customHeight="1" s="182"/>
    <row r="459" ht="15.75" customHeight="1" s="182"/>
    <row r="460" ht="15.75" customHeight="1" s="182"/>
    <row r="461" ht="15.75" customHeight="1" s="182"/>
    <row r="462" ht="15.75" customHeight="1" s="182"/>
    <row r="463" ht="15.75" customHeight="1" s="182"/>
    <row r="464" ht="15.75" customHeight="1" s="182"/>
    <row r="465" ht="15.75" customHeight="1" s="182"/>
    <row r="466" ht="15.75" customHeight="1" s="182"/>
    <row r="467" ht="15.75" customHeight="1" s="182"/>
    <row r="468" ht="15.75" customHeight="1" s="182"/>
    <row r="469" ht="15.75" customHeight="1" s="182"/>
    <row r="470" ht="15.75" customHeight="1" s="182"/>
    <row r="471" ht="15.75" customHeight="1" s="182"/>
    <row r="472" ht="15.75" customHeight="1" s="182"/>
    <row r="473" ht="15.75" customHeight="1" s="182"/>
    <row r="474" ht="15.75" customHeight="1" s="182"/>
    <row r="475" ht="15.75" customHeight="1" s="182"/>
    <row r="476" ht="15.75" customHeight="1" s="182"/>
    <row r="477" ht="15.75" customHeight="1" s="182"/>
    <row r="478" ht="15.75" customHeight="1" s="182"/>
    <row r="479" ht="15.75" customHeight="1" s="182"/>
    <row r="480" ht="15.75" customHeight="1" s="182"/>
    <row r="481" ht="15.75" customHeight="1" s="182"/>
    <row r="482" ht="15.75" customHeight="1" s="182"/>
    <row r="483" ht="15.75" customHeight="1" s="182"/>
    <row r="484" ht="15.75" customHeight="1" s="182"/>
    <row r="485" ht="15.75" customHeight="1" s="182"/>
    <row r="486" ht="15.75" customHeight="1" s="182"/>
    <row r="487" ht="15.75" customHeight="1" s="182"/>
    <row r="488" ht="15.75" customHeight="1" s="182"/>
    <row r="489" ht="15.75" customHeight="1" s="182"/>
    <row r="490" ht="15.75" customHeight="1" s="182"/>
    <row r="491" ht="15.75" customHeight="1" s="182"/>
    <row r="492" ht="15.75" customHeight="1" s="182"/>
    <row r="493" ht="15.75" customHeight="1" s="182"/>
    <row r="494" ht="15.75" customHeight="1" s="182"/>
    <row r="495" ht="15.75" customHeight="1" s="182"/>
    <row r="496" ht="15.75" customHeight="1" s="182"/>
    <row r="497" ht="15.75" customHeight="1" s="182"/>
    <row r="498" ht="15.75" customHeight="1" s="182"/>
    <row r="499" ht="15.75" customHeight="1" s="182"/>
    <row r="500" ht="15.75" customHeight="1" s="182"/>
    <row r="501" ht="15.75" customHeight="1" s="182"/>
    <row r="502" ht="15.75" customHeight="1" s="182"/>
    <row r="503" ht="15.75" customHeight="1" s="182"/>
    <row r="504" ht="15.75" customHeight="1" s="182"/>
    <row r="505" ht="15.75" customHeight="1" s="182"/>
    <row r="506" ht="15.75" customHeight="1" s="182"/>
    <row r="507" ht="15.75" customHeight="1" s="182"/>
    <row r="508" ht="15.75" customHeight="1" s="182"/>
    <row r="509" ht="15.75" customHeight="1" s="182"/>
    <row r="510" ht="15.75" customHeight="1" s="182"/>
    <row r="511" ht="15.75" customHeight="1" s="182"/>
    <row r="512" ht="15.75" customHeight="1" s="182"/>
    <row r="513" ht="15.75" customHeight="1" s="182"/>
    <row r="514" ht="15.75" customHeight="1" s="182"/>
    <row r="515" ht="15.75" customHeight="1" s="182"/>
    <row r="516" ht="15.75" customHeight="1" s="182"/>
    <row r="517" ht="15.75" customHeight="1" s="182"/>
    <row r="518" ht="15.75" customHeight="1" s="182"/>
    <row r="519" ht="15.75" customHeight="1" s="182"/>
    <row r="520" ht="15.75" customHeight="1" s="182"/>
    <row r="521" ht="15.75" customHeight="1" s="182"/>
    <row r="522" ht="15.75" customHeight="1" s="182"/>
    <row r="523" ht="15.75" customHeight="1" s="182"/>
    <row r="524" ht="15.75" customHeight="1" s="182"/>
    <row r="525" ht="15.75" customHeight="1" s="182"/>
    <row r="526" ht="15.75" customHeight="1" s="182"/>
    <row r="527" ht="15.75" customHeight="1" s="182"/>
    <row r="528" ht="15.75" customHeight="1" s="182"/>
    <row r="529" ht="15.75" customHeight="1" s="182"/>
    <row r="530" ht="15.75" customHeight="1" s="182"/>
    <row r="531" ht="15.75" customHeight="1" s="182"/>
    <row r="532" ht="15.75" customHeight="1" s="182"/>
    <row r="533" ht="15.75" customHeight="1" s="182"/>
    <row r="534" ht="15.75" customHeight="1" s="182"/>
    <row r="535" ht="15.75" customHeight="1" s="182"/>
    <row r="536" ht="15.75" customHeight="1" s="182"/>
    <row r="537" ht="15.75" customHeight="1" s="182"/>
    <row r="538" ht="15.75" customHeight="1" s="182"/>
    <row r="539" ht="15.75" customHeight="1" s="182"/>
    <row r="540" ht="15.75" customHeight="1" s="182"/>
    <row r="541" ht="15.75" customHeight="1" s="182"/>
    <row r="542" ht="15.75" customHeight="1" s="182"/>
    <row r="543" ht="15.75" customHeight="1" s="182"/>
    <row r="544" ht="15.75" customHeight="1" s="182"/>
    <row r="545" ht="15.75" customHeight="1" s="182"/>
    <row r="546" ht="15.75" customHeight="1" s="182"/>
    <row r="547" ht="15.75" customHeight="1" s="182"/>
    <row r="548" ht="15.75" customHeight="1" s="182"/>
    <row r="549" ht="15.75" customHeight="1" s="182"/>
    <row r="550" ht="15.75" customHeight="1" s="182"/>
    <row r="551" ht="15.75" customHeight="1" s="182"/>
    <row r="552" ht="15.75" customHeight="1" s="182"/>
    <row r="553" ht="15.75" customHeight="1" s="182"/>
    <row r="554" ht="15.75" customHeight="1" s="182"/>
    <row r="555" ht="15.75" customHeight="1" s="182"/>
    <row r="556" ht="15.75" customHeight="1" s="182"/>
    <row r="557" ht="15.75" customHeight="1" s="182"/>
    <row r="558" ht="15.75" customHeight="1" s="182"/>
    <row r="559" ht="15.75" customHeight="1" s="182"/>
    <row r="560" ht="15.75" customHeight="1" s="182"/>
    <row r="561" ht="15.75" customHeight="1" s="182"/>
    <row r="562" ht="15.75" customHeight="1" s="182"/>
    <row r="563" ht="15.75" customHeight="1" s="182"/>
    <row r="564" ht="15.75" customHeight="1" s="182"/>
    <row r="565" ht="15.75" customHeight="1" s="182"/>
    <row r="566" ht="15.75" customHeight="1" s="182"/>
    <row r="567" ht="15.75" customHeight="1" s="182"/>
    <row r="568" ht="15.75" customHeight="1" s="182"/>
    <row r="569" ht="15.75" customHeight="1" s="182"/>
    <row r="570" ht="15.75" customHeight="1" s="182"/>
    <row r="571" ht="15.75" customHeight="1" s="182"/>
    <row r="572" ht="15.75" customHeight="1" s="182"/>
    <row r="573" ht="15.75" customHeight="1" s="182"/>
    <row r="574" ht="15.75" customHeight="1" s="182"/>
    <row r="575" ht="15.75" customHeight="1" s="182"/>
    <row r="576" ht="15.75" customHeight="1" s="182"/>
    <row r="577" ht="15.75" customHeight="1" s="182"/>
    <row r="578" ht="15.75" customHeight="1" s="182"/>
    <row r="579" ht="15.75" customHeight="1" s="182"/>
    <row r="580" ht="15.75" customHeight="1" s="182"/>
    <row r="581" ht="15.75" customHeight="1" s="182"/>
    <row r="582" ht="15.75" customHeight="1" s="182"/>
    <row r="583" ht="15.75" customHeight="1" s="182"/>
    <row r="584" ht="15.75" customHeight="1" s="182"/>
    <row r="585" ht="15.75" customHeight="1" s="182"/>
    <row r="586" ht="15.75" customHeight="1" s="182"/>
    <row r="587" ht="15.75" customHeight="1" s="182"/>
    <row r="588" ht="15.75" customHeight="1" s="182"/>
    <row r="589" ht="15.75" customHeight="1" s="182"/>
    <row r="590" ht="15.75" customHeight="1" s="182"/>
    <row r="591" ht="15.75" customHeight="1" s="182"/>
    <row r="592" ht="15.75" customHeight="1" s="182"/>
    <row r="593" ht="15.75" customHeight="1" s="182"/>
    <row r="594" ht="15.75" customHeight="1" s="182"/>
    <row r="595" ht="15.75" customHeight="1" s="182"/>
    <row r="596" ht="15.75" customHeight="1" s="182"/>
    <row r="597" ht="15.75" customHeight="1" s="182"/>
    <row r="598" ht="15.75" customHeight="1" s="182"/>
    <row r="599" ht="15.75" customHeight="1" s="182"/>
    <row r="600" ht="15.75" customHeight="1" s="182"/>
    <row r="601" ht="15.75" customHeight="1" s="182"/>
    <row r="602" ht="15.75" customHeight="1" s="182"/>
    <row r="603" ht="15.75" customHeight="1" s="182"/>
    <row r="604" ht="15.75" customHeight="1" s="182"/>
    <row r="605" ht="15.75" customHeight="1" s="182"/>
    <row r="606" ht="15.75" customHeight="1" s="182"/>
    <row r="607" ht="15.75" customHeight="1" s="182"/>
    <row r="608" ht="15.75" customHeight="1" s="182"/>
    <row r="609" ht="15.75" customHeight="1" s="182"/>
    <row r="610" ht="15.75" customHeight="1" s="182"/>
    <row r="611" ht="15.75" customHeight="1" s="182"/>
    <row r="612" ht="15.75" customHeight="1" s="182"/>
    <row r="613" ht="15.75" customHeight="1" s="182"/>
    <row r="614" ht="15.75" customHeight="1" s="182"/>
    <row r="615" ht="15.75" customHeight="1" s="182"/>
    <row r="616" ht="15.75" customHeight="1" s="182"/>
    <row r="617" ht="15.75" customHeight="1" s="182"/>
    <row r="618" ht="15.75" customHeight="1" s="182"/>
    <row r="619" ht="15.75" customHeight="1" s="182"/>
    <row r="620" ht="15.75" customHeight="1" s="182"/>
    <row r="621" ht="15.75" customHeight="1" s="182"/>
    <row r="622" ht="15.75" customHeight="1" s="182"/>
    <row r="623" ht="15.75" customHeight="1" s="182"/>
    <row r="624" ht="15.75" customHeight="1" s="182"/>
    <row r="625" ht="15.75" customHeight="1" s="182"/>
    <row r="626" ht="15.75" customHeight="1" s="182"/>
    <row r="627" ht="15.75" customHeight="1" s="182"/>
    <row r="628" ht="15.75" customHeight="1" s="182"/>
    <row r="629" ht="15.75" customHeight="1" s="182"/>
    <row r="630" ht="15.75" customHeight="1" s="182"/>
    <row r="631" ht="15.75" customHeight="1" s="182"/>
    <row r="632" ht="15.75" customHeight="1" s="182"/>
    <row r="633" ht="15.75" customHeight="1" s="182"/>
    <row r="634" ht="15.75" customHeight="1" s="182"/>
    <row r="635" ht="15.75" customHeight="1" s="182"/>
    <row r="636" ht="15.75" customHeight="1" s="182"/>
    <row r="637" ht="15.75" customHeight="1" s="182"/>
    <row r="638" ht="15.75" customHeight="1" s="182"/>
    <row r="639" ht="15.75" customHeight="1" s="182"/>
    <row r="640" ht="15.75" customHeight="1" s="182"/>
    <row r="641" ht="15.75" customHeight="1" s="182"/>
    <row r="642" ht="15.75" customHeight="1" s="182"/>
    <row r="643" ht="15.75" customHeight="1" s="182"/>
    <row r="644" ht="15.75" customHeight="1" s="182"/>
    <row r="645" ht="15.75" customHeight="1" s="182"/>
    <row r="646" ht="15.75" customHeight="1" s="182"/>
    <row r="647" ht="15.75" customHeight="1" s="182"/>
    <row r="648" ht="15.75" customHeight="1" s="182"/>
    <row r="649" ht="15.75" customHeight="1" s="182"/>
    <row r="650" ht="15.75" customHeight="1" s="182"/>
    <row r="651" ht="15.75" customHeight="1" s="182"/>
    <row r="652" ht="15.75" customHeight="1" s="182"/>
    <row r="653" ht="15.75" customHeight="1" s="182"/>
    <row r="654" ht="15.75" customHeight="1" s="182"/>
    <row r="655" ht="15.75" customHeight="1" s="182"/>
    <row r="656" ht="15.75" customHeight="1" s="182"/>
    <row r="657" ht="15.75" customHeight="1" s="182"/>
    <row r="658" ht="15.75" customHeight="1" s="182"/>
    <row r="659" ht="15.75" customHeight="1" s="182"/>
    <row r="660" ht="15.75" customHeight="1" s="182"/>
    <row r="661" ht="15.75" customHeight="1" s="182"/>
    <row r="662" ht="15.75" customHeight="1" s="182"/>
    <row r="663" ht="15.75" customHeight="1" s="182"/>
    <row r="664" ht="15.75" customHeight="1" s="182"/>
    <row r="665" ht="15.75" customHeight="1" s="182"/>
    <row r="666" ht="15.75" customHeight="1" s="182"/>
    <row r="667" ht="15.75" customHeight="1" s="182"/>
    <row r="668" ht="15.75" customHeight="1" s="182"/>
    <row r="669" ht="15.75" customHeight="1" s="182"/>
    <row r="670" ht="15.75" customHeight="1" s="182"/>
    <row r="671" ht="15.75" customHeight="1" s="182"/>
    <row r="672" ht="15.75" customHeight="1" s="182"/>
    <row r="673" ht="15.75" customHeight="1" s="182"/>
    <row r="674" ht="15.75" customHeight="1" s="182"/>
    <row r="675" ht="15.75" customHeight="1" s="182"/>
    <row r="676" ht="15.75" customHeight="1" s="182"/>
    <row r="677" ht="15.75" customHeight="1" s="182"/>
    <row r="678" ht="15.75" customHeight="1" s="182"/>
    <row r="679" ht="15.75" customHeight="1" s="182"/>
    <row r="680" ht="15.75" customHeight="1" s="182"/>
    <row r="681" ht="15.75" customHeight="1" s="182"/>
    <row r="682" ht="15.75" customHeight="1" s="182"/>
    <row r="683" ht="15.75" customHeight="1" s="182"/>
    <row r="684" ht="15.75" customHeight="1" s="182"/>
    <row r="685" ht="15.75" customHeight="1" s="182"/>
    <row r="686" ht="15.75" customHeight="1" s="182"/>
    <row r="687" ht="15.75" customHeight="1" s="182"/>
    <row r="688" ht="15.75" customHeight="1" s="182"/>
    <row r="689" ht="15.75" customHeight="1" s="182"/>
    <row r="690" ht="15.75" customHeight="1" s="182"/>
    <row r="691" ht="15.75" customHeight="1" s="182"/>
    <row r="692" ht="15.75" customHeight="1" s="182"/>
    <row r="693" ht="15.75" customHeight="1" s="182"/>
    <row r="694" ht="15.75" customHeight="1" s="182"/>
    <row r="695" ht="15.75" customHeight="1" s="182"/>
    <row r="696" ht="15.75" customHeight="1" s="182"/>
    <row r="697" ht="15.75" customHeight="1" s="182"/>
    <row r="698" ht="15.75" customHeight="1" s="182"/>
    <row r="699" ht="15.75" customHeight="1" s="182"/>
    <row r="700" ht="15.75" customHeight="1" s="182"/>
    <row r="701" ht="15.75" customHeight="1" s="182"/>
    <row r="702" ht="15.75" customHeight="1" s="182"/>
    <row r="703" ht="15.75" customHeight="1" s="182"/>
    <row r="704" ht="15.75" customHeight="1" s="182"/>
    <row r="705" ht="15.75" customHeight="1" s="182"/>
    <row r="706" ht="15.75" customHeight="1" s="182"/>
    <row r="707" ht="15.75" customHeight="1" s="182"/>
    <row r="708" ht="15.75" customHeight="1" s="182"/>
    <row r="709" ht="15.75" customHeight="1" s="182"/>
    <row r="710" ht="15.75" customHeight="1" s="182"/>
    <row r="711" ht="15.75" customHeight="1" s="182"/>
    <row r="712" ht="15.75" customHeight="1" s="182"/>
    <row r="713" ht="15.75" customHeight="1" s="182"/>
    <row r="714" ht="15.75" customHeight="1" s="182"/>
    <row r="715" ht="15.75" customHeight="1" s="182"/>
    <row r="716" ht="15.75" customHeight="1" s="182"/>
    <row r="717" ht="15.75" customHeight="1" s="182"/>
    <row r="718" ht="15.75" customHeight="1" s="182"/>
    <row r="719" ht="15.75" customHeight="1" s="182"/>
    <row r="720" ht="15.75" customHeight="1" s="182"/>
    <row r="721" ht="15.75" customHeight="1" s="182"/>
    <row r="722" ht="15.75" customHeight="1" s="182"/>
    <row r="723" ht="15.75" customHeight="1" s="182"/>
    <row r="724" ht="15.75" customHeight="1" s="182"/>
    <row r="725" ht="15.75" customHeight="1" s="182"/>
    <row r="726" ht="15.75" customHeight="1" s="182"/>
    <row r="727" ht="15.75" customHeight="1" s="182"/>
    <row r="728" ht="15.75" customHeight="1" s="182"/>
    <row r="729" ht="15.75" customHeight="1" s="182"/>
    <row r="730" ht="15.75" customHeight="1" s="182"/>
    <row r="731" ht="15.75" customHeight="1" s="182"/>
    <row r="732" ht="15.75" customHeight="1" s="182"/>
    <row r="733" ht="15.75" customHeight="1" s="182"/>
    <row r="734" ht="15.75" customHeight="1" s="182"/>
    <row r="735" ht="15.75" customHeight="1" s="182"/>
    <row r="736" ht="15.75" customHeight="1" s="182"/>
    <row r="737" ht="15.75" customHeight="1" s="182"/>
    <row r="738" ht="15.75" customHeight="1" s="182"/>
    <row r="739" ht="15.75" customHeight="1" s="182"/>
    <row r="740" ht="15.75" customHeight="1" s="182"/>
    <row r="741" ht="15.75" customHeight="1" s="182"/>
    <row r="742" ht="15.75" customHeight="1" s="182"/>
    <row r="743" ht="15.75" customHeight="1" s="182"/>
    <row r="744" ht="15.75" customHeight="1" s="182"/>
    <row r="745" ht="15.75" customHeight="1" s="182"/>
    <row r="746" ht="15.75" customHeight="1" s="182"/>
    <row r="747" ht="15.75" customHeight="1" s="182"/>
    <row r="748" ht="15.75" customHeight="1" s="182"/>
    <row r="749" ht="15.75" customHeight="1" s="182"/>
    <row r="750" ht="15.75" customHeight="1" s="182"/>
    <row r="751" ht="15.75" customHeight="1" s="182"/>
    <row r="752" ht="15.75" customHeight="1" s="182"/>
    <row r="753" ht="15.75" customHeight="1" s="182"/>
    <row r="754" ht="15.75" customHeight="1" s="182"/>
    <row r="755" ht="15.75" customHeight="1" s="182"/>
    <row r="756" ht="15.75" customHeight="1" s="182"/>
    <row r="757" ht="15.75" customHeight="1" s="182"/>
    <row r="758" ht="15.75" customHeight="1" s="182"/>
    <row r="759" ht="15.75" customHeight="1" s="182"/>
    <row r="760" ht="15.75" customHeight="1" s="182"/>
    <row r="761" ht="15.75" customHeight="1" s="182"/>
    <row r="762" ht="15.75" customHeight="1" s="182"/>
    <row r="763" ht="15.75" customHeight="1" s="182"/>
    <row r="764" ht="15.75" customHeight="1" s="182"/>
    <row r="765" ht="15.75" customHeight="1" s="182"/>
    <row r="766" ht="15.75" customHeight="1" s="182"/>
    <row r="767" ht="15.75" customHeight="1" s="182"/>
    <row r="768" ht="15.75" customHeight="1" s="182"/>
    <row r="769" ht="15.75" customHeight="1" s="182"/>
    <row r="770" ht="15.75" customHeight="1" s="182"/>
    <row r="771" ht="15.75" customHeight="1" s="182"/>
    <row r="772" ht="15.75" customHeight="1" s="182"/>
    <row r="773" ht="15.75" customHeight="1" s="182"/>
    <row r="774" ht="15.75" customHeight="1" s="182"/>
    <row r="775" ht="15.75" customHeight="1" s="182"/>
    <row r="776" ht="15.75" customHeight="1" s="182"/>
    <row r="777" ht="15.75" customHeight="1" s="182"/>
    <row r="778" ht="15.75" customHeight="1" s="182"/>
    <row r="779" ht="15.75" customHeight="1" s="182"/>
    <row r="780" ht="15.75" customHeight="1" s="182"/>
    <row r="781" ht="15.75" customHeight="1" s="182"/>
    <row r="782" ht="15.75" customHeight="1" s="182"/>
    <row r="783" ht="15.75" customHeight="1" s="182"/>
    <row r="784" ht="15.75" customHeight="1" s="182"/>
    <row r="785" ht="15.75" customHeight="1" s="182"/>
    <row r="786" ht="15.75" customHeight="1" s="182"/>
    <row r="787" ht="15.75" customHeight="1" s="182"/>
    <row r="788" ht="15.75" customHeight="1" s="182"/>
    <row r="789" ht="15.75" customHeight="1" s="182"/>
    <row r="790" ht="15.75" customHeight="1" s="182"/>
    <row r="791" ht="15.75" customHeight="1" s="182"/>
    <row r="792" ht="15.75" customHeight="1" s="182"/>
    <row r="793" ht="15.75" customHeight="1" s="182"/>
    <row r="794" ht="15.75" customHeight="1" s="182"/>
    <row r="795" ht="15.75" customHeight="1" s="182"/>
    <row r="796" ht="15.75" customHeight="1" s="182"/>
    <row r="797" ht="15.75" customHeight="1" s="182"/>
    <row r="798" ht="15.75" customHeight="1" s="182"/>
    <row r="799" ht="15.75" customHeight="1" s="182"/>
    <row r="800" ht="15.75" customHeight="1" s="182"/>
    <row r="801" ht="15.75" customHeight="1" s="182"/>
    <row r="802" ht="15.75" customHeight="1" s="182"/>
    <row r="803" ht="15.75" customHeight="1" s="182"/>
    <row r="804" ht="15.75" customHeight="1" s="182"/>
    <row r="805" ht="15.75" customHeight="1" s="182"/>
    <row r="806" ht="15.75" customHeight="1" s="182"/>
    <row r="807" ht="15.75" customHeight="1" s="182"/>
    <row r="808" ht="15.75" customHeight="1" s="182"/>
    <row r="809" ht="15.75" customHeight="1" s="182"/>
    <row r="810" ht="15.75" customHeight="1" s="182"/>
    <row r="811" ht="15.75" customHeight="1" s="182"/>
    <row r="812" ht="15.75" customHeight="1" s="182"/>
    <row r="813" ht="15.75" customHeight="1" s="182"/>
    <row r="814" ht="15.75" customHeight="1" s="182"/>
    <row r="815" ht="15.75" customHeight="1" s="182"/>
    <row r="816" ht="15.75" customHeight="1" s="182"/>
    <row r="817" ht="15.75" customHeight="1" s="182"/>
    <row r="818" ht="15.75" customHeight="1" s="182"/>
    <row r="819" ht="15.75" customHeight="1" s="182"/>
    <row r="820" ht="15.75" customHeight="1" s="182"/>
    <row r="821" ht="15.75" customHeight="1" s="182"/>
    <row r="822" ht="15.75" customHeight="1" s="182"/>
    <row r="823" ht="15.75" customHeight="1" s="182"/>
    <row r="824" ht="15.75" customHeight="1" s="182"/>
    <row r="825" ht="15.75" customHeight="1" s="182"/>
    <row r="826" ht="15.75" customHeight="1" s="182"/>
    <row r="827" ht="15.75" customHeight="1" s="182"/>
    <row r="828" ht="15.75" customHeight="1" s="182"/>
    <row r="829" ht="15.75" customHeight="1" s="182"/>
    <row r="830" ht="15.75" customHeight="1" s="182"/>
    <row r="831" ht="15.75" customHeight="1" s="182"/>
    <row r="832" ht="15.75" customHeight="1" s="182"/>
    <row r="833" ht="15.75" customHeight="1" s="182"/>
    <row r="834" ht="15.75" customHeight="1" s="182"/>
    <row r="835" ht="15.75" customHeight="1" s="182"/>
    <row r="836" ht="15.75" customHeight="1" s="182"/>
    <row r="837" ht="15.75" customHeight="1" s="182"/>
    <row r="838" ht="15.75" customHeight="1" s="182"/>
    <row r="839" ht="15.75" customHeight="1" s="182"/>
    <row r="840" ht="15.75" customHeight="1" s="182"/>
    <row r="841" ht="15.75" customHeight="1" s="182"/>
    <row r="842" ht="15.75" customHeight="1" s="182"/>
    <row r="843" ht="15.75" customHeight="1" s="182"/>
    <row r="844" ht="15.75" customHeight="1" s="182"/>
    <row r="845" ht="15.75" customHeight="1" s="182"/>
    <row r="846" ht="15.75" customHeight="1" s="182"/>
    <row r="847" ht="15.75" customHeight="1" s="182"/>
    <row r="848" ht="15.75" customHeight="1" s="182"/>
    <row r="849" ht="15.75" customHeight="1" s="182"/>
    <row r="850" ht="15.75" customHeight="1" s="182"/>
    <row r="851" ht="15.75" customHeight="1" s="182"/>
    <row r="852" ht="15.75" customHeight="1" s="182"/>
    <row r="853" ht="15.75" customHeight="1" s="182"/>
    <row r="854" ht="15.75" customHeight="1" s="182"/>
    <row r="855" ht="15.75" customHeight="1" s="182"/>
    <row r="856" ht="15.75" customHeight="1" s="182"/>
    <row r="857" ht="15.75" customHeight="1" s="182"/>
    <row r="858" ht="15.75" customHeight="1" s="182"/>
    <row r="859" ht="15.75" customHeight="1" s="182"/>
    <row r="860" ht="15.75" customHeight="1" s="182"/>
    <row r="861" ht="15.75" customHeight="1" s="182"/>
    <row r="862" ht="15.75" customHeight="1" s="182"/>
    <row r="863" ht="15.75" customHeight="1" s="182"/>
    <row r="864" ht="15.75" customHeight="1" s="182"/>
    <row r="865" ht="15.75" customHeight="1" s="182"/>
    <row r="866" ht="15.75" customHeight="1" s="182"/>
    <row r="867" ht="15.75" customHeight="1" s="182"/>
    <row r="868" ht="15.75" customHeight="1" s="182"/>
    <row r="869" ht="15.75" customHeight="1" s="182"/>
    <row r="870" ht="15.75" customHeight="1" s="182"/>
    <row r="871" ht="15.75" customHeight="1" s="182"/>
    <row r="872" ht="15.75" customHeight="1" s="182"/>
    <row r="873" ht="15.75" customHeight="1" s="182"/>
    <row r="874" ht="15.75" customHeight="1" s="182"/>
    <row r="875" ht="15.75" customHeight="1" s="182"/>
    <row r="876" ht="15.75" customHeight="1" s="182"/>
    <row r="877" ht="15.75" customHeight="1" s="182"/>
    <row r="878" ht="15.75" customHeight="1" s="182"/>
    <row r="879" ht="15.75" customHeight="1" s="182"/>
    <row r="880" ht="15.75" customHeight="1" s="182"/>
    <row r="881" ht="15.75" customHeight="1" s="182"/>
    <row r="882" ht="15.75" customHeight="1" s="182"/>
    <row r="883" ht="15.75" customHeight="1" s="182"/>
    <row r="884" ht="15.75" customHeight="1" s="182"/>
    <row r="885" ht="15.75" customHeight="1" s="182"/>
    <row r="886" ht="15.75" customHeight="1" s="182"/>
    <row r="887" ht="15.75" customHeight="1" s="182"/>
    <row r="888" ht="15.75" customHeight="1" s="182"/>
    <row r="889" ht="15.75" customHeight="1" s="182"/>
    <row r="890" ht="15.75" customHeight="1" s="182"/>
    <row r="891" ht="15.75" customHeight="1" s="182"/>
    <row r="892" ht="15.75" customHeight="1" s="182"/>
    <row r="893" ht="15.75" customHeight="1" s="182"/>
    <row r="894" ht="15.75" customHeight="1" s="182"/>
    <row r="895" ht="15.75" customHeight="1" s="182"/>
    <row r="896" ht="15.75" customHeight="1" s="182"/>
    <row r="897" ht="15.75" customHeight="1" s="182"/>
    <row r="898" ht="15.75" customHeight="1" s="182"/>
    <row r="899" ht="15.75" customHeight="1" s="182"/>
    <row r="900" ht="15.75" customHeight="1" s="182"/>
    <row r="901" ht="15.75" customHeight="1" s="182"/>
    <row r="902" ht="15.75" customHeight="1" s="182"/>
    <row r="903" ht="15.75" customHeight="1" s="182"/>
    <row r="904" ht="15.75" customHeight="1" s="182"/>
    <row r="905" ht="15.75" customHeight="1" s="182"/>
    <row r="906" ht="15.75" customHeight="1" s="182"/>
    <row r="907" ht="15.75" customHeight="1" s="182"/>
    <row r="908" ht="15.75" customHeight="1" s="182"/>
    <row r="909" ht="15.75" customHeight="1" s="182"/>
    <row r="910" ht="15.75" customHeight="1" s="182"/>
    <row r="911" ht="15.75" customHeight="1" s="182"/>
    <row r="912" ht="15.75" customHeight="1" s="182"/>
    <row r="913" ht="15.75" customHeight="1" s="182"/>
    <row r="914" ht="15.75" customHeight="1" s="182"/>
    <row r="915" ht="15.75" customHeight="1" s="182"/>
    <row r="916" ht="15.75" customHeight="1" s="182"/>
    <row r="917" ht="15.75" customHeight="1" s="182"/>
    <row r="918" ht="15.75" customHeight="1" s="182"/>
    <row r="919" ht="15.75" customHeight="1" s="182"/>
    <row r="920" ht="15.75" customHeight="1" s="182"/>
    <row r="921" ht="15.75" customHeight="1" s="182"/>
    <row r="922" ht="15.75" customHeight="1" s="182"/>
    <row r="923" ht="15.75" customHeight="1" s="182"/>
    <row r="924" ht="15.75" customHeight="1" s="182"/>
    <row r="925" ht="15.75" customHeight="1" s="182"/>
    <row r="926" ht="15.75" customHeight="1" s="182"/>
    <row r="927" ht="15.75" customHeight="1" s="182"/>
    <row r="928" ht="15.75" customHeight="1" s="182"/>
    <row r="929" ht="15.75" customHeight="1" s="182"/>
    <row r="930" ht="15.75" customHeight="1" s="182"/>
    <row r="931" ht="15.75" customHeight="1" s="182"/>
    <row r="932" ht="15.75" customHeight="1" s="182"/>
    <row r="933" ht="15.75" customHeight="1" s="182"/>
    <row r="934" ht="15.75" customHeight="1" s="182"/>
    <row r="935" ht="15.75" customHeight="1" s="182"/>
    <row r="936" ht="15.75" customHeight="1" s="182"/>
    <row r="937" ht="15.75" customHeight="1" s="182"/>
    <row r="938" ht="15.75" customHeight="1" s="182"/>
    <row r="939" ht="15.75" customHeight="1" s="182"/>
    <row r="940" ht="15.75" customHeight="1" s="182"/>
    <row r="941" ht="15.75" customHeight="1" s="182"/>
    <row r="942" ht="15.75" customHeight="1" s="182"/>
    <row r="943" ht="15.75" customHeight="1" s="182"/>
    <row r="944" ht="15.75" customHeight="1" s="182"/>
    <row r="945" ht="15.75" customHeight="1" s="182"/>
    <row r="946" ht="15.75" customHeight="1" s="182"/>
    <row r="947" ht="15.75" customHeight="1" s="182"/>
    <row r="948" ht="15.75" customHeight="1" s="182"/>
    <row r="949" ht="15.75" customHeight="1" s="182"/>
    <row r="950" ht="15.75" customHeight="1" s="182"/>
    <row r="951" ht="15.75" customHeight="1" s="182"/>
    <row r="952" ht="15.75" customHeight="1" s="182"/>
    <row r="953" ht="15.75" customHeight="1" s="182"/>
    <row r="954" ht="15.75" customHeight="1" s="182"/>
    <row r="955" ht="15.75" customHeight="1" s="182"/>
    <row r="956" ht="15.75" customHeight="1" s="182"/>
    <row r="957" ht="15.75" customHeight="1" s="182"/>
    <row r="958" ht="15.75" customHeight="1" s="182"/>
    <row r="959" ht="15.75" customHeight="1" s="182"/>
    <row r="960" ht="15.75" customHeight="1" s="182"/>
    <row r="961" ht="15.75" customHeight="1" s="182"/>
  </sheetData>
  <autoFilter ref="$A$1:$M$79"/>
  <dataValidations count="1">
    <dataValidation sqref="E2:E79" showDropDown="0" showInputMessage="0" showErrorMessage="1" allowBlank="1" type="list">
      <formula1>"si,no"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K2" r:id="rId2"/>
    <hyperlink xmlns:r="http://schemas.openxmlformats.org/officeDocument/2006/relationships" ref="G3" r:id="rId3"/>
    <hyperlink xmlns:r="http://schemas.openxmlformats.org/officeDocument/2006/relationships" ref="K3" r:id="rId4"/>
  </hyperlinks>
  <pageMargins left="0.75" right="0.75" top="1" bottom="1" header="0" footer="0"/>
  <pageSetup orientation="landscape"/>
  <tableParts count="1">
    <tablePart xmlns:r="http://schemas.openxmlformats.org/officeDocument/2006/relationships" r:id="rId5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>Motivo</t>
        </is>
      </c>
    </row>
    <row r="2">
      <c r="A2" t="inlineStr">
        <is>
          <t>Antigua y Barbuda</t>
        </is>
      </c>
      <c r="B2" t="inlineStr">
        <is>
          <t>Organizaciones juveniles</t>
        </is>
      </c>
      <c r="C2" t="inlineStr">
        <is>
          <t>Organismo público de juventud</t>
        </is>
      </c>
      <c r="D2" t="inlineStr">
        <is>
          <t>Department of Youth Affairs, Antigua and Barbuda</t>
        </is>
      </c>
      <c r="F2" t="inlineStr">
        <is>
          <t>Department of Youth Affairs</t>
        </is>
      </c>
      <c r="G2" t="inlineStr">
        <is>
          <t>No disponible públicamente</t>
        </is>
      </c>
      <c r="H2" t="inlineStr">
        <is>
          <t>No disponible públicamente</t>
        </is>
      </c>
      <c r="I2" t="inlineStr">
        <is>
          <t>+1 268 462 6781</t>
        </is>
      </c>
      <c r="J2" t="inlineStr">
        <is>
          <t>wadadliyouthdept@gmail.com</t>
        </is>
      </c>
      <c r="K2" t="inlineStr">
        <is>
          <t>https://www.antiguanice.com/client.php?id=932</t>
        </is>
      </c>
      <c r="L2" t="inlineStr">
        <is>
          <t>NO USAR SIN VERIFICAR</t>
        </is>
      </c>
      <c r="M2" t="inlineStr">
        <is>
          <t>Fuente no institucional (antiguanice.com). Directorio 2019; email no institucional.</t>
        </is>
      </c>
    </row>
    <row r="3">
      <c r="A3" t="inlineStr">
        <is>
          <t>Antigua y Barbuda</t>
        </is>
      </c>
      <c r="B3" t="inlineStr">
        <is>
          <t>Sindicatos y confederaciones de trabajadores</t>
        </is>
      </c>
      <c r="C3" t="inlineStr">
        <is>
          <t>Sindicato nacional</t>
        </is>
      </c>
      <c r="D3" t="inlineStr">
        <is>
          <t>Antigua Trades and Labour Union (AT&amp;LU)</t>
        </is>
      </c>
      <c r="F3" t="inlineStr">
        <is>
          <t>Sede (46 North Street, St. John's)</t>
        </is>
      </c>
      <c r="G3" t="inlineStr">
        <is>
          <t>https://www.facebook.com/abtlu1/</t>
        </is>
      </c>
      <c r="H3" t="inlineStr">
        <is>
          <t>No disponible públicamente</t>
        </is>
      </c>
      <c r="I3" t="inlineStr">
        <is>
          <t>+1 268 464 8510</t>
        </is>
      </c>
      <c r="J3" t="inlineStr">
        <is>
          <t>atandlu@hotmail.com</t>
        </is>
      </c>
      <c r="K3" t="inlineStr">
        <is>
          <t>https://dadlidirectory.com/at_biz_dir/antigua-trades-labour-union-atlu/</t>
        </is>
      </c>
      <c r="L3" t="inlineStr">
        <is>
          <t>NO USAR SIN VERIFICAR</t>
        </is>
      </c>
      <c r="M3" t="inlineStr">
        <is>
          <t>Fuente no institucional (dadlidirectory.com). Email no institucional.</t>
        </is>
      </c>
    </row>
    <row r="4">
      <c r="A4" t="inlineStr">
        <is>
          <t>Bahamas</t>
        </is>
      </c>
      <c r="B4" t="inlineStr">
        <is>
          <t>Sindicatos y confederaciones de trabajadores</t>
        </is>
      </c>
      <c r="C4" t="inlineStr">
        <is>
          <t>Central sindical</t>
        </is>
      </c>
      <c r="D4" t="inlineStr">
        <is>
          <t>National Congress of Trade Unions Bahamas (NCTUB)</t>
        </is>
      </c>
      <c r="F4" t="inlineStr">
        <is>
          <t>Sede (Nassau)</t>
        </is>
      </c>
      <c r="G4" t="inlineStr">
        <is>
          <t>No disponible públicamente</t>
        </is>
      </c>
      <c r="H4" t="inlineStr">
        <is>
          <t>No disponible públicamente</t>
        </is>
      </c>
      <c r="I4" t="inlineStr">
        <is>
          <t>No disponible públicamente</t>
        </is>
      </c>
      <c r="J4" t="inlineStr">
        <is>
          <t>No disponible públicamente</t>
        </is>
      </c>
      <c r="K4" t="inlineStr">
        <is>
          <t>https://en.wikipedia.org/wiki/National_Congress_of_Trade_Unions</t>
        </is>
      </c>
      <c r="L4" t="inlineStr">
        <is>
          <t>NO USAR SIN VERIFICAR</t>
        </is>
      </c>
      <c r="M4" t="inlineStr">
        <is>
          <t>Fuente no institucional (en.wikipedia.org). Sin contacto publicado.</t>
        </is>
      </c>
    </row>
    <row r="5">
      <c r="A5" t="inlineStr">
        <is>
          <t>Barbados</t>
        </is>
      </c>
      <c r="B5" t="inlineStr">
        <is>
          <t>Sindicatos y confederaciones de trabajadores</t>
        </is>
      </c>
      <c r="C5" t="inlineStr">
        <is>
          <t>Sindicato nacional</t>
        </is>
      </c>
      <c r="D5" t="inlineStr">
        <is>
          <t>Barbados Workers' Union (BWU)</t>
        </is>
      </c>
      <c r="F5" t="inlineStr">
        <is>
          <t>General Secretary</t>
        </is>
      </c>
      <c r="G5" t="inlineStr">
        <is>
          <t>https://www.barbadosworkersunion.org/</t>
        </is>
      </c>
      <c r="H5" t="inlineStr">
        <is>
          <t>No disponible públicamente</t>
        </is>
      </c>
      <c r="I5" t="inlineStr">
        <is>
          <t>+1 246 573 5005</t>
        </is>
      </c>
      <c r="J5" t="inlineStr">
        <is>
          <t>general.secretary@bwu.org.bb</t>
        </is>
      </c>
      <c r="K5" t="inlineStr">
        <is>
          <t>https://lookup.itfglobal.org/country/Barbados/union/7959c882-5cb9-e011-b0d6-128870ff3e6a</t>
        </is>
      </c>
      <c r="L5" t="inlineStr">
        <is>
          <t>NO USAR SIN VERIFICAR</t>
        </is>
      </c>
      <c r="M5" t="inlineStr">
        <is>
          <t xml:space="preserve">Fuente no institucional (lookup.itfglobal.org). </t>
        </is>
      </c>
    </row>
    <row r="6">
      <c r="A6" t="inlineStr">
        <is>
          <t>Barbados</t>
        </is>
      </c>
      <c r="B6" t="inlineStr">
        <is>
          <t>Sindicatos y confederaciones de trabajadores</t>
        </is>
      </c>
      <c r="C6" t="inlineStr">
        <is>
          <t>Confederación sindical</t>
        </is>
      </c>
      <c r="D6" t="inlineStr">
        <is>
          <t>Congress of Trade Unions and Staff Associations of Barbados (CTUSAB)</t>
        </is>
      </c>
      <c r="F6" t="inlineStr">
        <is>
          <t>Secretariat (Solidarity House)</t>
        </is>
      </c>
      <c r="G6" t="inlineStr">
        <is>
          <t>https://www.facebook.com/CTUSAB246/</t>
        </is>
      </c>
      <c r="H6" t="inlineStr">
        <is>
          <t>No disponible públicamente</t>
        </is>
      </c>
      <c r="I6" t="inlineStr">
        <is>
          <t>+1 246 436 6079</t>
        </is>
      </c>
      <c r="J6" t="inlineStr">
        <is>
          <t>ctusabPR@gmail.com</t>
        </is>
      </c>
      <c r="K6" t="inlineStr">
        <is>
          <t>https://www.commonwealthofnations.org/organisations/the_congress_of_trade_unions__staff_associations_of_barbados_ctusab/</t>
        </is>
      </c>
      <c r="L6" t="inlineStr">
        <is>
          <t>NO USAR SIN VERIFICAR</t>
        </is>
      </c>
      <c r="M6" t="inlineStr">
        <is>
          <t>Fuente no institucional (commonwealthofnations.org). Email no institucional.</t>
        </is>
      </c>
    </row>
    <row r="7">
      <c r="A7" t="inlineStr">
        <is>
          <t>Belice</t>
        </is>
      </c>
      <c r="B7" t="inlineStr">
        <is>
          <t>Formación técnica pública</t>
        </is>
      </c>
      <c r="C7" t="inlineStr">
        <is>
          <t>Instituto TVET público</t>
        </is>
      </c>
      <c r="D7" t="inlineStr">
        <is>
          <t>ITVET Belize City</t>
        </is>
      </c>
      <c r="F7" t="inlineStr">
        <is>
          <t>Admissions</t>
        </is>
      </c>
      <c r="G7" t="inlineStr">
        <is>
          <t>https://www.facebook.com/ITVETBELIZECITY/</t>
        </is>
      </c>
      <c r="H7" t="inlineStr">
        <is>
          <t>No disponible públicamente</t>
        </is>
      </c>
      <c r="I7" t="inlineStr">
        <is>
          <t>+501 203 4798</t>
        </is>
      </c>
      <c r="J7" t="inlineStr">
        <is>
          <t>admissions.itvetbelizecity@gmail.com</t>
        </is>
      </c>
      <c r="K7" t="inlineStr">
        <is>
          <t>https://www.facebook.com/ITVETBELIZECITY/</t>
        </is>
      </c>
      <c r="L7" t="inlineStr">
        <is>
          <t>NO USAR SIN VERIFICAR</t>
        </is>
      </c>
      <c r="M7" t="inlineStr">
        <is>
          <t>Fuente no institucional (facebook.com). Email no institucional.</t>
        </is>
      </c>
    </row>
    <row r="8">
      <c r="A8" t="inlineStr">
        <is>
          <t>Cuba</t>
        </is>
      </c>
      <c r="B8" t="inlineStr">
        <is>
          <t>Universidades públicas</t>
        </is>
      </c>
      <c r="C8" t="inlineStr">
        <is>
          <t>Universidad estatal</t>
        </is>
      </c>
      <c r="D8" t="inlineStr">
        <is>
          <t>Universidad de La Habana (UH)</t>
        </is>
      </c>
      <c r="F8" t="inlineStr">
        <is>
          <t>Rectorado / Relaciones Internacionales</t>
        </is>
      </c>
      <c r="G8" t="inlineStr">
        <is>
          <t>https://www.uh.cu/</t>
        </is>
      </c>
      <c r="H8" t="inlineStr">
        <is>
          <t>No disponible públicamente</t>
        </is>
      </c>
      <c r="I8" t="inlineStr">
        <is>
          <t>+53 7 879 3488</t>
        </is>
      </c>
      <c r="J8" t="inlineStr">
        <is>
          <t>No disponible públicamente</t>
        </is>
      </c>
      <c r="K8" t="inlineStr">
        <is>
          <t>https://www.altillo.com/universidades/cuba/online/universidad_de_la_habana.asp</t>
        </is>
      </c>
      <c r="L8" t="inlineStr">
        <is>
          <t>NO USAR SIN VERIFICAR</t>
        </is>
      </c>
      <c r="M8" t="inlineStr">
        <is>
          <t>Fuente no institucional (altillo.com). Sin contacto oficial verificable.</t>
        </is>
      </c>
    </row>
    <row r="9">
      <c r="A9" t="inlineStr">
        <is>
          <t>Cuba</t>
        </is>
      </c>
      <c r="B9" t="inlineStr">
        <is>
          <t>Sindicatos y confederaciones de trabajadores</t>
        </is>
      </c>
      <c r="C9" t="inlineStr">
        <is>
          <t>Central sindical</t>
        </is>
      </c>
      <c r="D9" t="inlineStr">
        <is>
          <t>Central de Trabajadores de Cuba (CTC)</t>
        </is>
      </c>
      <c r="F9" t="inlineStr">
        <is>
          <t>Relaciones Internacionales</t>
        </is>
      </c>
      <c r="G9" t="inlineStr">
        <is>
          <t>https://www.cubasindical.cu/</t>
        </is>
      </c>
      <c r="H9" t="inlineStr">
        <is>
          <t>Ulises Guilarte de Nacimiento (Secretario General)</t>
        </is>
      </c>
      <c r="I9" t="inlineStr">
        <is>
          <t>+53 7877 5349</t>
        </is>
      </c>
      <c r="J9" t="inlineStr">
        <is>
          <t>ms.internacionales@ctc.cu</t>
        </is>
      </c>
      <c r="K9" t="inlineStr">
        <is>
          <t>https://uprdoc.ohchr.org/uprweb/downloadfile.aspx?filename=5406&amp;file=SpanishTranslation</t>
        </is>
      </c>
      <c r="L9" t="inlineStr">
        <is>
          <t>NO USAR SIN VERIFICAR</t>
        </is>
      </c>
      <c r="M9" t="inlineStr">
        <is>
          <t xml:space="preserve">Fuente no institucional (uprdoc.ohchr.org). </t>
        </is>
      </c>
    </row>
    <row r="10">
      <c r="A10" t="inlineStr">
        <is>
          <t>Dominica</t>
        </is>
      </c>
      <c r="B10" t="inlineStr">
        <is>
          <t>Organizaciones juveniles</t>
        </is>
      </c>
      <c r="C10" t="inlineStr">
        <is>
          <t>Consejo nacional de juventud</t>
        </is>
      </c>
      <c r="D10" t="inlineStr">
        <is>
          <t>National Youth Council of Dominica (NYCD)</t>
        </is>
      </c>
      <c r="F10" t="inlineStr">
        <is>
          <t>Secretariat (42 Kennedy Avenue, Roseau)</t>
        </is>
      </c>
      <c r="G10" t="inlineStr">
        <is>
          <t>http://www.nycdominica.org/</t>
        </is>
      </c>
      <c r="H10" t="inlineStr">
        <is>
          <t>No disponible públicamente</t>
        </is>
      </c>
      <c r="I10" t="inlineStr">
        <is>
          <t>+1 767 448 6944</t>
        </is>
      </c>
      <c r="J10" t="inlineStr">
        <is>
          <t>admin@nycdominica.org</t>
        </is>
      </c>
      <c r="K10" t="inlineStr">
        <is>
          <t>https://ngo.cpdcngo.org/listing/national-youth-council-of-dominica/</t>
        </is>
      </c>
      <c r="L10" t="inlineStr">
        <is>
          <t>NO USAR SIN VERIFICAR</t>
        </is>
      </c>
      <c r="M10" t="inlineStr">
        <is>
          <t xml:space="preserve">Fuente no institucional (ngo.cpdcngo.org). </t>
        </is>
      </c>
    </row>
    <row r="11">
      <c r="A11" t="inlineStr">
        <is>
          <t>Dominica</t>
        </is>
      </c>
      <c r="B11" t="inlineStr">
        <is>
          <t>Sindicatos y confederaciones de trabajadores</t>
        </is>
      </c>
      <c r="C11" t="inlineStr">
        <is>
          <t>Sindicato nacional</t>
        </is>
      </c>
      <c r="D11" t="inlineStr">
        <is>
          <t>Waterfront and Allied Workers' Union (WAWU)</t>
        </is>
      </c>
      <c r="F11" t="inlineStr">
        <is>
          <t>Sede (43 Hillsborough Street, Roseau)</t>
        </is>
      </c>
      <c r="G11" t="inlineStr">
        <is>
          <t>No disponible públicamente</t>
        </is>
      </c>
      <c r="H11" t="inlineStr">
        <is>
          <t>No disponible públicamente</t>
        </is>
      </c>
      <c r="I11" t="inlineStr">
        <is>
          <t>+1 767 448 2343</t>
        </is>
      </c>
      <c r="J11" t="inlineStr">
        <is>
          <t>wawuunion@hotmail.com</t>
        </is>
      </c>
      <c r="K11" t="inlineStr">
        <is>
          <t>https://www.dom767.com/dompages/waterfront-allied-workers-union-w-a-w-u/</t>
        </is>
      </c>
      <c r="L11" t="inlineStr">
        <is>
          <t>NO USAR SIN VERIFICAR</t>
        </is>
      </c>
      <c r="M11" t="inlineStr">
        <is>
          <t>Fuente no institucional (dom767.com). Email no institucional.</t>
        </is>
      </c>
    </row>
    <row r="12">
      <c r="A12" t="inlineStr">
        <is>
          <t>El Salvador</t>
        </is>
      </c>
      <c r="B12" t="inlineStr">
        <is>
          <t>Organizaciones juveniles</t>
        </is>
      </c>
      <c r="C12" t="inlineStr">
        <is>
          <t>Movimiento juvenil (sociedad civil)</t>
        </is>
      </c>
      <c r="D12" t="inlineStr">
        <is>
          <t>Asociación de Scouts de El Salvador (ASES)</t>
        </is>
      </c>
      <c r="F12" t="inlineStr">
        <is>
          <t>Oficina nacional (Casa Scout)</t>
        </is>
      </c>
      <c r="G12" t="inlineStr">
        <is>
          <t>https://www.scouts.org.sv/</t>
        </is>
      </c>
      <c r="H12" t="inlineStr">
        <is>
          <t>No disponible públicamente</t>
        </is>
      </c>
      <c r="I12" t="inlineStr">
        <is>
          <t>No disponible públicamente</t>
        </is>
      </c>
      <c r="J12" t="inlineStr">
        <is>
          <t>No disponible públicamente</t>
        </is>
      </c>
      <c r="K12" t="inlineStr">
        <is>
          <t>https://en.wikipedia.org/wiki/Asociaci%C3%B3n_de_Scouts_de_El_Salvador</t>
        </is>
      </c>
      <c r="L12" t="inlineStr">
        <is>
          <t>NO USAR SIN VERIFICAR</t>
        </is>
      </c>
      <c r="M12" t="inlineStr">
        <is>
          <t>Fuente no institucional (en.wikipedia.org). Solo dirección: Av. Baden Powell 281, San Salvador.</t>
        </is>
      </c>
    </row>
    <row r="13">
      <c r="A13" t="inlineStr">
        <is>
          <t>El Salvador</t>
        </is>
      </c>
      <c r="B13" t="inlineStr">
        <is>
          <t>Sindicatos y confederaciones de trabajadores</t>
        </is>
      </c>
      <c r="C13" t="inlineStr">
        <is>
          <t>Confederación sindical</t>
        </is>
      </c>
      <c r="D13" t="inlineStr">
        <is>
          <t>Confederación Sindical de Trabajadoras y Trabajadores de El Salvador (CSTS)</t>
        </is>
      </c>
      <c r="F13" t="inlineStr">
        <is>
          <t>Sede central</t>
        </is>
      </c>
      <c r="G13" t="inlineStr">
        <is>
          <t>http://cstselsalvador.blogspot.com/</t>
        </is>
      </c>
      <c r="H13" t="inlineStr">
        <is>
          <t>No disponible públicamente</t>
        </is>
      </c>
      <c r="I13" t="inlineStr">
        <is>
          <t>+503 2225-2315</t>
        </is>
      </c>
      <c r="J13" t="inlineStr">
        <is>
          <t>confederacioncsts@gmail.com</t>
        </is>
      </c>
      <c r="K13" t="inlineStr">
        <is>
          <t>https://cooperanda.org/explorar/socioslocales/ver/confederacion-de-sindical-de-trabajadores-y-trabajadoras-de-el-salvador-csts/</t>
        </is>
      </c>
      <c r="L13" t="inlineStr">
        <is>
          <t>NO USAR SIN VERIFICAR</t>
        </is>
      </c>
      <c r="M13" t="inlineStr">
        <is>
          <t>Fuente no institucional (cooperanda.org). Email no institucional.</t>
        </is>
      </c>
    </row>
    <row r="14">
      <c r="A14" t="inlineStr">
        <is>
          <t>Granada</t>
        </is>
      </c>
      <c r="B14" t="inlineStr">
        <is>
          <t>Organizaciones juveniles</t>
        </is>
      </c>
      <c r="C14" t="inlineStr">
        <is>
          <t>Consejo nacional de juventud</t>
        </is>
      </c>
      <c r="D14" t="inlineStr">
        <is>
          <t>National Youth Council of Grenada</t>
        </is>
      </c>
      <c r="F14" t="inlineStr">
        <is>
          <t>Secretariat (Ministry of Youth)</t>
        </is>
      </c>
      <c r="G14" t="inlineStr">
        <is>
          <t>No disponible públicamente</t>
        </is>
      </c>
      <c r="H14" t="inlineStr">
        <is>
          <t>No disponible públicamente</t>
        </is>
      </c>
      <c r="I14" t="inlineStr">
        <is>
          <t>+1 473 442 9761</t>
        </is>
      </c>
      <c r="J14" t="inlineStr">
        <is>
          <t>No disponible públicamente</t>
        </is>
      </c>
      <c r="K14" t="inlineStr">
        <is>
          <t>http://www.way.org.my/directory/item/national-youth-council-of-grenada</t>
        </is>
      </c>
      <c r="L14" t="inlineStr">
        <is>
          <t>NO USAR SIN VERIFICAR</t>
        </is>
      </c>
      <c r="M14" t="inlineStr">
        <is>
          <t>Fuente no institucional (way.org.my). Email ofuscado en la fuente.</t>
        </is>
      </c>
    </row>
    <row r="15">
      <c r="A15" t="inlineStr">
        <is>
          <t>Guyana</t>
        </is>
      </c>
      <c r="B15" t="inlineStr">
        <is>
          <t>Asociaciones de seguridad social</t>
        </is>
      </c>
      <c r="C15" t="inlineStr">
        <is>
          <t>Seguro social (entidad pública)</t>
        </is>
      </c>
      <c r="D15" t="inlineStr">
        <is>
          <t>National Insurance Scheme (NIS) Guyana</t>
        </is>
      </c>
      <c r="F15" t="inlineStr">
        <is>
          <t>Public Relations</t>
        </is>
      </c>
      <c r="G15" t="inlineStr">
        <is>
          <t>https://www.nis.org.gy/</t>
        </is>
      </c>
      <c r="H15" t="inlineStr">
        <is>
          <t>No disponible públicamente</t>
        </is>
      </c>
      <c r="I15" t="inlineStr">
        <is>
          <t>+592 225 2020</t>
        </is>
      </c>
      <c r="J15" t="inlineStr">
        <is>
          <t>info@nis.org.gy / public_relations@nis.org.gy</t>
        </is>
      </c>
      <c r="K15" t="inlineStr">
        <is>
          <t>https://www.guyanaindex.com/company/346/national-insurance-scheme-guyana</t>
        </is>
      </c>
      <c r="L15" t="inlineStr">
        <is>
          <t>NO USAR SIN VERIFICAR</t>
        </is>
      </c>
      <c r="M15" t="inlineStr">
        <is>
          <t xml:space="preserve">Fuente no institucional (guyanaindex.com). </t>
        </is>
      </c>
    </row>
    <row r="16">
      <c r="A16" t="inlineStr">
        <is>
          <t>Guyana</t>
        </is>
      </c>
      <c r="B16" t="inlineStr">
        <is>
          <t>Sindicatos y confederaciones de trabajadores</t>
        </is>
      </c>
      <c r="C16" t="inlineStr">
        <is>
          <t>Central sindical</t>
        </is>
      </c>
      <c r="D16" t="inlineStr">
        <is>
          <t>Guyana Trades Union Congress (GTUC)</t>
        </is>
      </c>
      <c r="F16" t="inlineStr">
        <is>
          <t>Sede (Woolford Avenue)</t>
        </is>
      </c>
      <c r="G16" t="inlineStr">
        <is>
          <t>No disponible públicamente</t>
        </is>
      </c>
      <c r="H16" t="inlineStr">
        <is>
          <t>Lincoln Lewis (General Secretary)</t>
        </is>
      </c>
      <c r="I16" t="inlineStr">
        <is>
          <t>+592 226 2481</t>
        </is>
      </c>
      <c r="J16" t="inlineStr">
        <is>
          <t>guyanatrades@gmail.com</t>
        </is>
      </c>
      <c r="K16" t="inlineStr">
        <is>
          <t>https://www.facebook.com/p/Guyana-TRADE-UNION-Congress-100076239720169/</t>
        </is>
      </c>
      <c r="L16" t="inlineStr">
        <is>
          <t>NO USAR SIN VERIFICAR</t>
        </is>
      </c>
      <c r="M16" t="inlineStr">
        <is>
          <t>Fuente no institucional (facebook.com). Email no institucional.</t>
        </is>
      </c>
    </row>
    <row r="17">
      <c r="A17" t="inlineStr">
        <is>
          <t>Haití</t>
        </is>
      </c>
      <c r="B17" t="inlineStr">
        <is>
          <t>Escuelas de gobierno y administración pública</t>
        </is>
      </c>
      <c r="C17" t="inlineStr">
        <is>
          <t>Escuela nacional de administración</t>
        </is>
      </c>
      <c r="D17" t="inlineStr">
        <is>
          <t>École Nationale d'Administration et de Politiques Publiques (ENAPP)</t>
        </is>
      </c>
      <c r="F17" t="inlineStr">
        <is>
          <t>Coordination Générale</t>
        </is>
      </c>
      <c r="G17" t="inlineStr">
        <is>
          <t>https://sef.gouv.ht/enapp/</t>
        </is>
      </c>
      <c r="H17" t="inlineStr">
        <is>
          <t>No disponible públicamente</t>
        </is>
      </c>
      <c r="I17" t="inlineStr">
        <is>
          <t>+509 2818 8060</t>
        </is>
      </c>
      <c r="J17" t="inlineStr">
        <is>
          <t>enapp@enapp.gouv.ht</t>
        </is>
      </c>
      <c r="K17" t="inlineStr">
        <is>
          <t>https://www.facebook.com/Enapp/</t>
        </is>
      </c>
      <c r="L17" t="inlineStr">
        <is>
          <t>NO USAR SIN VERIFICAR</t>
        </is>
      </c>
      <c r="M17" t="inlineStr">
        <is>
          <t xml:space="preserve">Fuente no institucional (facebook.com). </t>
        </is>
      </c>
    </row>
    <row r="18">
      <c r="A18" t="inlineStr">
        <is>
          <t>Haití</t>
        </is>
      </c>
      <c r="B18" t="inlineStr">
        <is>
          <t>Sindicatos y confederaciones de trabajadores</t>
        </is>
      </c>
      <c r="C18" t="inlineStr">
        <is>
          <t>Coordinación sindical</t>
        </is>
      </c>
      <c r="D18" t="inlineStr">
        <is>
          <t>Coordination Syndicale Haïtienne (CSH)</t>
        </is>
      </c>
      <c r="F18" t="inlineStr">
        <is>
          <t>Sede (rue 7 Babiole #26, Port-au-Prince)</t>
        </is>
      </c>
      <c r="G18" t="inlineStr">
        <is>
          <t>No disponible públicamente</t>
        </is>
      </c>
      <c r="H18" t="inlineStr">
        <is>
          <t>No disponible públicamente</t>
        </is>
      </c>
      <c r="I18" t="inlineStr">
        <is>
          <t>No disponible públicamente</t>
        </is>
      </c>
      <c r="J18" t="inlineStr">
        <is>
          <t>No disponible públicamente</t>
        </is>
      </c>
      <c r="K18" t="inlineStr">
        <is>
          <t>https://projects.ituc-csi.org/csh</t>
        </is>
      </c>
      <c r="L18" t="inlineStr">
        <is>
          <t>NO USAR SIN VERIFICAR</t>
        </is>
      </c>
      <c r="M18" t="inlineStr">
        <is>
          <t>Fuente no institucional (projects.ituc-csi.org). Sin contacto publicado.</t>
        </is>
      </c>
    </row>
    <row r="19">
      <c r="A19" t="inlineStr">
        <is>
          <t>Jamaica</t>
        </is>
      </c>
      <c r="B19" t="inlineStr">
        <is>
          <t>Sindicatos y confederaciones de trabajadores</t>
        </is>
      </c>
      <c r="C19" t="inlineStr">
        <is>
          <t>Confederación sindical</t>
        </is>
      </c>
      <c r="D19" t="inlineStr">
        <is>
          <t>Jamaica Confederation of Trade Unions (JCTU)</t>
        </is>
      </c>
      <c r="F19" t="inlineStr">
        <is>
          <t>Sede (1A Hope Boulevard, Kingston 6)</t>
        </is>
      </c>
      <c r="G19" t="inlineStr">
        <is>
          <t>No disponible públicamente</t>
        </is>
      </c>
      <c r="H19" t="inlineStr">
        <is>
          <t>No disponible públicamente</t>
        </is>
      </c>
      <c r="I19" t="inlineStr">
        <is>
          <t>+1 876 977 3545</t>
        </is>
      </c>
      <c r="J19" t="inlineStr">
        <is>
          <t>No disponible públicamente</t>
        </is>
      </c>
      <c r="K19" t="inlineStr">
        <is>
          <t>https://www.findyello.com/jamaica/jamaica-confederation-of-trade-unions/profile/</t>
        </is>
      </c>
      <c r="L19" t="inlineStr">
        <is>
          <t>NO USAR SIN VERIFICAR</t>
        </is>
      </c>
      <c r="M19" t="inlineStr">
        <is>
          <t>Fuente no institucional (findyello.com). Directorio de terceros.</t>
        </is>
      </c>
    </row>
    <row r="20">
      <c r="A20" t="inlineStr">
        <is>
          <t>Nicaragua</t>
        </is>
      </c>
      <c r="B20" t="inlineStr">
        <is>
          <t>Universidades públicas</t>
        </is>
      </c>
      <c r="C20" t="inlineStr">
        <is>
          <t>Universidad estatal</t>
        </is>
      </c>
      <c r="D20" t="inlineStr">
        <is>
          <t>Universidad Nacional de Ingeniería (UNI)</t>
        </is>
      </c>
      <c r="F20" t="inlineStr">
        <is>
          <t>Secretaría General</t>
        </is>
      </c>
      <c r="G20" t="inlineStr">
        <is>
          <t>https://www.uni.edu.ni/</t>
        </is>
      </c>
      <c r="H20" t="inlineStr">
        <is>
          <t>Meylin Isabel Ponce Arróliga (Secretaria General)</t>
        </is>
      </c>
      <c r="I20" t="inlineStr">
        <is>
          <t>+505 2270 1509</t>
        </is>
      </c>
      <c r="J20" t="inlineStr">
        <is>
          <t>meylin.ponce@rectorado.uni.edu.ni</t>
        </is>
      </c>
      <c r="K20" t="inlineStr">
        <is>
          <t>http://siresca.csuca.org/sistema/aplicaciones/cons_autoridad.php?npag=1&amp;institucion=UNI%7Cni</t>
        </is>
      </c>
      <c r="L20" t="inlineStr">
        <is>
          <t>NO USAR SIN VERIFICAR</t>
        </is>
      </c>
      <c r="M20" t="inlineStr">
        <is>
          <t>Fuente no institucional (siresca.csuca.org). Directorio SIRESCA posiblemente desactualizado.</t>
        </is>
      </c>
    </row>
    <row r="21">
      <c r="A21" t="inlineStr">
        <is>
          <t>Nicaragua</t>
        </is>
      </c>
      <c r="B21" t="inlineStr">
        <is>
          <t>Organizaciones juveniles</t>
        </is>
      </c>
      <c r="C21" t="inlineStr">
        <is>
          <t>Organismo público de juventud</t>
        </is>
      </c>
      <c r="D21" t="inlineStr">
        <is>
          <t>Ministerio de la Juventud (MINJUVE)</t>
        </is>
      </c>
      <c r="F21" t="inlineStr">
        <is>
          <t>Sede central</t>
        </is>
      </c>
      <c r="G21" t="inlineStr">
        <is>
          <t>https://minjuve.gob.ni/</t>
        </is>
      </c>
      <c r="H21" t="inlineStr">
        <is>
          <t>No disponible públicamente</t>
        </is>
      </c>
      <c r="I21" t="inlineStr">
        <is>
          <t>+505 2277 5942</t>
        </is>
      </c>
      <c r="J21" t="inlineStr">
        <is>
          <t>No disponible públicamente</t>
        </is>
      </c>
      <c r="K21" t="inlineStr">
        <is>
          <t>https://www.govserv.org/NI/Managua/102621989469722/Ministerio-de-la-Juventud</t>
        </is>
      </c>
      <c r="L21" t="inlineStr">
        <is>
          <t>NO USAR SIN VERIFICAR</t>
        </is>
      </c>
      <c r="M21" t="inlineStr">
        <is>
          <t>Fuente no institucional (govserv.org). WhatsApp 8498 9797 (dato antiguo).</t>
        </is>
      </c>
    </row>
    <row r="22">
      <c r="A22" t="inlineStr">
        <is>
          <t>Nicaragua</t>
        </is>
      </c>
      <c r="B22" t="inlineStr">
        <is>
          <t>Asociaciones de seguridad social</t>
        </is>
      </c>
      <c r="C22" t="inlineStr">
        <is>
          <t>Seguro social (entidad pública)</t>
        </is>
      </c>
      <c r="D22" t="inlineStr">
        <is>
          <t>Instituto Nicaragüense de Seguridad Social (INSS)</t>
        </is>
      </c>
      <c r="F22" t="inlineStr">
        <is>
          <t>Sede central</t>
        </is>
      </c>
      <c r="G22" t="inlineStr">
        <is>
          <t>https://inss-princ.inss.gob.ni/</t>
        </is>
      </c>
      <c r="H22" t="inlineStr">
        <is>
          <t>No disponible públicamente</t>
        </is>
      </c>
      <c r="I22" t="inlineStr">
        <is>
          <t>+505 2264 7040</t>
        </is>
      </c>
      <c r="J22" t="inlineStr">
        <is>
          <t>No disponible públicamente</t>
        </is>
      </c>
      <c r="K22" t="inlineStr">
        <is>
          <t>https://www.facebook.com/inssnicaragua/</t>
        </is>
      </c>
      <c r="L22" t="inlineStr">
        <is>
          <t>NO USAR SIN VERIFICAR</t>
        </is>
      </c>
      <c r="M22" t="inlineStr">
        <is>
          <t xml:space="preserve">Fuente no institucional (facebook.com). </t>
        </is>
      </c>
    </row>
    <row r="23">
      <c r="A23" t="inlineStr">
        <is>
          <t>Nicaragua</t>
        </is>
      </c>
      <c r="B23" t="inlineStr">
        <is>
          <t>Sindicatos y confederaciones de trabajadores</t>
        </is>
      </c>
      <c r="C23" t="inlineStr">
        <is>
          <t>Central sindical</t>
        </is>
      </c>
      <c r="D23" t="inlineStr">
        <is>
          <t>Central Sandinista de Trabajadores (CST)</t>
        </is>
      </c>
      <c r="F23" t="inlineStr">
        <is>
          <t>Oficina Nacional</t>
        </is>
      </c>
      <c r="G23" t="inlineStr">
        <is>
          <t>No disponible públicamente</t>
        </is>
      </c>
      <c r="H23" t="inlineStr">
        <is>
          <t>Pedro Ortega Méndez (Secretario General)</t>
        </is>
      </c>
      <c r="I23" t="inlineStr">
        <is>
          <t>+505 2299 7177</t>
        </is>
      </c>
      <c r="J23" t="inlineStr">
        <is>
          <t>oficinanacionalcst@gmail.com</t>
        </is>
      </c>
      <c r="K23" t="inlineStr">
        <is>
          <t>https://wageindicator.org/es-ni/trabajo-en-nicaragua/leyes-laborales/sindicatos/informacion-sindical/</t>
        </is>
      </c>
      <c r="L23" t="inlineStr">
        <is>
          <t>NO USAR SIN VERIFICAR</t>
        </is>
      </c>
      <c r="M23" t="inlineStr">
        <is>
          <t>Fuente no institucional (wageindicator.org). Email no institucional.</t>
        </is>
      </c>
    </row>
    <row r="24">
      <c r="A24" t="inlineStr">
        <is>
          <t>Paraguay</t>
        </is>
      </c>
      <c r="B24" t="inlineStr">
        <is>
          <t>Sindicatos y confederaciones de trabajadores</t>
        </is>
      </c>
      <c r="C24" t="inlineStr">
        <is>
          <t>Central sindical</t>
        </is>
      </c>
      <c r="D24" t="inlineStr">
        <is>
          <t>Central Nacional de Trabajadores (CNT)</t>
        </is>
      </c>
      <c r="F24" t="inlineStr">
        <is>
          <t>Sede central</t>
        </is>
      </c>
      <c r="G24" t="inlineStr">
        <is>
          <t>http://www.cnt.org.py/</t>
        </is>
      </c>
      <c r="H24" t="inlineStr">
        <is>
          <t>No disponible públicamente</t>
        </is>
      </c>
      <c r="I24" t="inlineStr">
        <is>
          <t>+595 21 444084</t>
        </is>
      </c>
      <c r="J24" t="inlineStr">
        <is>
          <t>cnt@cnt.org.py</t>
        </is>
      </c>
      <c r="K24" t="inlineStr">
        <is>
          <t>https://wageindicator.org/es-py/trabajo-en-paraguay/leyes-laborales/sindicatos/informacion-sindical/</t>
        </is>
      </c>
      <c r="L24" t="inlineStr">
        <is>
          <t>NO USAR SIN VERIFICAR</t>
        </is>
      </c>
      <c r="M24" t="inlineStr">
        <is>
          <t>Fuente no institucional (wageindicator.org). Directorio de terceros (&gt;1 año).</t>
        </is>
      </c>
    </row>
    <row r="25">
      <c r="A25" t="inlineStr">
        <is>
          <t>Paraguay</t>
        </is>
      </c>
      <c r="B25" t="inlineStr">
        <is>
          <t>Sindicatos y confederaciones de trabajadores</t>
        </is>
      </c>
      <c r="C25" t="inlineStr">
        <is>
          <t>Central sindical</t>
        </is>
      </c>
      <c r="D25" t="inlineStr">
        <is>
          <t>Central Unitaria de Trabajadores (CUT)</t>
        </is>
      </c>
      <c r="F25" t="inlineStr">
        <is>
          <t>Sede central (Azara 1069, Asunción)</t>
        </is>
      </c>
      <c r="G25" t="inlineStr">
        <is>
          <t>http://cut.org.py/</t>
        </is>
      </c>
      <c r="H25" t="inlineStr">
        <is>
          <t>No disponible públicamente</t>
        </is>
      </c>
      <c r="I25" t="inlineStr">
        <is>
          <t>+595 21 498189 / +595 981 426996</t>
        </is>
      </c>
      <c r="J25" t="inlineStr">
        <is>
          <t>cut.paraguay@hotmail.com</t>
        </is>
      </c>
      <c r="K25" t="inlineStr">
        <is>
          <t>https://wageindicator.org/es-py/trabajo-en-paraguay/leyes-laborales/sindicatos/informacion-sindical/</t>
        </is>
      </c>
      <c r="L25" t="inlineStr">
        <is>
          <t>NO USAR SIN VERIFICAR</t>
        </is>
      </c>
      <c r="M25" t="inlineStr">
        <is>
          <t>Fuente no institucional (wageindicator.org). En proceso de unificación con CUT-A.</t>
        </is>
      </c>
    </row>
    <row r="26">
      <c r="A26" t="inlineStr">
        <is>
          <t>República Dominicana</t>
        </is>
      </c>
      <c r="B26" t="inlineStr">
        <is>
          <t>Organizaciones juveniles</t>
        </is>
      </c>
      <c r="C26" t="inlineStr">
        <is>
          <t>Movimiento juvenil (sociedad civil)</t>
        </is>
      </c>
      <c r="D26" t="inlineStr">
        <is>
          <t>Asociación de Guías Scouts Dominicanas</t>
        </is>
      </c>
      <c r="F26" t="inlineStr">
        <is>
          <t>Oficina nacional (Santiago)</t>
        </is>
      </c>
      <c r="G26" t="inlineStr">
        <is>
          <t>https://www.wagggs.org/es/our-world/western-hemisphere/member-organisations/dominican-republic/</t>
        </is>
      </c>
      <c r="H26" t="inlineStr">
        <is>
          <t>No disponible públicamente</t>
        </is>
      </c>
      <c r="I26" t="inlineStr">
        <is>
          <t>+1 809 582 7784</t>
        </is>
      </c>
      <c r="J26" t="inlineStr">
        <is>
          <t>guiasscoutsdominicanas@gmail.com</t>
        </is>
      </c>
      <c r="K26" t="inlineStr">
        <is>
          <t>https://www.wagggs.org/es/our-world/western-hemisphere/member-organisations/dominican-republic/</t>
        </is>
      </c>
      <c r="L26" t="inlineStr">
        <is>
          <t>NO USAR SIN VERIFICAR</t>
        </is>
      </c>
      <c r="M26" t="inlineStr">
        <is>
          <t>Fuente no institucional (wagggs.org). Sustituye a Asociación de Scouts Dominicanos (sin contacto publicado). Email no institucional.</t>
        </is>
      </c>
    </row>
    <row r="27">
      <c r="A27" t="inlineStr">
        <is>
          <t>República Dominicana</t>
        </is>
      </c>
      <c r="B27" t="inlineStr">
        <is>
          <t>Sindicatos y confederaciones de trabajadores</t>
        </is>
      </c>
      <c r="C27" t="inlineStr">
        <is>
          <t>Confederación sindical</t>
        </is>
      </c>
      <c r="D27" t="inlineStr">
        <is>
          <t>Confederación Nacional de Unidad Sindical (CNUS)</t>
        </is>
      </c>
      <c r="F27" t="inlineStr">
        <is>
          <t>Sede central (Edificio Centrales Sindicales, Villa Juana)</t>
        </is>
      </c>
      <c r="G27" t="inlineStr">
        <is>
          <t>https://cnus.info/</t>
        </is>
      </c>
      <c r="H27" t="inlineStr">
        <is>
          <t>No disponible públicamente</t>
        </is>
      </c>
      <c r="I27" t="inlineStr">
        <is>
          <t>+1 809 221 2158 / 809 689 1231</t>
        </is>
      </c>
      <c r="J27" t="inlineStr">
        <is>
          <t>cnus.cnus@gmail.com</t>
        </is>
      </c>
      <c r="K27" t="inlineStr">
        <is>
          <t>https://www.ohchr.org/sites/default/files/lib-docs/HRBodies/UPR/Documents/Session16/CU/CNUS_UPR_CUB_S16_2013_Confederaci%C3%B3nNacionalDeUnidadSindic_S.pdf</t>
        </is>
      </c>
      <c r="L27" t="inlineStr">
        <is>
          <t>NO USAR SIN VERIFICAR</t>
        </is>
      </c>
      <c r="M27" t="inlineStr">
        <is>
          <t>Fuente no institucional (ohchr.org). Documento de 2013; email no institucional.</t>
        </is>
      </c>
    </row>
    <row r="28">
      <c r="A28" t="inlineStr">
        <is>
          <t>República Dominicana</t>
        </is>
      </c>
      <c r="B28" t="inlineStr">
        <is>
          <t>Sindicatos y confederaciones de trabajadores</t>
        </is>
      </c>
      <c r="C28" t="inlineStr">
        <is>
          <t>Confederación sindical</t>
        </is>
      </c>
      <c r="D28" t="inlineStr">
        <is>
          <t>Confederación Nacional de Trabajadores Dominicanos (CNTD)</t>
        </is>
      </c>
      <c r="F28" t="inlineStr">
        <is>
          <t>Sede central</t>
        </is>
      </c>
      <c r="G28" t="inlineStr">
        <is>
          <t>No disponible públicamente</t>
        </is>
      </c>
      <c r="H28" t="inlineStr">
        <is>
          <t>No disponible públicamente</t>
        </is>
      </c>
      <c r="I28" t="inlineStr">
        <is>
          <t>+1 809 221 2117</t>
        </is>
      </c>
      <c r="J28" t="inlineStr">
        <is>
          <t>No disponible públicamente</t>
        </is>
      </c>
      <c r="K28" t="inlineStr">
        <is>
          <t>https://www.1411.com.do/otras-categorias-q-r-s-y-t/sindicatos/confederacion-nacional-trabajadores-dominicanos-cntd-123789.html</t>
        </is>
      </c>
      <c r="L28" t="inlineStr">
        <is>
          <t>NO USAR SIN VERIFICAR</t>
        </is>
      </c>
      <c r="M28" t="inlineStr">
        <is>
          <t>Fuente no institucional (1411.com.do). Solo teléfono en directorio comercial.</t>
        </is>
      </c>
    </row>
    <row r="29">
      <c r="A29" t="inlineStr">
        <is>
          <t>San Cristóbal y Nieves</t>
        </is>
      </c>
      <c r="B29" t="inlineStr">
        <is>
          <t>Sindicatos y confederaciones de trabajadores</t>
        </is>
      </c>
      <c r="C29" t="inlineStr">
        <is>
          <t>Sindicato nacional</t>
        </is>
      </c>
      <c r="D29" t="inlineStr">
        <is>
          <t>St. Kitts-Nevis Trades and Labour Union</t>
        </is>
      </c>
      <c r="F29" t="inlineStr">
        <is>
          <t>General Secretary (Masses House, Basseterre)</t>
        </is>
      </c>
      <c r="G29" t="inlineStr">
        <is>
          <t>No disponible públicamente</t>
        </is>
      </c>
      <c r="H29" t="inlineStr">
        <is>
          <t>Precious Mills (General Secretary)</t>
        </is>
      </c>
      <c r="I29" t="inlineStr">
        <is>
          <t>No disponible públicamente</t>
        </is>
      </c>
      <c r="J29" t="inlineStr">
        <is>
          <t>No disponible públicamente</t>
        </is>
      </c>
      <c r="K29" t="inlineStr">
        <is>
          <t>https://en.wikipedia.org/wiki/Saint_Kitts_and_Nevis_Trades_and_Labour_Union</t>
        </is>
      </c>
      <c r="L29" t="inlineStr">
        <is>
          <t>NO USAR SIN VERIFICAR</t>
        </is>
      </c>
      <c r="M29" t="inlineStr">
        <is>
          <t>Fuente no institucional (en.wikipedia.org). Sin contacto publicado.</t>
        </is>
      </c>
    </row>
    <row r="30">
      <c r="A30" t="inlineStr">
        <is>
          <t>San Vicente y las Granadinas</t>
        </is>
      </c>
      <c r="B30" t="inlineStr">
        <is>
          <t>Sindicatos y confederaciones de trabajadores</t>
        </is>
      </c>
      <c r="C30" t="inlineStr">
        <is>
          <t>Central sindical</t>
        </is>
      </c>
      <c r="D30" t="inlineStr">
        <is>
          <t>SVG National Labour Congress (NLC)</t>
        </is>
      </c>
      <c r="F30" t="inlineStr">
        <is>
          <t>General Secretary</t>
        </is>
      </c>
      <c r="G30" t="inlineStr">
        <is>
          <t>No disponible públicamente</t>
        </is>
      </c>
      <c r="H30" t="inlineStr">
        <is>
          <t>Elroy Boucher (President) / Tishanna Reid Da Breo (General Secretary)</t>
        </is>
      </c>
      <c r="I30" t="inlineStr">
        <is>
          <t>No disponible públicamente</t>
        </is>
      </c>
      <c r="J30" t="inlineStr">
        <is>
          <t>No disponible públicamente</t>
        </is>
      </c>
      <c r="K30" t="inlineStr">
        <is>
          <t>https://www.stvincenttimes.com/st-vincent-national-labour-congress-announces-new-leadership-team/</t>
        </is>
      </c>
      <c r="L30" t="inlineStr">
        <is>
          <t>NO USAR SIN VERIFICAR</t>
        </is>
      </c>
      <c r="M30" t="inlineStr">
        <is>
          <t>Fuente no institucional (stvincenttimes.com). Sin contacto publicado.</t>
        </is>
      </c>
    </row>
    <row r="31">
      <c r="A31" t="inlineStr">
        <is>
          <t>Santa Lucía</t>
        </is>
      </c>
      <c r="B31" t="inlineStr">
        <is>
          <t>Organizaciones juveniles</t>
        </is>
      </c>
      <c r="C31" t="inlineStr">
        <is>
          <t>Consejo nacional de juventud</t>
        </is>
      </c>
      <c r="D31" t="inlineStr">
        <is>
          <t>Saint Lucia National Youth Council (SLNYC)</t>
        </is>
      </c>
      <c r="F31" t="inlineStr">
        <is>
          <t>Presidencia</t>
        </is>
      </c>
      <c r="G31" t="inlineStr">
        <is>
          <t>https://www.facebook.com/nycsaintlucia</t>
        </is>
      </c>
      <c r="H31" t="inlineStr">
        <is>
          <t>Bernell St Rose (President)</t>
        </is>
      </c>
      <c r="I31" t="inlineStr">
        <is>
          <t>+1 758 572 2743</t>
        </is>
      </c>
      <c r="J31" t="inlineStr">
        <is>
          <t>nyc.saintlucia@gmail.com</t>
        </is>
      </c>
      <c r="K31" t="inlineStr">
        <is>
          <t>https://www.facebook.com/nycsaintlucia</t>
        </is>
      </c>
      <c r="L31" t="inlineStr">
        <is>
          <t>NO USAR SIN VERIFICAR</t>
        </is>
      </c>
      <c r="M31" t="inlineStr">
        <is>
          <t>Fuente no institucional (facebook.com). Email no institucional.</t>
        </is>
      </c>
    </row>
    <row r="32">
      <c r="A32" t="inlineStr">
        <is>
          <t>Santa Lucía</t>
        </is>
      </c>
      <c r="B32" t="inlineStr">
        <is>
          <t>Asociaciones de seguridad social</t>
        </is>
      </c>
      <c r="C32" t="inlineStr">
        <is>
          <t>Seguro social (entidad pública)</t>
        </is>
      </c>
      <c r="D32" t="inlineStr">
        <is>
          <t>National Insurance Corporation (NIC) Saint Lucia</t>
        </is>
      </c>
      <c r="F32" t="inlineStr">
        <is>
          <t>Head Office (Francis Compton Building, Castries)</t>
        </is>
      </c>
      <c r="G32" t="inlineStr">
        <is>
          <t>http://stlucianic.org/</t>
        </is>
      </c>
      <c r="H32" t="inlineStr">
        <is>
          <t>No disponible públicamente</t>
        </is>
      </c>
      <c r="I32" t="inlineStr">
        <is>
          <t>+1 758 452 2808</t>
        </is>
      </c>
      <c r="J32" t="inlineStr">
        <is>
          <t>ccm@stlucianic.org</t>
        </is>
      </c>
      <c r="K32" t="inlineStr">
        <is>
          <t>https://www.linkedin.com/company/nicslu</t>
        </is>
      </c>
      <c r="L32" t="inlineStr">
        <is>
          <t>NO USAR SIN VERIFICAR</t>
        </is>
      </c>
      <c r="M32" t="inlineStr">
        <is>
          <t xml:space="preserve">Fuente no institucional (linkedin.com). </t>
        </is>
      </c>
    </row>
    <row r="33">
      <c r="A33" t="inlineStr">
        <is>
          <t>Surinam</t>
        </is>
      </c>
      <c r="B33" t="inlineStr">
        <is>
          <t>Sindicatos y confederaciones de trabajadores</t>
        </is>
      </c>
      <c r="C33" t="inlineStr">
        <is>
          <t>Consejo de centrales sindicales</t>
        </is>
      </c>
      <c r="D33" t="inlineStr">
        <is>
          <t>Ravaksur Plus (Raad van Vakcentrales in Suriname)</t>
        </is>
      </c>
      <c r="F33" t="inlineStr">
        <is>
          <t>Secretariaat</t>
        </is>
      </c>
      <c r="G33" t="inlineStr">
        <is>
          <t>No disponible públicamente</t>
        </is>
      </c>
      <c r="H33" t="inlineStr">
        <is>
          <t>No disponible públicamente</t>
        </is>
      </c>
      <c r="I33" t="inlineStr">
        <is>
          <t>No disponible públicamente</t>
        </is>
      </c>
      <c r="J33" t="inlineStr">
        <is>
          <t>No disponible públicamente</t>
        </is>
      </c>
      <c r="K33" t="inlineStr">
        <is>
          <t>https://www.srherald.com/suriname/2026/01/31/regering-en-ravaksur-plus-in-overleg-over-verbetering-rechtspositie-ambtenaren/</t>
        </is>
      </c>
      <c r="L33" t="inlineStr">
        <is>
          <t>NO USAR SIN VERIFICAR</t>
        </is>
      </c>
      <c r="M33" t="inlineStr">
        <is>
          <t>Fuente no institucional (srherald.com). Sin contacto publicado.</t>
        </is>
      </c>
    </row>
    <row r="34">
      <c r="A34" t="inlineStr">
        <is>
          <t>Trinidad y Tobago</t>
        </is>
      </c>
      <c r="B34" t="inlineStr">
        <is>
          <t>Formación técnica pública</t>
        </is>
      </c>
      <c r="C34" t="inlineStr">
        <is>
          <t>Instituto técnico estatal</t>
        </is>
      </c>
      <c r="D34" t="inlineStr">
        <is>
          <t>MIC Institute of Technology (MIC-IT)</t>
        </is>
      </c>
      <c r="F34" t="inlineStr">
        <is>
          <t>Head Office</t>
        </is>
      </c>
      <c r="G34" t="inlineStr">
        <is>
          <t>https://www.mic.co.tt/</t>
        </is>
      </c>
      <c r="H34" t="inlineStr">
        <is>
          <t>No disponible públicamente</t>
        </is>
      </c>
      <c r="I34" t="inlineStr">
        <is>
          <t>+1 868 663 4642</t>
        </is>
      </c>
      <c r="J34" t="inlineStr">
        <is>
          <t>info@mic.co.tt</t>
        </is>
      </c>
      <c r="K34" t="inlineStr">
        <is>
          <t>https://www.facebook.com/micinstituteoftechnology/</t>
        </is>
      </c>
      <c r="L34" t="inlineStr">
        <is>
          <t>NO USAR SIN VERIFICAR</t>
        </is>
      </c>
      <c r="M34" t="inlineStr">
        <is>
          <t xml:space="preserve">Fuente no institucional (facebook.com). </t>
        </is>
      </c>
    </row>
    <row r="35">
      <c r="A35" t="inlineStr">
        <is>
          <t>Trinidad y Tobago</t>
        </is>
      </c>
      <c r="B35" t="inlineStr">
        <is>
          <t>Sindicatos y confederaciones de trabajadores</t>
        </is>
      </c>
      <c r="C35" t="inlineStr">
        <is>
          <t>Central sindical</t>
        </is>
      </c>
      <c r="D35" t="inlineStr">
        <is>
          <t>National Trade Union Centre (NATUC)</t>
        </is>
      </c>
      <c r="F35" t="inlineStr">
        <is>
          <t>Secretariat (Abercromby St., Port of Spain)</t>
        </is>
      </c>
      <c r="G35" t="inlineStr">
        <is>
          <t>https://www.facebook.com/natuctt/</t>
        </is>
      </c>
      <c r="H35" t="inlineStr">
        <is>
          <t>No disponible públicamente</t>
        </is>
      </c>
      <c r="I35" t="inlineStr">
        <is>
          <t>+1 868 625 3023</t>
        </is>
      </c>
      <c r="J35" t="inlineStr">
        <is>
          <t>natuctt@gmail.com</t>
        </is>
      </c>
      <c r="K35" t="inlineStr">
        <is>
          <t>https://www.facebook.com/natuctt/</t>
        </is>
      </c>
      <c r="L35" t="inlineStr">
        <is>
          <t>NO USAR SIN VERIFICAR</t>
        </is>
      </c>
      <c r="M35" t="inlineStr">
        <is>
          <t>Fuente no institucional (facebook.com). Email no institucional.</t>
        </is>
      </c>
    </row>
    <row r="36">
      <c r="A36" t="inlineStr">
        <is>
          <t>Venezuela</t>
        </is>
      </c>
      <c r="B36" t="inlineStr">
        <is>
          <t>Universidades públicas</t>
        </is>
      </c>
      <c r="C36" t="inlineStr">
        <is>
          <t>Universidad autónoma nacional</t>
        </is>
      </c>
      <c r="D36" t="inlineStr">
        <is>
          <t>Universidad Central de Venezuela (UCV)</t>
        </is>
      </c>
      <c r="F36" t="inlineStr">
        <is>
          <t>Conmutador general</t>
        </is>
      </c>
      <c r="G36" t="inlineStr">
        <is>
          <t>https://www.ucv.ve/</t>
        </is>
      </c>
      <c r="H36" t="inlineStr">
        <is>
          <t>No disponible públicamente</t>
        </is>
      </c>
      <c r="I36" t="inlineStr">
        <is>
          <t>+58 212 605 4050</t>
        </is>
      </c>
      <c r="J36" t="inlineStr">
        <is>
          <t>No disponible públicamente</t>
        </is>
      </c>
      <c r="K36" t="inlineStr">
        <is>
          <t>https://venezuela.justia.com/recursos/universidades/ucv.html</t>
        </is>
      </c>
      <c r="L36" t="inlineStr">
        <is>
          <t>NO USAR SIN VERIFICAR</t>
        </is>
      </c>
      <c r="M36" t="inlineStr">
        <is>
          <t>Fuente no institucional (venezuela.justia.com). Directorio de terceros.</t>
        </is>
      </c>
    </row>
    <row r="37">
      <c r="A37" t="inlineStr">
        <is>
          <t>Venezuela</t>
        </is>
      </c>
      <c r="B37" t="inlineStr">
        <is>
          <t>Organizaciones juveniles</t>
        </is>
      </c>
      <c r="C37" t="inlineStr">
        <is>
          <t>Organismo público de juventud</t>
        </is>
      </c>
      <c r="D37" t="inlineStr">
        <is>
          <t>Ministerio del Poder Popular para la Juventud</t>
        </is>
      </c>
      <c r="F37" t="inlineStr">
        <is>
          <t>Sede (Velódromo Teo Capriles, Caracas)</t>
        </is>
      </c>
      <c r="G37" t="inlineStr">
        <is>
          <t>https://juventudydeporte.gob.ve/</t>
        </is>
      </c>
      <c r="H37" t="inlineStr">
        <is>
          <t>No disponible públicamente</t>
        </is>
      </c>
      <c r="I37" t="inlineStr">
        <is>
          <t>No disponible públicamente</t>
        </is>
      </c>
      <c r="J37" t="inlineStr">
        <is>
          <t>No disponible públicamente</t>
        </is>
      </c>
      <c r="K37" t="inlineStr">
        <is>
          <t>https://es.wikipedia.org/wiki/Ministerio_del_Poder_Popular_para_la_Juventud_y_Deportes_(Venezuela)</t>
        </is>
      </c>
      <c r="L37" t="inlineStr">
        <is>
          <t>NO USAR SIN VERIFICAR</t>
        </is>
      </c>
      <c r="M37" t="inlineStr">
        <is>
          <t>Fuente no institucional (es.wikipedia.org). Estado institucional incierto (fusión/disolución 2024).</t>
        </is>
      </c>
    </row>
    <row r="38">
      <c r="A38" t="inlineStr">
        <is>
          <t>Argentina</t>
        </is>
      </c>
      <c r="B38" t="inlineStr">
        <is>
          <t>Organizaciones juveniles</t>
        </is>
      </c>
      <c r="C38" t="inlineStr">
        <is>
          <t>Federación estudiantil</t>
        </is>
      </c>
      <c r="D38" t="inlineStr">
        <is>
          <t>Federación Universitaria Argentina (FUA)</t>
        </is>
      </c>
      <c r="F38" t="inlineStr">
        <is>
          <t>Presidencia</t>
        </is>
      </c>
      <c r="G38" t="inlineStr">
        <is>
          <t>https://lafua.org/</t>
        </is>
      </c>
      <c r="H38" t="inlineStr">
        <is>
          <t>No disponible públicamente</t>
        </is>
      </c>
      <c r="I38" t="inlineStr">
        <is>
          <t>No disponible públicamente</t>
        </is>
      </c>
      <c r="J38" t="inlineStr">
        <is>
          <t>presidencia.fua@gmail.com</t>
        </is>
      </c>
      <c r="K38" t="inlineStr">
        <is>
          <t>https://www.facebook.com/FederacionUniversitariaArgentina/</t>
        </is>
      </c>
      <c r="L38" t="inlineStr">
        <is>
          <t>NO USAR SIN VERIFICAR</t>
        </is>
      </c>
      <c r="M38" t="inlineStr">
        <is>
          <t>Fuente no institucional (facebook.com). Email no institucional.</t>
        </is>
      </c>
    </row>
    <row r="39">
      <c r="A39" t="inlineStr">
        <is>
          <t>Brasil</t>
        </is>
      </c>
      <c r="B39" t="inlineStr">
        <is>
          <t>Formación técnica pública</t>
        </is>
      </c>
      <c r="C39" t="inlineStr">
        <is>
          <t>Instituto Federal (Rede Federal EPT)</t>
        </is>
      </c>
      <c r="D39" t="inlineStr">
        <is>
          <t>Instituto Federal do Amapá (IFAP)</t>
        </is>
      </c>
      <c r="F39" t="inlineStr">
        <is>
          <t>Reitoria</t>
        </is>
      </c>
      <c r="G39" t="inlineStr">
        <is>
          <t>https://ifap.edu.br/</t>
        </is>
      </c>
      <c r="H39" t="inlineStr">
        <is>
          <t>No disponible públicamente</t>
        </is>
      </c>
      <c r="I39" t="inlineStr">
        <is>
          <t>+55 96 3198-2150</t>
        </is>
      </c>
      <c r="J39" t="inlineStr">
        <is>
          <t>reitoria@ifap.edu.br</t>
        </is>
      </c>
      <c r="K39" t="inlineStr">
        <is>
          <t>https://portal.redefederal.org.br/norte/ap/instituto-federal-do-amapa</t>
        </is>
      </c>
      <c r="L39" t="inlineStr">
        <is>
          <t>NO USAR SIN VERIFICAR</t>
        </is>
      </c>
      <c r="M39" t="inlineStr">
        <is>
          <t xml:space="preserve">Fuente no institucional (portal.redefederal.org.br). </t>
        </is>
      </c>
    </row>
    <row r="40">
      <c r="A40" t="inlineStr">
        <is>
          <t>Brasil</t>
        </is>
      </c>
      <c r="B40" t="inlineStr">
        <is>
          <t>Organizaciones juveniles</t>
        </is>
      </c>
      <c r="C40" t="inlineStr">
        <is>
          <t>Movimiento estudiantil nacional</t>
        </is>
      </c>
      <c r="D40" t="inlineStr">
        <is>
          <t>União Brasileira dos Estudantes Secundaristas (UBES)</t>
        </is>
      </c>
      <c r="F40" t="inlineStr">
        <is>
          <t>Comunicação</t>
        </is>
      </c>
      <c r="G40" t="inlineStr">
        <is>
          <t>https://www.ubes.org.br/</t>
        </is>
      </c>
      <c r="H40" t="inlineStr">
        <is>
          <t>No disponible públicamente</t>
        </is>
      </c>
      <c r="I40" t="inlineStr">
        <is>
          <t>+55 11 5082-2716</t>
        </is>
      </c>
      <c r="J40" t="inlineStr">
        <is>
          <t>comunicacao@ubes.org.br</t>
        </is>
      </c>
      <c r="K40" t="inlineStr">
        <is>
          <t>https://www.facebook.com/ubesoficial/</t>
        </is>
      </c>
      <c r="L40" t="inlineStr">
        <is>
          <t>NO USAR SIN VERIFICAR</t>
        </is>
      </c>
      <c r="M40" t="inlineStr">
        <is>
          <t xml:space="preserve">Fuente no institucional (facebook.com). </t>
        </is>
      </c>
    </row>
    <row r="41">
      <c r="A41" t="inlineStr">
        <is>
          <t>Colombia</t>
        </is>
      </c>
      <c r="B41" t="inlineStr">
        <is>
          <t>Organizaciones juveniles</t>
        </is>
      </c>
      <c r="C41" t="inlineStr">
        <is>
          <t>Organismo público de juventud</t>
        </is>
      </c>
      <c r="D41" t="inlineStr">
        <is>
          <t>Colombia Joven – Consejería Presidencial para la Juventud</t>
        </is>
      </c>
      <c r="F41" t="inlineStr">
        <is>
          <t>Contacto</t>
        </is>
      </c>
      <c r="G41" t="inlineStr">
        <is>
          <t>https://colombiajoven.gov.co/</t>
        </is>
      </c>
      <c r="H41" t="inlineStr">
        <is>
          <t>No disponible públicamente</t>
        </is>
      </c>
      <c r="I41" t="inlineStr">
        <is>
          <t>+57 601 562 9300</t>
        </is>
      </c>
      <c r="J41" t="inlineStr">
        <is>
          <t>coljoven@presidencia.gov.co</t>
        </is>
      </c>
      <c r="K41" t="inlineStr">
        <is>
          <t>https://www.youtube.com/@colombiajoven</t>
        </is>
      </c>
      <c r="L41" t="inlineStr">
        <is>
          <t>NO USAR SIN VERIFICAR</t>
        </is>
      </c>
      <c r="M41" t="inlineStr">
        <is>
          <t xml:space="preserve">Fuente no institucional (youtube.com). </t>
        </is>
      </c>
    </row>
    <row r="42">
      <c r="A42" t="inlineStr">
        <is>
          <t>Colombia</t>
        </is>
      </c>
      <c r="B42" t="inlineStr">
        <is>
          <t>Sindicatos y confederaciones de trabajadores</t>
        </is>
      </c>
      <c r="C42" t="inlineStr">
        <is>
          <t>Confederación sindical</t>
        </is>
      </c>
      <c r="D42" t="inlineStr">
        <is>
          <t>Confederación General del Trabajo (CGT)</t>
        </is>
      </c>
      <c r="F42" t="inlineStr">
        <is>
          <t>Sede (Diagonal 39A Bis 14-52, Bogotá)</t>
        </is>
      </c>
      <c r="G42" t="inlineStr">
        <is>
          <t>No disponible públicamente</t>
        </is>
      </c>
      <c r="H42" t="inlineStr">
        <is>
          <t>No disponible públicamente</t>
        </is>
      </c>
      <c r="I42" t="inlineStr">
        <is>
          <t>+57 601 288 1504</t>
        </is>
      </c>
      <c r="J42" t="inlineStr">
        <is>
          <t>No disponible públicamente</t>
        </is>
      </c>
      <c r="K42" t="inlineStr">
        <is>
          <t>https://directorio-empresas.einforma.co/informacion-empresa/confederacion-general-trabajo-cgt</t>
        </is>
      </c>
      <c r="L42" t="inlineStr">
        <is>
          <t>NO USAR SIN VERIFICAR</t>
        </is>
      </c>
      <c r="M42" t="inlineStr">
        <is>
          <t>Fuente no institucional (directorio-empresas.einforma.co). Directorio comercial.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Antigua y Barbuda</t>
        </is>
      </c>
      <c r="B2" s="227" t="inlineStr">
        <is>
          <t>Universidades públicas</t>
        </is>
      </c>
      <c r="C2" s="227" t="inlineStr">
        <is>
          <t>College estatal de educación superior</t>
        </is>
      </c>
      <c r="D2" s="227" t="inlineStr">
        <is>
          <t>Antigua State College (ASC)</t>
        </is>
      </c>
      <c r="E2" s="227" t="n"/>
      <c r="F2" s="227" t="inlineStr">
        <is>
          <t>Principal's Office</t>
        </is>
      </c>
      <c r="G2" s="227" t="inlineStr">
        <is>
          <t>https://asc.edu.ag/</t>
        </is>
      </c>
      <c r="H2" s="227" t="inlineStr">
        <is>
          <t>No disponible públicamente</t>
        </is>
      </c>
      <c r="I2" s="227" t="inlineStr">
        <is>
          <t>+1 268 462 1434</t>
        </is>
      </c>
      <c r="J2" s="227" t="inlineStr">
        <is>
          <t>principal@asc.edu.ag / info@asc.edu.ag</t>
        </is>
      </c>
      <c r="K2" s="227" t="inlineStr">
        <is>
          <t>https://asc.edu.ag/contact-us/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</t>
        </is>
      </c>
    </row>
    <row r="3">
      <c r="A3" s="227" t="inlineStr">
        <is>
          <t>Antigua y Barbuda</t>
        </is>
      </c>
      <c r="B3" s="227" t="inlineStr">
        <is>
          <t>Asociaciones de seguridad social</t>
        </is>
      </c>
      <c r="C3" s="227" t="inlineStr">
        <is>
          <t>Seguro social (entidad pública)</t>
        </is>
      </c>
      <c r="D3" s="227" t="inlineStr">
        <is>
          <t>Antigua and Barbuda Social Security Board (ABSSB)</t>
        </is>
      </c>
      <c r="E3" s="227" t="n"/>
      <c r="F3" s="227" t="inlineStr">
        <is>
          <t>Main Office (Long Street, St. John's)</t>
        </is>
      </c>
      <c r="G3" s="227" t="inlineStr">
        <is>
          <t>https://socialsecurity.gov.ag/</t>
        </is>
      </c>
      <c r="H3" s="227" t="inlineStr">
        <is>
          <t>No disponible públicamente</t>
        </is>
      </c>
      <c r="I3" s="227" t="inlineStr">
        <is>
          <t>+1 268 736 3000</t>
        </is>
      </c>
      <c r="J3" s="227" t="inlineStr">
        <is>
          <t>socsec@socialsecurity.gov.ag</t>
        </is>
      </c>
      <c r="K3" s="227" t="inlineStr">
        <is>
          <t>https://socialsecurity.gov.ag/contact-us/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</t>
        </is>
      </c>
    </row>
    <row r="4">
      <c r="A4" s="227" t="inlineStr">
        <is>
          <t>Antigua y Barbuda</t>
        </is>
      </c>
      <c r="B4" s="227" t="inlineStr">
        <is>
          <t>Sindicatos y confederaciones de trabajadores</t>
        </is>
      </c>
      <c r="C4" s="227" t="inlineStr">
        <is>
          <t>Sindicato nacional</t>
        </is>
      </c>
      <c r="D4" s="227" t="inlineStr">
        <is>
          <t>Antigua and Barbuda Workers Union (ABWU)</t>
        </is>
      </c>
      <c r="E4" s="227" t="n"/>
      <c r="F4" s="227" t="inlineStr">
        <is>
          <t>Secretariat</t>
        </is>
      </c>
      <c r="G4" s="227" t="inlineStr">
        <is>
          <t>https://abwunion.com/</t>
        </is>
      </c>
      <c r="H4" s="227" t="inlineStr">
        <is>
          <t>No disponible públicamente</t>
        </is>
      </c>
      <c r="I4" s="227" t="inlineStr">
        <is>
          <t>No disponible públicamente</t>
        </is>
      </c>
      <c r="J4" s="227" t="inlineStr">
        <is>
          <t>secretariat@abwunion.com</t>
        </is>
      </c>
      <c r="K4" s="227" t="inlineStr">
        <is>
          <t>https://abwunion.com/page/contact-us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Bahamas</t>
        </is>
      </c>
      <c r="B2" s="227" t="inlineStr">
        <is>
          <t>Universidades públicas</t>
        </is>
      </c>
      <c r="C2" s="227" t="inlineStr">
        <is>
          <t>Universidad pública nacional</t>
        </is>
      </c>
      <c r="D2" s="227" t="inlineStr">
        <is>
          <t>University of The Bahamas (UB)</t>
        </is>
      </c>
      <c r="E2" s="227" t="n"/>
      <c r="F2" s="227" t="inlineStr">
        <is>
          <t>Office of the President / Provost</t>
        </is>
      </c>
      <c r="G2" s="227" t="inlineStr">
        <is>
          <t>https://www.ub.edu.bs/</t>
        </is>
      </c>
      <c r="H2" s="227" t="inlineStr">
        <is>
          <t>No disponible públicamente</t>
        </is>
      </c>
      <c r="I2" s="227" t="inlineStr">
        <is>
          <t>+1 242 302 4318 / 302 4317 (Presidente) / 302 4310 (Provost)</t>
        </is>
      </c>
      <c r="J2" s="227" t="inlineStr">
        <is>
          <t>presidentsoffice@ub.edu.bs</t>
        </is>
      </c>
      <c r="K2" s="227" t="inlineStr">
        <is>
          <t>https://www.ub.edu.bs/about-us-2/office-of-the-president-2/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</t>
        </is>
      </c>
    </row>
    <row r="3">
      <c r="A3" s="227" t="inlineStr">
        <is>
          <t>Bahamas</t>
        </is>
      </c>
      <c r="B3" s="227" t="inlineStr">
        <is>
          <t>Formación técnica pública</t>
        </is>
      </c>
      <c r="C3" s="227" t="inlineStr">
        <is>
          <t>Instituto técnico estatal</t>
        </is>
      </c>
      <c r="D3" s="227" t="inlineStr">
        <is>
          <t>Bahamas Technical &amp; Vocational Institute (BTVI)</t>
        </is>
      </c>
      <c r="E3" s="227" t="n"/>
      <c r="F3" s="227" t="inlineStr">
        <is>
          <t>Main Campus (Old Trail Road, Nassau)</t>
        </is>
      </c>
      <c r="G3" s="227" t="inlineStr">
        <is>
          <t>https://btvi.edu.bs/</t>
        </is>
      </c>
      <c r="H3" s="227" t="inlineStr">
        <is>
          <t>Dr. Linda A. Davis (President)</t>
        </is>
      </c>
      <c r="I3" s="227" t="inlineStr">
        <is>
          <t>+1 242 502 6300</t>
        </is>
      </c>
      <c r="J3" s="227" t="inlineStr">
        <is>
          <t>admissions@btvi.edu.bs</t>
        </is>
      </c>
      <c r="K3" s="227" t="inlineStr">
        <is>
          <t>https://btvi.edu.bs/about/contact-us/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</t>
        </is>
      </c>
    </row>
    <row r="4">
      <c r="A4" s="227" t="inlineStr">
        <is>
          <t>Bahamas</t>
        </is>
      </c>
      <c r="B4" s="227" t="inlineStr">
        <is>
          <t>Organizaciones juveniles</t>
        </is>
      </c>
      <c r="C4" s="227" t="inlineStr">
        <is>
          <t>Organismo público de juventud</t>
        </is>
      </c>
      <c r="D4" s="227" t="inlineStr">
        <is>
          <t>Department of Youth – Ministry of Youth, Sports and Culture</t>
        </is>
      </c>
      <c r="E4" s="227" t="n"/>
      <c r="F4" s="227" t="inlineStr">
        <is>
          <t>Department of Youth / National Youth Advisory Council</t>
        </is>
      </c>
      <c r="G4" s="227" t="inlineStr">
        <is>
          <t>https://www.mysc.gov.bs/</t>
        </is>
      </c>
      <c r="H4" s="227" t="inlineStr">
        <is>
          <t>No disponible públicamente</t>
        </is>
      </c>
      <c r="I4" s="227" t="inlineStr">
        <is>
          <t>+1 242 502 0600</t>
        </is>
      </c>
      <c r="J4" s="227" t="inlineStr">
        <is>
          <t>youthmysc@bahamas.gov.bs</t>
        </is>
      </c>
      <c r="K4" s="227" t="inlineStr">
        <is>
          <t>https://www.bahamas.gov.bs/agencies/youth-department-of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</t>
        </is>
      </c>
    </row>
    <row r="5">
      <c r="A5" s="229" t="inlineStr">
        <is>
          <t>Bahamas</t>
        </is>
      </c>
      <c r="B5" s="229" t="inlineStr">
        <is>
          <t>Asociaciones de seguridad social</t>
        </is>
      </c>
      <c r="C5" s="229" t="inlineStr">
        <is>
          <t>Seguro social (entidad pública)</t>
        </is>
      </c>
      <c r="D5" s="229" t="inlineStr">
        <is>
          <t>National Insurance Board of The Bahamas (NIB)</t>
        </is>
      </c>
      <c r="E5" s="229" t="n"/>
      <c r="F5" s="229" t="inlineStr">
        <is>
          <t>Customer Service</t>
        </is>
      </c>
      <c r="G5" s="229" t="inlineStr">
        <is>
          <t>https://www.nib-bahamas.com/</t>
        </is>
      </c>
      <c r="H5" s="229" t="inlineStr">
        <is>
          <t>No disponible públicamente</t>
        </is>
      </c>
      <c r="I5" s="229" t="inlineStr">
        <is>
          <t>+1 242 502 1500</t>
        </is>
      </c>
      <c r="J5" s="229" t="inlineStr">
        <is>
          <t>customerservice@nib-bahamas.com</t>
        </is>
      </c>
      <c r="K5" s="229" t="inlineStr">
        <is>
          <t>https://www.nib-bahamas.com/_m1859/contact-2</t>
        </is>
      </c>
      <c r="L5" s="229" t="inlineStr">
        <is>
          <t>CONFIRMADO</t>
        </is>
      </c>
      <c r="M5" s="229" t="inlineStr">
        <is>
          <t>Agregado auditoría 08-oct-2026. Doble verificación OK: correo reproducido en https://www.nib-bahamas.com/contact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Barbados</t>
        </is>
      </c>
      <c r="B2" s="227" t="inlineStr">
        <is>
          <t>Universidades públicas</t>
        </is>
      </c>
      <c r="C2" s="227" t="inlineStr">
        <is>
          <t>College comunitario estatal</t>
        </is>
      </c>
      <c r="D2" s="227" t="inlineStr">
        <is>
          <t>Barbados Community College (BCC)</t>
        </is>
      </c>
      <c r="E2" s="227" t="n"/>
      <c r="F2" s="227" t="inlineStr">
        <is>
          <t>Principal's Office</t>
        </is>
      </c>
      <c r="G2" s="227" t="inlineStr">
        <is>
          <t>https://www.bcc.edu.bb/</t>
        </is>
      </c>
      <c r="H2" s="227" t="inlineStr">
        <is>
          <t>Ms. Annette Alleyne (Principal)</t>
        </is>
      </c>
      <c r="I2" s="227" t="inlineStr">
        <is>
          <t>+1 246 426 3186</t>
        </is>
      </c>
      <c r="J2" s="227" t="inlineStr">
        <is>
          <t>principal@bcc.edu.bb</t>
        </is>
      </c>
      <c r="K2" s="227" t="inlineStr">
        <is>
          <t>https://www.bcc.edu.bb/Administration/Principal/Staff/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Barbados no tiene universidad nacional propia (UWI es regional).</t>
        </is>
      </c>
    </row>
    <row r="3">
      <c r="A3" s="227" t="inlineStr">
        <is>
          <t>Barbados</t>
        </is>
      </c>
      <c r="B3" s="227" t="inlineStr">
        <is>
          <t>Formación técnica pública</t>
        </is>
      </c>
      <c r="C3" s="227" t="inlineStr">
        <is>
          <t>Instituto técnico estatal</t>
        </is>
      </c>
      <c r="D3" s="227" t="inlineStr">
        <is>
          <t>Samuel Jackman Prescod Institute of Technology (SJPI)</t>
        </is>
      </c>
      <c r="E3" s="227" t="n"/>
      <c r="F3" s="227" t="inlineStr">
        <is>
          <t>Principal</t>
        </is>
      </c>
      <c r="G3" s="227" t="inlineStr">
        <is>
          <t>https://www.sjpi.edu.bb/</t>
        </is>
      </c>
      <c r="H3" s="227" t="inlineStr">
        <is>
          <t>Mr. Ian Drakes (Principal)</t>
        </is>
      </c>
      <c r="I3" s="227" t="inlineStr">
        <is>
          <t>+1 246 535 2200</t>
        </is>
      </c>
      <c r="J3" s="227" t="inlineStr">
        <is>
          <t>ian.drakes@sjpi.edu.bb / info@sjpi.edu.bb</t>
        </is>
      </c>
      <c r="K3" s="227" t="inlineStr">
        <is>
          <t>https://education.gov.bb/school/samuel-jackman-prescod-institute-of-technology/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</t>
        </is>
      </c>
    </row>
    <row r="4">
      <c r="A4" s="227" t="inlineStr">
        <is>
          <t>Barbados</t>
        </is>
      </c>
      <c r="B4" s="227" t="inlineStr">
        <is>
          <t>Asociaciones de seguridad social</t>
        </is>
      </c>
      <c r="C4" s="227" t="inlineStr">
        <is>
          <t>Seguro social (entidad pública)</t>
        </is>
      </c>
      <c r="D4" s="227" t="inlineStr">
        <is>
          <t>National Insurance and Social Security Service (NISSS)</t>
        </is>
      </c>
      <c r="E4" s="227" t="n"/>
      <c r="F4" s="227" t="inlineStr">
        <is>
          <t>Customer Service</t>
        </is>
      </c>
      <c r="G4" s="227" t="inlineStr">
        <is>
          <t>https://www.nis.gov.bb/</t>
        </is>
      </c>
      <c r="H4" s="227" t="inlineStr">
        <is>
          <t>No disponible públicamente</t>
        </is>
      </c>
      <c r="I4" s="227" t="inlineStr">
        <is>
          <t>+1 246 431 7400</t>
        </is>
      </c>
      <c r="J4" s="227" t="inlineStr">
        <is>
          <t>customer.service@bginis.gov.bb</t>
        </is>
      </c>
      <c r="K4" s="227" t="inlineStr">
        <is>
          <t>https://www.nis.gov.bb/support-desk/2/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</t>
        </is>
      </c>
    </row>
    <row r="5">
      <c r="A5" s="227" t="inlineStr">
        <is>
          <t>Barbados</t>
        </is>
      </c>
      <c r="B5" s="227" t="inlineStr">
        <is>
          <t>Escuelas de gobierno y administración pública</t>
        </is>
      </c>
      <c r="C5" s="227" t="inlineStr">
        <is>
          <t>Instituto de gestión y productividad</t>
        </is>
      </c>
      <c r="D5" s="227" t="inlineStr">
        <is>
          <t>Barbados Institute of Management and Productivity (BIMAP)</t>
        </is>
      </c>
      <c r="E5" s="227" t="n"/>
      <c r="F5" s="227" t="inlineStr">
        <is>
          <t>Información general</t>
        </is>
      </c>
      <c r="G5" s="227" t="inlineStr">
        <is>
          <t>https://www.bimapbb.com/</t>
        </is>
      </c>
      <c r="H5" s="227" t="inlineStr">
        <is>
          <t>No disponible públicamente</t>
        </is>
      </c>
      <c r="I5" s="227" t="inlineStr">
        <is>
          <t>+1 246 431 4200</t>
        </is>
      </c>
      <c r="J5" s="227" t="inlineStr">
        <is>
          <t>info@bimapbb.com</t>
        </is>
      </c>
      <c r="K5" s="227" t="inlineStr">
        <is>
          <t>https://www.bimapbb.com/index.php/contacts</t>
        </is>
      </c>
      <c r="L5" s="227" t="inlineStr">
        <is>
          <t>VERIFICAR</t>
        </is>
      </c>
      <c r="M5" s="227" t="inlineStr">
        <is>
          <t>Agregado auditoría 08-oct-2026. Correo de fuente institucional única; no reproducido en búsqueda independiente.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Belice</t>
        </is>
      </c>
      <c r="B2" s="227" t="inlineStr">
        <is>
          <t>Universidades públicas</t>
        </is>
      </c>
      <c r="C2" s="227" t="inlineStr">
        <is>
          <t>Universidad pública nacional</t>
        </is>
      </c>
      <c r="D2" s="227" t="inlineStr">
        <is>
          <t>University of Belize (UB)</t>
        </is>
      </c>
      <c r="E2" s="227" t="n"/>
      <c r="F2" s="227" t="inlineStr">
        <is>
          <t>Office of the Registrar</t>
        </is>
      </c>
      <c r="G2" s="227" t="inlineStr">
        <is>
          <t>https://ub.edu.bz/</t>
        </is>
      </c>
      <c r="H2" s="227" t="inlineStr">
        <is>
          <t>Mrs. Rose Pineda (University Registrar)</t>
        </is>
      </c>
      <c r="I2" s="227" t="inlineStr">
        <is>
          <t>+501 822 1000</t>
        </is>
      </c>
      <c r="J2" s="227" t="inlineStr">
        <is>
          <t>ubregistrar@ub.edu.bz</t>
        </is>
      </c>
      <c r="K2" s="227" t="inlineStr">
        <is>
          <t>https://ub.edu.bz/office-of-the-registrar/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Email de página antigua del registro.</t>
        </is>
      </c>
    </row>
    <row r="3">
      <c r="A3" s="227" t="inlineStr">
        <is>
          <t>Belice</t>
        </is>
      </c>
      <c r="B3" s="227" t="inlineStr">
        <is>
          <t>Formación técnica pública</t>
        </is>
      </c>
      <c r="C3" s="227" t="inlineStr">
        <is>
          <t>Instituto TVET público</t>
        </is>
      </c>
      <c r="D3" s="227" t="inlineStr">
        <is>
          <t>Orange Walk ITVET</t>
        </is>
      </c>
      <c r="E3" s="227" t="n"/>
      <c r="F3" s="227" t="inlineStr">
        <is>
          <t>Admissions</t>
        </is>
      </c>
      <c r="G3" s="227" t="inlineStr">
        <is>
          <t>https://www.owitvet.edu.bz/</t>
        </is>
      </c>
      <c r="H3" s="227" t="inlineStr">
        <is>
          <t>No disponible públicamente</t>
        </is>
      </c>
      <c r="I3" s="227" t="inlineStr">
        <is>
          <t>+501 302 0309</t>
        </is>
      </c>
      <c r="J3" s="227" t="inlineStr">
        <is>
          <t>admissions@owitvet.edu.bz</t>
        </is>
      </c>
      <c r="K3" s="227" t="inlineStr">
        <is>
          <t>https://www.owitvet.edu.bz/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</t>
        </is>
      </c>
    </row>
    <row r="4">
      <c r="A4" s="229" t="inlineStr">
        <is>
          <t>Belice</t>
        </is>
      </c>
      <c r="B4" s="229" t="inlineStr">
        <is>
          <t>Asociaciones de seguridad social</t>
        </is>
      </c>
      <c r="C4" s="229" t="inlineStr">
        <is>
          <t>Seguro social (entidad pública)</t>
        </is>
      </c>
      <c r="D4" s="229" t="inlineStr">
        <is>
          <t>Social Security Board (SSB) Belize</t>
        </is>
      </c>
      <c r="E4" s="229" t="n"/>
      <c r="F4" s="229" t="inlineStr">
        <is>
          <t>Corporate Headquarters (Belmopan)</t>
        </is>
      </c>
      <c r="G4" s="229" t="inlineStr">
        <is>
          <t>https://socialsecurity.org.bz/</t>
        </is>
      </c>
      <c r="H4" s="229" t="inlineStr">
        <is>
          <t>No disponible públicamente</t>
        </is>
      </c>
      <c r="I4" s="229" t="inlineStr">
        <is>
          <t>No disponible públicamente</t>
        </is>
      </c>
      <c r="J4" s="229" t="inlineStr">
        <is>
          <t>info@socialsecurity.org.bz</t>
        </is>
      </c>
      <c r="K4" s="229" t="inlineStr">
        <is>
          <t>https://socialsecurity.org.bz/contact/</t>
        </is>
      </c>
      <c r="L4" s="229" t="inlineStr">
        <is>
          <t>CONFIRMADO</t>
        </is>
      </c>
      <c r="M4" s="229" t="inlineStr">
        <is>
          <t>Agregado auditoría 08-oct-2026. Doble verificación OK: correo reproducido en https://socialsecurity.org.bz/my-ssb-faqs/</t>
        </is>
      </c>
    </row>
    <row r="5">
      <c r="A5" s="227" t="inlineStr">
        <is>
          <t>Belice</t>
        </is>
      </c>
      <c r="B5" s="227" t="inlineStr">
        <is>
          <t>Sindicatos y confederaciones de trabajadores</t>
        </is>
      </c>
      <c r="C5" s="227" t="inlineStr">
        <is>
          <t>Central sindical</t>
        </is>
      </c>
      <c r="D5" s="227" t="inlineStr">
        <is>
          <t>National Trade Union Congress of Belize (NTUCB)</t>
        </is>
      </c>
      <c r="E5" s="227" t="n"/>
      <c r="F5" s="227" t="inlineStr">
        <is>
          <t>Sede (Queen Elizabeth II Blvd., Belmopan)</t>
        </is>
      </c>
      <c r="G5" s="227" t="inlineStr">
        <is>
          <t>https://ntucb.org/</t>
        </is>
      </c>
      <c r="H5" s="227" t="inlineStr">
        <is>
          <t>No disponible públicamente</t>
        </is>
      </c>
      <c r="I5" s="227" t="inlineStr">
        <is>
          <t>No disponible públicamente</t>
        </is>
      </c>
      <c r="J5" s="227" t="inlineStr">
        <is>
          <t>No disponible públicamente</t>
        </is>
      </c>
      <c r="K5" s="227" t="inlineStr">
        <is>
          <t>https://ntucb.org/</t>
        </is>
      </c>
      <c r="L5" s="227" t="inlineStr">
        <is>
          <t>VERIFICAR</t>
        </is>
      </c>
      <c r="M5" s="227" t="inlineStr">
        <is>
          <t>Agregado auditoría 08-oct-2026. Sin correo publicado en fuente oficial; contactar por teléfono/web. Sin email publicado.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Cuba</t>
        </is>
      </c>
      <c r="B2" s="227" t="inlineStr">
        <is>
          <t>Universidades públicas</t>
        </is>
      </c>
      <c r="C2" s="227" t="inlineStr">
        <is>
          <t>Universidad estatal</t>
        </is>
      </c>
      <c r="D2" s="227" t="inlineStr">
        <is>
          <t>Universidad Tecnológica de La Habana "José Antonio Echeverría" (CUJAE)</t>
        </is>
      </c>
      <c r="E2" s="227" t="n"/>
      <c r="F2" s="227" t="inlineStr">
        <is>
          <t>Secretaría General / Rectorado</t>
        </is>
      </c>
      <c r="G2" s="227" t="inlineStr">
        <is>
          <t>https://cujae.edu.cu/</t>
        </is>
      </c>
      <c r="H2" s="227" t="inlineStr">
        <is>
          <t>M.Sc. Esther Ansola Hazday (Secretaria General)</t>
        </is>
      </c>
      <c r="I2" s="227" t="inlineStr">
        <is>
          <t>+53 7260 9832</t>
        </is>
      </c>
      <c r="J2" s="227" t="inlineStr">
        <is>
          <t>rectorado@tesla.cujae.edu.cu</t>
        </is>
      </c>
      <c r="K2" s="227" t="inlineStr">
        <is>
          <t>https://cujae.edu.cu/universidad/secretaria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Página de Secretaría &gt;5 años.</t>
        </is>
      </c>
    </row>
    <row r="3">
      <c r="A3" s="227" t="inlineStr">
        <is>
          <t>Cuba</t>
        </is>
      </c>
      <c r="B3" s="227" t="inlineStr">
        <is>
          <t>Organizaciones juveniles</t>
        </is>
      </c>
      <c r="C3" s="227" t="inlineStr">
        <is>
          <t>Organización juvenil nacional</t>
        </is>
      </c>
      <c r="D3" s="227" t="inlineStr">
        <is>
          <t>Unión de Jóvenes Comunistas (UJC)</t>
        </is>
      </c>
      <c r="E3" s="227" t="n"/>
      <c r="F3" s="227" t="inlineStr">
        <is>
          <t>Comunicación / Comité Nacional</t>
        </is>
      </c>
      <c r="G3" s="227" t="inlineStr">
        <is>
          <t>http://www.ujc.cu/</t>
        </is>
      </c>
      <c r="H3" s="227" t="inlineStr">
        <is>
          <t>No disponible públicamente</t>
        </is>
      </c>
      <c r="I3" s="227" t="inlineStr">
        <is>
          <t>+53 7862 7466</t>
        </is>
      </c>
      <c r="J3" s="227" t="inlineStr">
        <is>
          <t>comunicacionujc@ujc.cu</t>
        </is>
      </c>
      <c r="K3" s="227" t="inlineStr">
        <is>
          <t>http://www.ujc.cu/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</t>
        </is>
      </c>
    </row>
    <row r="4">
      <c r="A4" s="227" t="inlineStr">
        <is>
          <t>Cuba</t>
        </is>
      </c>
      <c r="B4" s="227" t="inlineStr">
        <is>
          <t>Asociaciones de seguridad social</t>
        </is>
      </c>
      <c r="C4" s="227" t="inlineStr">
        <is>
          <t>Seguridad social (entidad pública)</t>
        </is>
      </c>
      <c r="D4" s="227" t="inlineStr">
        <is>
          <t>Instituto Nacional de Seguridad Social (INASS)</t>
        </is>
      </c>
      <c r="E4" s="227" t="n"/>
      <c r="F4" s="227" t="inlineStr">
        <is>
          <t>Oficina nacional</t>
        </is>
      </c>
      <c r="G4" s="227" t="inlineStr">
        <is>
          <t>https://www.mtss.gob.cu/</t>
        </is>
      </c>
      <c r="H4" s="227" t="inlineStr">
        <is>
          <t>No disponible públicamente</t>
        </is>
      </c>
      <c r="I4" s="227" t="inlineStr">
        <is>
          <t>+53 7838 0043</t>
        </is>
      </c>
      <c r="J4" s="227" t="inlineStr">
        <is>
          <t>No disponible públicamente</t>
        </is>
      </c>
      <c r="K4" s="227" t="inlineStr">
        <is>
          <t>https://www.mtss.gob.cu/entidades/direccion-general-de-seguridad-social</t>
        </is>
      </c>
      <c r="L4" s="227" t="inlineStr">
        <is>
          <t>VERIFICAR</t>
        </is>
      </c>
      <c r="M4" s="227" t="inlineStr">
        <is>
          <t>Agregado auditoría 08-oct-2026. Sin correo publicado en fuente oficial; contactar por teléfono/web.</t>
        </is>
      </c>
    </row>
    <row r="5">
      <c r="A5" s="227" t="inlineStr">
        <is>
          <t>Cuba</t>
        </is>
      </c>
      <c r="B5" s="227" t="inlineStr">
        <is>
          <t>Escuelas de gobierno y administración pública</t>
        </is>
      </c>
      <c r="C5" s="227" t="inlineStr">
        <is>
          <t>Escuela de gobierno</t>
        </is>
      </c>
      <c r="D5" s="227" t="inlineStr">
        <is>
          <t>Escuela Superior de Cuadros del Estado y del Gobierno (ESCEG)</t>
        </is>
      </c>
      <c r="E5" s="227" t="n"/>
      <c r="F5" s="227" t="inlineStr">
        <is>
          <t>Rectorado</t>
        </is>
      </c>
      <c r="G5" s="227" t="inlineStr">
        <is>
          <t>https://www.esceg.cu/</t>
        </is>
      </c>
      <c r="H5" s="227" t="inlineStr">
        <is>
          <t>Mercedes Delgado Fernández (Rectora)</t>
        </is>
      </c>
      <c r="I5" s="227" t="inlineStr">
        <is>
          <t>+53 7645 3551</t>
        </is>
      </c>
      <c r="J5" s="227" t="inlineStr">
        <is>
          <t>esceg@esceg.cu</t>
        </is>
      </c>
      <c r="K5" s="227" t="inlineStr">
        <is>
          <t>https://www.esceg.cu/es/estructura</t>
        </is>
      </c>
      <c r="L5" s="227" t="inlineStr">
        <is>
          <t>VERIFICAR</t>
        </is>
      </c>
      <c r="M5" s="227" t="inlineStr">
        <is>
          <t>Agregado auditoría 08-oct-2026. Correo de fuente institucional única; no reproducido en búsqueda independiente.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Dominica</t>
        </is>
      </c>
      <c r="B2" s="227" t="inlineStr">
        <is>
          <t>Universidades públicas</t>
        </is>
      </c>
      <c r="C2" s="227" t="inlineStr">
        <is>
          <t>College estatal de educación superior</t>
        </is>
      </c>
      <c r="D2" s="227" t="inlineStr">
        <is>
          <t>Dominica State College (DSC)</t>
        </is>
      </c>
      <c r="E2" s="227" t="n"/>
      <c r="F2" s="227" t="inlineStr">
        <is>
          <t>President's Office</t>
        </is>
      </c>
      <c r="G2" s="227" t="inlineStr">
        <is>
          <t>https://dsc.edu.dm/</t>
        </is>
      </c>
      <c r="H2" s="227" t="inlineStr">
        <is>
          <t>No disponible públicamente</t>
        </is>
      </c>
      <c r="I2" s="227" t="inlineStr">
        <is>
          <t>+1 767 255 8114</t>
        </is>
      </c>
      <c r="J2" s="227" t="inlineStr">
        <is>
          <t>officeofthepresident@dsc.edu.dm</t>
        </is>
      </c>
      <c r="K2" s="227" t="inlineStr">
        <is>
          <t>https://dsc.edu.dm/directory/presidents-office/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</t>
        </is>
      </c>
    </row>
    <row r="3">
      <c r="A3" s="227" t="inlineStr">
        <is>
          <t>Dominica</t>
        </is>
      </c>
      <c r="B3" s="227" t="inlineStr">
        <is>
          <t>Asociaciones de seguridad social</t>
        </is>
      </c>
      <c r="C3" s="227" t="inlineStr">
        <is>
          <t>Seguro social (entidad pública)</t>
        </is>
      </c>
      <c r="D3" s="227" t="inlineStr">
        <is>
          <t>Dominica Social Security (DSS)</t>
        </is>
      </c>
      <c r="E3" s="227" t="n"/>
      <c r="F3" s="227" t="inlineStr">
        <is>
          <t>Head Office (Roseau)</t>
        </is>
      </c>
      <c r="G3" s="227" t="inlineStr">
        <is>
          <t>https://dss.dm/</t>
        </is>
      </c>
      <c r="H3" s="227" t="inlineStr">
        <is>
          <t>No disponible públicamente</t>
        </is>
      </c>
      <c r="I3" s="227" t="inlineStr">
        <is>
          <t>+1 767 255 8311</t>
        </is>
      </c>
      <c r="J3" s="227" t="inlineStr">
        <is>
          <t>No disponible públicamente</t>
        </is>
      </c>
      <c r="K3" s="227" t="inlineStr">
        <is>
          <t>https://dss.dm/faq/</t>
        </is>
      </c>
      <c r="L3" s="227" t="inlineStr">
        <is>
          <t>VERIFICAR</t>
        </is>
      </c>
      <c r="M3" s="227" t="inlineStr">
        <is>
          <t>Agregado auditoría 08-oct-2026. Sin correo publicado en fuente oficial; contactar por teléfono/web.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El Salvador</t>
        </is>
      </c>
      <c r="B2" s="227" t="inlineStr">
        <is>
          <t>Universidades públicas</t>
        </is>
      </c>
      <c r="C2" s="227" t="inlineStr">
        <is>
          <t>Universidad estatal</t>
        </is>
      </c>
      <c r="D2" s="227" t="inlineStr">
        <is>
          <t>Universidad de El Salvador (UES)</t>
        </is>
      </c>
      <c r="E2" s="227" t="n"/>
      <c r="F2" s="227" t="inlineStr">
        <is>
          <t>Secretaría General / Vicerrectoría Académica</t>
        </is>
      </c>
      <c r="G2" s="227" t="inlineStr">
        <is>
          <t>https://www.ues.edu.sv/</t>
        </is>
      </c>
      <c r="H2" s="227" t="inlineStr">
        <is>
          <t>No disponible públicamente</t>
        </is>
      </c>
      <c r="I2" s="227" t="inlineStr">
        <is>
          <t>+503 2511-2015 (Secretaría General) / 2511-2006 (Vicerrectoría Académica)</t>
        </is>
      </c>
      <c r="J2" s="227" t="inlineStr">
        <is>
          <t>secretaria.general@ues.edu.sv</t>
        </is>
      </c>
      <c r="K2" s="227" t="inlineStr">
        <is>
          <t>https://secretariageneral.ues.edu.sv/index.php?option=com_content&amp;view=article&amp;id=81&amp;Itemid=128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Email de página de facultad (~10 años); confirmar con conmutador 2511-2000.</t>
        </is>
      </c>
    </row>
    <row r="3">
      <c r="A3" s="227" t="inlineStr">
        <is>
          <t>El Salvador</t>
        </is>
      </c>
      <c r="B3" s="227" t="inlineStr">
        <is>
          <t>Formación técnica pública</t>
        </is>
      </c>
      <c r="C3" s="227" t="inlineStr">
        <is>
          <t>Educación técnica superior (fundación con financiamiento público)</t>
        </is>
      </c>
      <c r="D3" s="227" t="inlineStr">
        <is>
          <t>Escuela Especializada en Ingeniería ITCA-FEPADE</t>
        </is>
      </c>
      <c r="E3" s="227" t="n"/>
      <c r="F3" s="227" t="inlineStr">
        <is>
          <t>Rectoría / Vicerrectoría Académica</t>
        </is>
      </c>
      <c r="G3" s="227" t="inlineStr">
        <is>
          <t>https://www.itca.edu.sv/</t>
        </is>
      </c>
      <c r="H3" s="227" t="inlineStr">
        <is>
          <t>Carlos Arriola (Rector) / Christian Antonio Guevara (Vicerrector Académico)</t>
        </is>
      </c>
      <c r="I3" s="227" t="inlineStr">
        <is>
          <t>No disponible públicamente</t>
        </is>
      </c>
      <c r="J3" s="227" t="inlineStr">
        <is>
          <t>No disponible públicamente</t>
        </is>
      </c>
      <c r="K3" s="227" t="inlineStr">
        <is>
          <t>https://www.itca.edu.sv/wp-content/uploads/2026/05/Memoria-de-Labores-2025_compressed.pdf</t>
        </is>
      </c>
      <c r="L3" s="227" t="inlineStr">
        <is>
          <t>VERIFICAR</t>
        </is>
      </c>
      <c r="M3" s="227" t="inlineStr">
        <is>
          <t>Agregado auditoría 08-oct-2026. Sin correo publicado en fuente oficial; contactar por teléfono/web. Institución mixta (no estrictamente pública); sin contacto directo publicado.</t>
        </is>
      </c>
    </row>
    <row r="4">
      <c r="A4" s="227" t="inlineStr">
        <is>
          <t>El Salvador</t>
        </is>
      </c>
      <c r="B4" s="227" t="inlineStr">
        <is>
          <t>Formación técnica pública</t>
        </is>
      </c>
      <c r="C4" s="227" t="inlineStr">
        <is>
          <t>Instituto nacional de formación profesional</t>
        </is>
      </c>
      <c r="D4" s="227" t="inlineStr">
        <is>
          <t>Instituto Salvadoreño de Formación Profesional (INSAFORP)</t>
        </is>
      </c>
      <c r="E4" s="227" t="n"/>
      <c r="F4" s="227" t="inlineStr">
        <is>
          <t>Presidencia / Dirección Ejecutiva</t>
        </is>
      </c>
      <c r="G4" s="227" t="inlineStr">
        <is>
          <t>https://www.insaforp.org.sv/</t>
        </is>
      </c>
      <c r="H4" s="227" t="inlineStr">
        <is>
          <t>No disponible públicamente</t>
        </is>
      </c>
      <c r="I4" s="227" t="inlineStr">
        <is>
          <t>+503 2522-7304 (Presidencia y Dirección Ejecutiva) / PBX 2522-7300</t>
        </is>
      </c>
      <c r="J4" s="227" t="inlineStr">
        <is>
          <t>formacioninicial@insaforp.org.sv</t>
        </is>
      </c>
      <c r="K4" s="227" t="inlineStr">
        <is>
          <t>https://www.insaforp.org.sv/index.php/contactos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 Email de ficha gubernamental (oct-2023).</t>
        </is>
      </c>
    </row>
    <row r="5">
      <c r="A5" s="227" t="inlineStr">
        <is>
          <t>El Salvador</t>
        </is>
      </c>
      <c r="B5" s="227" t="inlineStr">
        <is>
          <t>Organizaciones juveniles</t>
        </is>
      </c>
      <c r="C5" s="227" t="inlineStr">
        <is>
          <t>Organismo público de juventud</t>
        </is>
      </c>
      <c r="D5" s="227" t="inlineStr">
        <is>
          <t>Instituto Nacional de la Juventud (INJUVE)</t>
        </is>
      </c>
      <c r="E5" s="227" t="n"/>
      <c r="F5" s="227" t="inlineStr">
        <is>
          <t>Sede central</t>
        </is>
      </c>
      <c r="G5" s="227" t="inlineStr">
        <is>
          <t>https://injuve.gob.sv/</t>
        </is>
      </c>
      <c r="H5" s="227" t="inlineStr">
        <is>
          <t>No disponible públicamente</t>
        </is>
      </c>
      <c r="I5" s="227" t="inlineStr">
        <is>
          <t>+503 2527-7400</t>
        </is>
      </c>
      <c r="J5" s="227" t="inlineStr">
        <is>
          <t>No disponible públicamente</t>
        </is>
      </c>
      <c r="K5" s="227" t="inlineStr">
        <is>
          <t>https://transparencia.gob.sv/institutions/injuve/documents/326261/download</t>
        </is>
      </c>
      <c r="L5" s="227" t="inlineStr">
        <is>
          <t>VERIFICAR</t>
        </is>
      </c>
      <c r="M5" s="227" t="inlineStr">
        <is>
          <t>Agregado auditoría 08-oct-2026. Sin correo publicado en fuente oficial; contactar por teléfono/web. Carta institucional 2019.</t>
        </is>
      </c>
    </row>
    <row r="6">
      <c r="A6" s="229" t="inlineStr">
        <is>
          <t>El Salvador</t>
        </is>
      </c>
      <c r="B6" s="229" t="inlineStr">
        <is>
          <t>Asociaciones de seguridad social</t>
        </is>
      </c>
      <c r="C6" s="229" t="inlineStr">
        <is>
          <t>Seguro social (entidad pública)</t>
        </is>
      </c>
      <c r="D6" s="229" t="inlineStr">
        <is>
          <t>Instituto Salvadoreño del Seguro Social (ISSS)</t>
        </is>
      </c>
      <c r="E6" s="229" t="n"/>
      <c r="F6" s="229" t="inlineStr">
        <is>
          <t>Oficinas administrativas / Atención al usuario</t>
        </is>
      </c>
      <c r="G6" s="229" t="inlineStr">
        <is>
          <t>https://www.isss.gob.sv/</t>
        </is>
      </c>
      <c r="H6" s="229" t="inlineStr">
        <is>
          <t>No disponible públicamente</t>
        </is>
      </c>
      <c r="I6" s="229" t="inlineStr">
        <is>
          <t>+503 2591-3000</t>
        </is>
      </c>
      <c r="J6" s="229" t="inlineStr">
        <is>
          <t>atencionalusuario@isss.gob.sv</t>
        </is>
      </c>
      <c r="K6" s="229" t="inlineStr">
        <is>
          <t>https://www.isss.gob.sv/contactenos/oficinas-administrativas/</t>
        </is>
      </c>
      <c r="L6" s="229" t="inlineStr">
        <is>
          <t>CONFIRMADO</t>
        </is>
      </c>
      <c r="M6" s="229" t="inlineStr">
        <is>
          <t>Agregado auditoría 08-oct-2026. Doble verificación OK: correo reproducido en https://transparencia.gob.sv/institutions/27/documents/345344/download</t>
        </is>
      </c>
    </row>
    <row r="7">
      <c r="A7" s="227" t="inlineStr">
        <is>
          <t>El Salvador</t>
        </is>
      </c>
      <c r="B7" s="227" t="inlineStr">
        <is>
          <t>Asociaciones de seguridad social</t>
        </is>
      </c>
      <c r="C7" s="227" t="inlineStr">
        <is>
          <t>Pensiones empleados públicos</t>
        </is>
      </c>
      <c r="D7" s="227" t="inlineStr">
        <is>
          <t>Instituto Nacional de Pensiones de los Empleados Públicos (INPEP)</t>
        </is>
      </c>
      <c r="E7" s="227" t="n"/>
      <c r="F7" s="227" t="inlineStr">
        <is>
          <t>Contacto institucional</t>
        </is>
      </c>
      <c r="G7" s="227" t="inlineStr">
        <is>
          <t>https://www.inpep.gob.sv/</t>
        </is>
      </c>
      <c r="H7" s="227" t="inlineStr">
        <is>
          <t>No disponible públicamente</t>
        </is>
      </c>
      <c r="I7" s="227" t="inlineStr">
        <is>
          <t>+503 2255-1200</t>
        </is>
      </c>
      <c r="J7" s="227" t="inlineStr">
        <is>
          <t>info@inpep.gob.sv</t>
        </is>
      </c>
      <c r="K7" s="227" t="inlineStr">
        <is>
          <t>https://www.inpep.gob.sv/</t>
        </is>
      </c>
      <c r="L7" s="227" t="inlineStr">
        <is>
          <t>VERIFICAR</t>
        </is>
      </c>
      <c r="M7" s="227" t="inlineStr">
        <is>
          <t>Agregado auditoría 08-oct-2026. Correo de fuente institucional única; no reproducido en búsqueda independiente. Portal de transparencia lo marca en disolución; confirmar vigencia.</t>
        </is>
      </c>
    </row>
    <row r="8">
      <c r="A8" s="227" t="inlineStr">
        <is>
          <t>El Salvador</t>
        </is>
      </c>
      <c r="B8" s="227" t="inlineStr">
        <is>
          <t>Asociaciones de seguridad social</t>
        </is>
      </c>
      <c r="C8" s="227" t="inlineStr">
        <is>
          <t>Seguridad social magisterio</t>
        </is>
      </c>
      <c r="D8" s="227" t="inlineStr">
        <is>
          <t>Instituto Salvadoreño de Bienestar Magisterial (ISBM)</t>
        </is>
      </c>
      <c r="E8" s="227" t="n"/>
      <c r="F8" s="227" t="inlineStr">
        <is>
          <t>Oficinas centrales</t>
        </is>
      </c>
      <c r="G8" s="227" t="inlineStr">
        <is>
          <t>https://www.isbm.gob.sv/</t>
        </is>
      </c>
      <c r="H8" s="227" t="inlineStr">
        <is>
          <t>No disponible públicamente</t>
        </is>
      </c>
      <c r="I8" s="227" t="inlineStr">
        <is>
          <t>+503 2239-9200</t>
        </is>
      </c>
      <c r="J8" s="227" t="inlineStr">
        <is>
          <t>isbmamigo@isbm.gob.sv</t>
        </is>
      </c>
      <c r="K8" s="227" t="inlineStr">
        <is>
          <t>https://www.transparencia.gob.sv/institutions/isbm/officials/11782.pdf</t>
        </is>
      </c>
      <c r="L8" s="227" t="inlineStr">
        <is>
          <t>VERIFICAR</t>
        </is>
      </c>
      <c r="M8" s="227" t="inlineStr">
        <is>
          <t>Agregado auditoría 08-oct-2026. Correo de fuente institucional única; no reproducido en búsqueda independiente. Email de documento de 2016.</t>
        </is>
      </c>
    </row>
    <row r="9">
      <c r="A9" s="227" t="inlineStr">
        <is>
          <t>El Salvador</t>
        </is>
      </c>
      <c r="B9" s="227" t="inlineStr">
        <is>
          <t>Escuelas de gobierno y administración pública</t>
        </is>
      </c>
      <c r="C9" s="227" t="inlineStr">
        <is>
          <t>Escuela de gobierno (Presidencia)</t>
        </is>
      </c>
      <c r="D9" s="227" t="inlineStr">
        <is>
          <t>Escuela Superior de Innovación en la Administración Pública (ESIAP)</t>
        </is>
      </c>
      <c r="E9" s="227" t="n"/>
      <c r="F9" s="227" t="inlineStr">
        <is>
          <t>Dirección</t>
        </is>
      </c>
      <c r="G9" s="227" t="inlineStr">
        <is>
          <t>https://www.presidencia.gob.sv/</t>
        </is>
      </c>
      <c r="H9" s="227" t="inlineStr">
        <is>
          <t>No disponible públicamente</t>
        </is>
      </c>
      <c r="I9" s="227" t="inlineStr">
        <is>
          <t>No disponible públicamente</t>
        </is>
      </c>
      <c r="J9" s="227" t="inlineStr">
        <is>
          <t>No disponible públicamente</t>
        </is>
      </c>
      <c r="K9" s="227" t="inlineStr">
        <is>
          <t>https://www.jurisprudencia.gob.sv/DocumentosBoveda/D/2/2020-2029/2021/09/E9A7B.PDF</t>
        </is>
      </c>
      <c r="L9" s="227" t="inlineStr">
        <is>
          <t>VERIFICAR</t>
        </is>
      </c>
      <c r="M9" s="227" t="inlineStr">
        <is>
          <t>Agregado auditoría 08-oct-2026. Sin correo publicado en fuente oficial; contactar por teléfono/web. Sucesora de ENAFOP; no publica contacto. Canalizar por Presidencia.</t>
        </is>
      </c>
    </row>
    <row r="10">
      <c r="A10" s="227" t="inlineStr">
        <is>
          <t>El Salvador</t>
        </is>
      </c>
      <c r="B10" s="227" t="inlineStr">
        <is>
          <t>Formación técnica pública</t>
        </is>
      </c>
      <c r="C10" s="227" t="inlineStr">
        <is>
          <t>Escuela técnica agrícola estatal</t>
        </is>
      </c>
      <c r="D10" s="227" t="inlineStr">
        <is>
          <t>Escuela Nacional de Agricultura "Roberto Quiñonez" (ENA)</t>
        </is>
      </c>
      <c r="E10" s="227" t="n"/>
      <c r="F10" s="227" t="inlineStr">
        <is>
          <t>Consejo Directivo</t>
        </is>
      </c>
      <c r="G10" s="227" t="inlineStr">
        <is>
          <t>https://ena.edu.sv/</t>
        </is>
      </c>
      <c r="H10" s="227" t="inlineStr">
        <is>
          <t>No disponible públicamente</t>
        </is>
      </c>
      <c r="I10" s="227" t="inlineStr">
        <is>
          <t>+503 2366-4800</t>
        </is>
      </c>
      <c r="J10" s="227" t="inlineStr">
        <is>
          <t>consejodirectivo@ena.edu.sv</t>
        </is>
      </c>
      <c r="K10" s="227" t="inlineStr">
        <is>
          <t>https://transparencia.gob.sv/institutions/ena/documents/85074/download</t>
        </is>
      </c>
      <c r="L10" s="227" t="inlineStr">
        <is>
          <t>VERIFICAR</t>
        </is>
      </c>
      <c r="M10" s="227" t="inlineStr">
        <is>
          <t>Agregado auditoría 08-oct-2026. Correo de fuente institucional única; no reproducido en búsqueda independiente. Documento de transparencia 2016.</t>
        </is>
      </c>
    </row>
    <row r="11">
      <c r="A11" s="227" t="inlineStr">
        <is>
          <t>El Salvador</t>
        </is>
      </c>
      <c r="B11" s="227" t="inlineStr">
        <is>
          <t>Asociaciones de seguridad social</t>
        </is>
      </c>
      <c r="C11" s="227" t="inlineStr">
        <is>
          <t>Previsión social militar (entidad pública)</t>
        </is>
      </c>
      <c r="D11" s="227" t="inlineStr">
        <is>
          <t>Instituto de Previsión Social de la Fuerza Armada (IPSFA)</t>
        </is>
      </c>
      <c r="E11" s="227" t="n"/>
      <c r="F11" s="227" t="inlineStr">
        <is>
          <t>Gerencia General</t>
        </is>
      </c>
      <c r="G11" s="227" t="inlineStr">
        <is>
          <t>https://www.ipsfa.com/</t>
        </is>
      </c>
      <c r="H11" s="227" t="inlineStr">
        <is>
          <t>No disponible públicamente</t>
        </is>
      </c>
      <c r="I11" s="227" t="inlineStr">
        <is>
          <t>+503 2234-7205</t>
        </is>
      </c>
      <c r="J11" s="227" t="inlineStr">
        <is>
          <t>gerente.general@ipsfa.com</t>
        </is>
      </c>
      <c r="K11" s="227" t="inlineStr">
        <is>
          <t>https://www.transparencia.gob.sv/institutions/ipsfa/officials/12440.pdf</t>
        </is>
      </c>
      <c r="L11" s="227" t="inlineStr">
        <is>
          <t>VERIFICAR</t>
        </is>
      </c>
      <c r="M11" s="227" t="inlineStr">
        <is>
          <t>Agregado auditoría 08-oct-2026. Correo de fuente institucional única; no reproducido en búsqueda independiente.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Granada</t>
        </is>
      </c>
      <c r="B2" s="227" t="inlineStr">
        <is>
          <t>Universidades públicas</t>
        </is>
      </c>
      <c r="C2" s="227" t="inlineStr">
        <is>
          <t>College comunitario estatal</t>
        </is>
      </c>
      <c r="D2" s="227" t="inlineStr">
        <is>
          <t>T.A. Marryshow Community College (TAMCC)</t>
        </is>
      </c>
      <c r="E2" s="227" t="n"/>
      <c r="F2" s="227" t="inlineStr">
        <is>
          <t>Principal's Office / Registrar</t>
        </is>
      </c>
      <c r="G2" s="227" t="inlineStr">
        <is>
          <t>https://www.tamcc.edu.gd/</t>
        </is>
      </c>
      <c r="H2" s="227" t="inlineStr">
        <is>
          <t>No disponible públicamente</t>
        </is>
      </c>
      <c r="I2" s="227" t="inlineStr">
        <is>
          <t>+1 473 440 1389</t>
        </is>
      </c>
      <c r="J2" s="227" t="inlineStr">
        <is>
          <t>info@tamcc.edu.gd</t>
        </is>
      </c>
      <c r="K2" s="227" t="inlineStr">
        <is>
          <t>https://www.tamcc.edu.gd/index.php/Registrar-s-office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Nombre del Principal no confirmado.</t>
        </is>
      </c>
    </row>
    <row r="3">
      <c r="A3" s="229" t="inlineStr">
        <is>
          <t>Granada</t>
        </is>
      </c>
      <c r="B3" s="229" t="inlineStr">
        <is>
          <t>Asociaciones de seguridad social</t>
        </is>
      </c>
      <c r="C3" s="229" t="inlineStr">
        <is>
          <t>Seguro social (entidad pública)</t>
        </is>
      </c>
      <c r="D3" s="229" t="inlineStr">
        <is>
          <t>National Insurance Scheme (NIS) Grenada</t>
        </is>
      </c>
      <c r="E3" s="229" t="n"/>
      <c r="F3" s="229" t="inlineStr">
        <is>
          <t>Oficina central (Melville Street, St. George's)</t>
        </is>
      </c>
      <c r="G3" s="229" t="inlineStr">
        <is>
          <t>https://nisgrenada.org/</t>
        </is>
      </c>
      <c r="H3" s="229" t="inlineStr">
        <is>
          <t>No disponible públicamente</t>
        </is>
      </c>
      <c r="I3" s="229" t="inlineStr">
        <is>
          <t>+1 473 440 3309</t>
        </is>
      </c>
      <c r="J3" s="229" t="inlineStr">
        <is>
          <t>nisgrenada@nisgrenada.org</t>
        </is>
      </c>
      <c r="K3" s="229" t="inlineStr">
        <is>
          <t>https://nisgrenada.org/</t>
        </is>
      </c>
      <c r="L3" s="229" t="inlineStr">
        <is>
          <t>CONFIRMADO</t>
        </is>
      </c>
      <c r="M3" s="229" t="inlineStr">
        <is>
          <t>Agregado auditoría 08-oct-2026. Doble verificación OK: correo reproducido en https://grenadaembassyusa.org/directory/national-insurance-scheme-nis/</t>
        </is>
      </c>
    </row>
    <row r="4">
      <c r="A4" s="227" t="inlineStr">
        <is>
          <t>Granada</t>
        </is>
      </c>
      <c r="B4" s="227" t="inlineStr">
        <is>
          <t>Sindicatos y confederaciones de trabajadores</t>
        </is>
      </c>
      <c r="C4" s="227" t="inlineStr">
        <is>
          <t>Central sindical</t>
        </is>
      </c>
      <c r="D4" s="227" t="inlineStr">
        <is>
          <t>Grenada Trades Union Council (GTUC)</t>
        </is>
      </c>
      <c r="E4" s="227" t="n"/>
      <c r="F4" s="227" t="inlineStr">
        <is>
          <t>Secretariat</t>
        </is>
      </c>
      <c r="G4" s="227" t="inlineStr">
        <is>
          <t>No disponible públicamente</t>
        </is>
      </c>
      <c r="H4" s="227" t="inlineStr">
        <is>
          <t>No disponible públicamente</t>
        </is>
      </c>
      <c r="I4" s="227" t="inlineStr">
        <is>
          <t>+1 473 440 3733</t>
        </is>
      </c>
      <c r="J4" s="227" t="inlineStr">
        <is>
          <t>No disponible públicamente</t>
        </is>
      </c>
      <c r="K4" s="227" t="inlineStr">
        <is>
          <t>https://llca.gov.gd/labour/grenada-trades-union-council/</t>
        </is>
      </c>
      <c r="L4" s="227" t="inlineStr">
        <is>
          <t>VERIFICAR</t>
        </is>
      </c>
      <c r="M4" s="227" t="inlineStr">
        <is>
          <t>Agregado auditoría 08-oct-2026. Sin correo publicado en fuente oficial; contactar por teléfono/web. Sin email; teléfonos contradictorios.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Guyana</t>
        </is>
      </c>
      <c r="B2" s="227" t="inlineStr">
        <is>
          <t>Universidades públicas</t>
        </is>
      </c>
      <c r="C2" s="227" t="inlineStr">
        <is>
          <t>Universidad pública nacional</t>
        </is>
      </c>
      <c r="D2" s="227" t="inlineStr">
        <is>
          <t>University of Guyana (UG)</t>
        </is>
      </c>
      <c r="E2" s="227" t="n"/>
      <c r="F2" s="227" t="inlineStr">
        <is>
          <t>Office of the Vice-Chancellor / Registrar</t>
        </is>
      </c>
      <c r="G2" s="227" t="inlineStr">
        <is>
          <t>https://www.uog.edu.gy/</t>
        </is>
      </c>
      <c r="H2" s="227" t="inlineStr">
        <is>
          <t>Prof. Paloma Mohamed-Martin (Vice-Chancellor)</t>
        </is>
      </c>
      <c r="I2" s="227" t="inlineStr">
        <is>
          <t>+592 222 3583 / 222 8063</t>
        </is>
      </c>
      <c r="J2" s="227" t="inlineStr">
        <is>
          <t>vice-chancellor@uog.edu.gy / registrar@uog.edu.gy</t>
        </is>
      </c>
      <c r="K2" s="227" t="inlineStr">
        <is>
          <t>https://www.uog.edu.gy/office-vice-chancellor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</t>
        </is>
      </c>
    </row>
    <row r="3">
      <c r="A3" s="227" t="inlineStr">
        <is>
          <t>Guyana</t>
        </is>
      </c>
      <c r="B3" s="227" t="inlineStr">
        <is>
          <t>Formación técnica pública</t>
        </is>
      </c>
      <c r="C3" s="227" t="inlineStr">
        <is>
          <t>Junta nacional de formación industrial</t>
        </is>
      </c>
      <c r="D3" s="227" t="inlineStr">
        <is>
          <t>Board of Industrial Training (BIT)</t>
        </is>
      </c>
      <c r="E3" s="227" t="n"/>
      <c r="F3" s="227" t="inlineStr">
        <is>
          <t>Oficina central</t>
        </is>
      </c>
      <c r="G3" s="227" t="inlineStr">
        <is>
          <t>https://www.bit.gov.gy/</t>
        </is>
      </c>
      <c r="H3" s="227" t="inlineStr">
        <is>
          <t>No disponible públicamente</t>
        </is>
      </c>
      <c r="I3" s="227" t="inlineStr">
        <is>
          <t>+592 225 1077</t>
        </is>
      </c>
      <c r="J3" s="227" t="inlineStr">
        <is>
          <t>BITraining1910@gmail.com</t>
        </is>
      </c>
      <c r="K3" s="227" t="inlineStr">
        <is>
          <t>https://portal.gov.gy/agencies/board-of-industrial-training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 Email no institucional (consistente en fuentes).</t>
        </is>
      </c>
    </row>
    <row r="4">
      <c r="A4" s="227" t="inlineStr">
        <is>
          <t>Guyana</t>
        </is>
      </c>
      <c r="B4" s="227" t="inlineStr">
        <is>
          <t>Escuelas de gobierno y administración pública</t>
        </is>
      </c>
      <c r="C4" s="227" t="inlineStr">
        <is>
          <t>Escuela de servicio público</t>
        </is>
      </c>
      <c r="D4" s="227" t="inlineStr">
        <is>
          <t>Bertram Collins College of the Public Service</t>
        </is>
      </c>
      <c r="E4" s="227" t="n"/>
      <c r="F4" s="227" t="inlineStr">
        <is>
          <t>Admissions</t>
        </is>
      </c>
      <c r="G4" s="227" t="inlineStr">
        <is>
          <t>https://bccps.gov.gy/</t>
        </is>
      </c>
      <c r="H4" s="227" t="inlineStr">
        <is>
          <t>No disponible públicamente</t>
        </is>
      </c>
      <c r="I4" s="227" t="inlineStr">
        <is>
          <t>+592 222 5395</t>
        </is>
      </c>
      <c r="J4" s="227" t="inlineStr">
        <is>
          <t>admissions@bccps.gov.gy</t>
        </is>
      </c>
      <c r="K4" s="227" t="inlineStr">
        <is>
          <t>https://bccps.gov.gy/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Haití</t>
        </is>
      </c>
      <c r="B2" s="227" t="inlineStr">
        <is>
          <t>Universidades públicas</t>
        </is>
      </c>
      <c r="C2" s="227" t="inlineStr">
        <is>
          <t>Universidad estatal</t>
        </is>
      </c>
      <c r="D2" s="227" t="inlineStr">
        <is>
          <t>Université d'État d'Haïti (UEH)</t>
        </is>
      </c>
      <c r="E2" s="227" t="n"/>
      <c r="F2" s="227" t="inlineStr">
        <is>
          <t>Rectorat / Vice-rectorat aux affaires académiques</t>
        </is>
      </c>
      <c r="G2" s="227" t="inlineStr">
        <is>
          <t>https://ueh.edu.ht/</t>
        </is>
      </c>
      <c r="H2" s="227" t="inlineStr">
        <is>
          <t>No disponible públicamente</t>
        </is>
      </c>
      <c r="I2" s="227" t="inlineStr">
        <is>
          <t>+509 2262 2000</t>
        </is>
      </c>
      <c r="J2" s="227" t="inlineStr">
        <is>
          <t>vraa@ueh.edu.ht / recteur@ueh.edu.ht</t>
        </is>
      </c>
      <c r="K2" s="227" t="inlineStr">
        <is>
          <t>https://admission.ueh.edu.ht/contacts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Secretaría General: secretaire.general@ueh.edu.ht (fuente Facebook).</t>
        </is>
      </c>
    </row>
    <row r="3">
      <c r="A3" s="227" t="inlineStr">
        <is>
          <t>Haití</t>
        </is>
      </c>
      <c r="B3" s="227" t="inlineStr">
        <is>
          <t>Formación técnica pública</t>
        </is>
      </c>
      <c r="C3" s="227" t="inlineStr">
        <is>
          <t>Instituto nacional de formación profesional</t>
        </is>
      </c>
      <c r="D3" s="227" t="inlineStr">
        <is>
          <t>Institut National de Formation Professionnelle (INFP)</t>
        </is>
      </c>
      <c r="E3" s="227" t="n"/>
      <c r="F3" s="227" t="inlineStr">
        <is>
          <t>Contacto institucional</t>
        </is>
      </c>
      <c r="G3" s="227" t="inlineStr">
        <is>
          <t>https://infp.gouv.ht/</t>
        </is>
      </c>
      <c r="H3" s="227" t="inlineStr">
        <is>
          <t>No disponible públicamente</t>
        </is>
      </c>
      <c r="I3" s="227" t="inlineStr">
        <is>
          <t>+509 3332 7070</t>
        </is>
      </c>
      <c r="J3" s="227" t="inlineStr">
        <is>
          <t>sgrh@infp.gouv.ht</t>
        </is>
      </c>
      <c r="K3" s="227" t="inlineStr">
        <is>
          <t>https://infp.gouv.ht/contact/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</t>
        </is>
      </c>
    </row>
    <row r="4">
      <c r="A4" s="227" t="inlineStr">
        <is>
          <t>Haití</t>
        </is>
      </c>
      <c r="B4" s="227" t="inlineStr">
        <is>
          <t>Asociaciones de seguridad social</t>
        </is>
      </c>
      <c r="C4" s="227" t="inlineStr">
        <is>
          <t>Pensiones (entidad pública)</t>
        </is>
      </c>
      <c r="D4" s="227" t="inlineStr">
        <is>
          <t>Office National d'Assurance-Vieillesse (ONA)</t>
        </is>
      </c>
      <c r="E4" s="227" t="n"/>
      <c r="F4" s="227" t="inlineStr">
        <is>
          <t>Direction de Communication et des Relations Publiques</t>
        </is>
      </c>
      <c r="G4" s="227" t="inlineStr">
        <is>
          <t>https://ona.ht/</t>
        </is>
      </c>
      <c r="H4" s="227" t="inlineStr">
        <is>
          <t>No disponible públicamente</t>
        </is>
      </c>
      <c r="I4" s="227" t="inlineStr">
        <is>
          <t>+509 2813 1644</t>
        </is>
      </c>
      <c r="J4" s="227" t="inlineStr">
        <is>
          <t>info@ona.ht / dcrp@ona.ht</t>
        </is>
      </c>
      <c r="K4" s="227" t="inlineStr">
        <is>
          <t>https://ona.ht/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</t>
        </is>
      </c>
    </row>
    <row r="5">
      <c r="A5" s="227" t="inlineStr">
        <is>
          <t>Haití</t>
        </is>
      </c>
      <c r="B5" s="227" t="inlineStr">
        <is>
          <t>Asociaciones de seguridad social</t>
        </is>
      </c>
      <c r="C5" s="227" t="inlineStr">
        <is>
          <t>Seguro accidentes/maternidad (entidad pública)</t>
        </is>
      </c>
      <c r="D5" s="227" t="inlineStr">
        <is>
          <t>Office d'Assurance Accidents du Travail, Maladie et Maternité (OFATMA)</t>
        </is>
      </c>
      <c r="E5" s="227" t="n"/>
      <c r="F5" s="227" t="inlineStr">
        <is>
          <t>Bureau central (Tabarre)</t>
        </is>
      </c>
      <c r="G5" s="227" t="inlineStr">
        <is>
          <t>https://www.ofatma.gouv.ht/</t>
        </is>
      </c>
      <c r="H5" s="227" t="inlineStr">
        <is>
          <t>No disponible públicamente</t>
        </is>
      </c>
      <c r="I5" s="227" t="inlineStr">
        <is>
          <t>No disponible públicamente</t>
        </is>
      </c>
      <c r="J5" s="227" t="inlineStr">
        <is>
          <t>No disponible públicamente</t>
        </is>
      </c>
      <c r="K5" s="227" t="inlineStr">
        <is>
          <t>https://www.ofatma.gouv.ht/index07e0-page-bureaux.html</t>
        </is>
      </c>
      <c r="L5" s="227" t="inlineStr">
        <is>
          <t>VERIFICAR</t>
        </is>
      </c>
      <c r="M5" s="227" t="inlineStr">
        <is>
          <t>Agregado auditoría 08-oct-2026. Sin correo publicado en fuente oficial; contactar por teléfono/web. Sin email publicado.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Jamaica</t>
        </is>
      </c>
      <c r="B2" s="227" t="inlineStr">
        <is>
          <t>Universidades públicas</t>
        </is>
      </c>
      <c r="C2" s="227" t="inlineStr">
        <is>
          <t>Universidad pública nacional</t>
        </is>
      </c>
      <c r="D2" s="227" t="inlineStr">
        <is>
          <t>University of Technology, Jamaica (UTech)</t>
        </is>
      </c>
      <c r="E2" s="227" t="n"/>
      <c r="F2" s="227" t="inlineStr">
        <is>
          <t>Office of the Registrar / Deputy President</t>
        </is>
      </c>
      <c r="G2" s="227" t="inlineStr">
        <is>
          <t>https://www.utech.edu.jm/</t>
        </is>
      </c>
      <c r="H2" s="227" t="inlineStr">
        <is>
          <t>Prof. Shermaine Barrett (Deputy President, Acting)</t>
        </is>
      </c>
      <c r="I2" s="227" t="inlineStr">
        <is>
          <t>+1 876 927 1680-8</t>
        </is>
      </c>
      <c r="J2" s="227" t="inlineStr">
        <is>
          <t>regist@utech.edu.jm</t>
        </is>
      </c>
      <c r="K2" s="227" t="inlineStr">
        <is>
          <t>https://utech-web-srv.utech.edu.jm/publications/studentHandbook/55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Sin correo directo del Deputy President.</t>
        </is>
      </c>
    </row>
    <row r="3">
      <c r="A3" s="227" t="inlineStr">
        <is>
          <t>Jamaica</t>
        </is>
      </c>
      <c r="B3" s="227" t="inlineStr">
        <is>
          <t>Formación técnica pública</t>
        </is>
      </c>
      <c r="C3" s="227" t="inlineStr">
        <is>
          <t>Agencia nacional de formación técnica</t>
        </is>
      </c>
      <c r="D3" s="227" t="inlineStr">
        <is>
          <t>HEART/NSTA Trust</t>
        </is>
      </c>
      <c r="E3" s="227" t="n"/>
      <c r="F3" s="227" t="inlineStr">
        <is>
          <t>Corporate Office</t>
        </is>
      </c>
      <c r="G3" s="227" t="inlineStr">
        <is>
          <t>https://www.heart-nsta.org/</t>
        </is>
      </c>
      <c r="H3" s="227" t="inlineStr">
        <is>
          <t>No disponible públicamente</t>
        </is>
      </c>
      <c r="I3" s="227" t="inlineStr">
        <is>
          <t>+1 876 994 3278</t>
        </is>
      </c>
      <c r="J3" s="227" t="inlineStr">
        <is>
          <t>info@heart-nsta.org</t>
        </is>
      </c>
      <c r="K3" s="227" t="inlineStr">
        <is>
          <t>https://www.heart-nsta.org/contact/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</t>
        </is>
      </c>
    </row>
    <row r="4">
      <c r="A4" s="227" t="inlineStr">
        <is>
          <t>Jamaica</t>
        </is>
      </c>
      <c r="B4" s="227" t="inlineStr">
        <is>
          <t>Organizaciones juveniles</t>
        </is>
      </c>
      <c r="C4" s="227" t="inlineStr">
        <is>
          <t>Consejo nacional de juventud</t>
        </is>
      </c>
      <c r="D4" s="227" t="inlineStr">
        <is>
          <t>National Youth Council of Jamaica</t>
        </is>
      </c>
      <c r="E4" s="227" t="n"/>
      <c r="F4" s="227" t="inlineStr">
        <is>
          <t>Youth and Adolescents Policy Division (MoEY)</t>
        </is>
      </c>
      <c r="G4" s="227" t="inlineStr">
        <is>
          <t>https://youthjamaica.gov.jm/</t>
        </is>
      </c>
      <c r="H4" s="227" t="inlineStr">
        <is>
          <t>No disponible públicamente</t>
        </is>
      </c>
      <c r="I4" s="227" t="inlineStr">
        <is>
          <t>+1 876 922 1400 ext. 6126</t>
        </is>
      </c>
      <c r="J4" s="227" t="inlineStr">
        <is>
          <t>No disponible públicamente</t>
        </is>
      </c>
      <c r="K4" s="227" t="inlineStr">
        <is>
          <t>https://youthjamaica.gov.jm/youth_programmes/national-youth-council-of-jamaica/</t>
        </is>
      </c>
      <c r="L4" s="227" t="inlineStr">
        <is>
          <t>VERIFICAR</t>
        </is>
      </c>
      <c r="M4" s="227" t="inlineStr">
        <is>
          <t>Agregado auditoría 08-oct-2026. Sin correo publicado en fuente oficial; contactar por teléfono/web. Email ofuscado en la fuente.</t>
        </is>
      </c>
    </row>
    <row r="5">
      <c r="A5" s="227" t="inlineStr">
        <is>
          <t>Jamaica</t>
        </is>
      </c>
      <c r="B5" s="227" t="inlineStr">
        <is>
          <t>Asociaciones de seguridad social</t>
        </is>
      </c>
      <c r="C5" s="227" t="inlineStr">
        <is>
          <t>Seguro social (entidad pública)</t>
        </is>
      </c>
      <c r="D5" s="227" t="inlineStr">
        <is>
          <t>National Insurance Scheme (NIS) – Ministry of Labour and Social Security</t>
        </is>
      </c>
      <c r="E5" s="227" t="n"/>
      <c r="F5" s="227" t="inlineStr">
        <is>
          <t>Kingston &amp; St. Andrew Parish Office</t>
        </is>
      </c>
      <c r="G5" s="227" t="inlineStr">
        <is>
          <t>https://mlss.gov.jm/</t>
        </is>
      </c>
      <c r="H5" s="227" t="inlineStr">
        <is>
          <t>No disponible públicamente</t>
        </is>
      </c>
      <c r="I5" s="227" t="inlineStr">
        <is>
          <t>+1 876 676 5710 / 929 7144</t>
        </is>
      </c>
      <c r="J5" s="227" t="inlineStr">
        <is>
          <t>No disponible públicamente</t>
        </is>
      </c>
      <c r="K5" s="227" t="inlineStr">
        <is>
          <t>https://mlss.gov.jm/contact-us-3/</t>
        </is>
      </c>
      <c r="L5" s="227" t="inlineStr">
        <is>
          <t>VERIFICAR</t>
        </is>
      </c>
      <c r="M5" s="227" t="inlineStr">
        <is>
          <t>Agregado auditoría 08-oct-2026. Sin correo publicado en fuente oficial; contactar por teléfono/web.</t>
        </is>
      </c>
    </row>
    <row r="6">
      <c r="A6" s="227" t="inlineStr">
        <is>
          <t>Jamaica</t>
        </is>
      </c>
      <c r="B6" s="227" t="inlineStr">
        <is>
          <t>Asociaciones de seguridad social</t>
        </is>
      </c>
      <c r="C6" s="227" t="inlineStr">
        <is>
          <t>Fondo de seguridad social</t>
        </is>
      </c>
      <c r="D6" s="227" t="inlineStr">
        <is>
          <t>National Insurance Fund (NIF)</t>
        </is>
      </c>
      <c r="E6" s="227" t="n"/>
      <c r="F6" s="227" t="inlineStr">
        <is>
          <t>Secretariat</t>
        </is>
      </c>
      <c r="G6" s="227" t="inlineStr">
        <is>
          <t>https://jis.gov.jm/government/agencies/national-insurance-fund-nif/</t>
        </is>
      </c>
      <c r="H6" s="227" t="inlineStr">
        <is>
          <t>No disponible públicamente</t>
        </is>
      </c>
      <c r="I6" s="227" t="inlineStr">
        <is>
          <t>+1 876 908 0020</t>
        </is>
      </c>
      <c r="J6" s="227" t="inlineStr">
        <is>
          <t>secretariat@nif.gov.jm</t>
        </is>
      </c>
      <c r="K6" s="227" t="inlineStr">
        <is>
          <t>https://jis.gov.jm/government/agencies/national-insurance-fund-nif/</t>
        </is>
      </c>
      <c r="L6" s="227" t="inlineStr">
        <is>
          <t>VERIFICAR</t>
        </is>
      </c>
      <c r="M6" s="227" t="inlineStr">
        <is>
          <t>Agregado auditoría 08-oct-2026. Correo de fuente institucional única; no reproducido en búsqueda independiente.</t>
        </is>
      </c>
    </row>
    <row r="7">
      <c r="A7" s="227" t="inlineStr">
        <is>
          <t>Jamaica</t>
        </is>
      </c>
      <c r="B7" s="227" t="inlineStr">
        <is>
          <t>Escuelas de gobierno y administración pública</t>
        </is>
      </c>
      <c r="C7" s="227" t="inlineStr">
        <is>
          <t>Escuela nacional de servicio público</t>
        </is>
      </c>
      <c r="D7" s="227" t="inlineStr">
        <is>
          <t>Management Institute for National Development (MIND)</t>
        </is>
      </c>
      <c r="E7" s="227" t="n"/>
      <c r="F7" s="227" t="inlineStr">
        <is>
          <t>Marketing / Registry</t>
        </is>
      </c>
      <c r="G7" s="227" t="inlineStr">
        <is>
          <t>https://mind.edu.jm/</t>
        </is>
      </c>
      <c r="H7" s="227" t="inlineStr">
        <is>
          <t>No disponible públicamente</t>
        </is>
      </c>
      <c r="I7" s="227" t="inlineStr">
        <is>
          <t>+1 876 927 1762</t>
        </is>
      </c>
      <c r="J7" s="227" t="inlineStr">
        <is>
          <t>marketing@mind.edu.jm</t>
        </is>
      </c>
      <c r="K7" s="227" t="inlineStr">
        <is>
          <t>https://mind.edu.jm/contact-us/</t>
        </is>
      </c>
      <c r="L7" s="227" t="inlineStr">
        <is>
          <t>VERIFICAR</t>
        </is>
      </c>
      <c r="M7" s="227" t="inlineStr">
        <is>
          <t>Agregado auditoría 08-oct-2026. Correo de fuente institucional única; no reproducido en búsqueda independiente.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Nicaragua</t>
        </is>
      </c>
      <c r="B2" s="227" t="inlineStr">
        <is>
          <t>Universidades públicas</t>
        </is>
      </c>
      <c r="C2" s="227" t="inlineStr">
        <is>
          <t>Universidad estatal</t>
        </is>
      </c>
      <c r="D2" s="227" t="inlineStr">
        <is>
          <t>Universidad Nacional Autónoma de Nicaragua, Managua (UNAN-Managua)</t>
        </is>
      </c>
      <c r="E2" s="227" t="n"/>
      <c r="F2" s="227" t="inlineStr">
        <is>
          <t>Rectorado (vía conmutador)</t>
        </is>
      </c>
      <c r="G2" s="227" t="inlineStr">
        <is>
          <t>https://www.unan.edu.ni/</t>
        </is>
      </c>
      <c r="H2" s="227" t="inlineStr">
        <is>
          <t>No disponible públicamente</t>
        </is>
      </c>
      <c r="I2" s="227" t="inlineStr">
        <is>
          <t>+505 2278 6764 / 2278 6769</t>
        </is>
      </c>
      <c r="J2" s="227" t="inlineStr">
        <is>
          <t>No disponible públicamente</t>
        </is>
      </c>
      <c r="K2" s="227" t="inlineStr">
        <is>
          <t>https://revistas.unan.edu.ni/index.php/rcs/en/information/authors</t>
        </is>
      </c>
      <c r="L2" s="227" t="inlineStr">
        <is>
          <t>VERIFICAR</t>
        </is>
      </c>
      <c r="M2" s="227" t="inlineStr">
        <is>
          <t>Agregado auditoría 08-oct-2026. Sin correo publicado en fuente oficial; contactar por teléfono/web. No publica correo de Secretaría General ni Vicerrectorías.</t>
        </is>
      </c>
    </row>
    <row r="3">
      <c r="A3" s="227" t="inlineStr">
        <is>
          <t>Nicaragua</t>
        </is>
      </c>
      <c r="B3" s="227" t="inlineStr">
        <is>
          <t>Universidades públicas</t>
        </is>
      </c>
      <c r="C3" s="227" t="inlineStr">
        <is>
          <t>Universidad estatal</t>
        </is>
      </c>
      <c r="D3" s="227" t="inlineStr">
        <is>
          <t>Universidad Nacional Autónoma de Nicaragua, León (UNAN-León)</t>
        </is>
      </c>
      <c r="E3" s="227" t="n"/>
      <c r="F3" s="227" t="inlineStr">
        <is>
          <t>Secretaría General / Rectoría</t>
        </is>
      </c>
      <c r="G3" s="227" t="inlineStr">
        <is>
          <t>https://www.unanleon.edu.ni/</t>
        </is>
      </c>
      <c r="H3" s="227" t="inlineStr">
        <is>
          <t>No disponible públicamente</t>
        </is>
      </c>
      <c r="I3" s="227" t="inlineStr">
        <is>
          <t>+505 2311 5013 (PBX) / 2311 4475 (Rectoría)</t>
        </is>
      </c>
      <c r="J3" s="227" t="inlineStr">
        <is>
          <t>rectoria@ac.unanleon.edu.ni</t>
        </is>
      </c>
      <c r="K3" s="227" t="inlineStr">
        <is>
          <t>https://www.unanleon.edu.ni/institucion/secretaria-general/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 Email de Rectoría de directorio de ~5 años.</t>
        </is>
      </c>
    </row>
    <row r="4">
      <c r="A4" s="227" t="inlineStr">
        <is>
          <t>Nicaragua</t>
        </is>
      </c>
      <c r="B4" s="227" t="inlineStr">
        <is>
          <t>Formación técnica pública</t>
        </is>
      </c>
      <c r="C4" s="227" t="inlineStr">
        <is>
          <t>Instituto nacional tecnológico</t>
        </is>
      </c>
      <c r="D4" s="227" t="inlineStr">
        <is>
          <t>Tecnológico Nacional (INATEC)</t>
        </is>
      </c>
      <c r="E4" s="227" t="n"/>
      <c r="F4" s="227" t="inlineStr">
        <is>
          <t>Planta Central</t>
        </is>
      </c>
      <c r="G4" s="227" t="inlineStr">
        <is>
          <t>https://www.tecnacional.edu.ni/</t>
        </is>
      </c>
      <c r="H4" s="227" t="inlineStr">
        <is>
          <t>No disponible públicamente</t>
        </is>
      </c>
      <c r="I4" s="227" t="inlineStr">
        <is>
          <t>+505 2253 8830</t>
        </is>
      </c>
      <c r="J4" s="227" t="inlineStr">
        <is>
          <t>info@inatec.edu.ni</t>
        </is>
      </c>
      <c r="K4" s="227" t="inlineStr">
        <is>
          <t>https://www.tecnacional.edu.ni/empresas/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 Email de directorio comercial.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Paraguay</t>
        </is>
      </c>
      <c r="B2" s="227" t="inlineStr">
        <is>
          <t>Universidades públicas</t>
        </is>
      </c>
      <c r="C2" s="227" t="inlineStr">
        <is>
          <t>Universidad Nacional</t>
        </is>
      </c>
      <c r="D2" s="227" t="inlineStr">
        <is>
          <t>Universidad Nacional de Asunción (UNA)</t>
        </is>
      </c>
      <c r="E2" s="227" t="n"/>
      <c r="F2" s="227" t="inlineStr">
        <is>
          <t>Secretaría General del Rectorado / Vicerrectorado</t>
        </is>
      </c>
      <c r="G2" s="227" t="inlineStr">
        <is>
          <t>https://www.una.py/</t>
        </is>
      </c>
      <c r="H2" s="227" t="inlineStr">
        <is>
          <t>Cristian David Cantero Aquino (Secretario General) / Miguel Wenceslao Torres Ñumbay (Vicerrector 2024-2029)</t>
        </is>
      </c>
      <c r="I2" s="227" t="inlineStr">
        <is>
          <t>+595 21 328 5380</t>
        </is>
      </c>
      <c r="J2" s="227" t="inlineStr">
        <is>
          <t>sgeneral@rec.una.py / ccantero@rec.una.py</t>
        </is>
      </c>
      <c r="K2" s="227" t="inlineStr">
        <is>
          <t>https://www.una.py/la-universidad/directores-del-rectorado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Vicerrector según nota de asunción de autoridades 2024 (uni.edu.py).</t>
        </is>
      </c>
    </row>
    <row r="3">
      <c r="A3" s="227" t="inlineStr">
        <is>
          <t>Paraguay</t>
        </is>
      </c>
      <c r="B3" s="227" t="inlineStr">
        <is>
          <t>Universidades públicas</t>
        </is>
      </c>
      <c r="C3" s="227" t="inlineStr">
        <is>
          <t>Universidad Nacional</t>
        </is>
      </c>
      <c r="D3" s="227" t="inlineStr">
        <is>
          <t>Universidad Nacional del Este (UNE)</t>
        </is>
      </c>
      <c r="E3" s="227" t="n"/>
      <c r="F3" s="227" t="inlineStr">
        <is>
          <t>Rectorado / Vicerrectorado</t>
        </is>
      </c>
      <c r="G3" s="227" t="inlineStr">
        <is>
          <t>https://www.une.edu.py/</t>
        </is>
      </c>
      <c r="H3" s="227" t="inlineStr">
        <is>
          <t>Carlos Alberto Mercado Rotela (Vicerrector)</t>
        </is>
      </c>
      <c r="I3" s="227" t="inlineStr">
        <is>
          <t>+595 61 575478 / 575480</t>
        </is>
      </c>
      <c r="J3" s="227" t="inlineStr">
        <is>
          <t>rectorado@une.edu.py</t>
        </is>
      </c>
      <c r="K3" s="227" t="inlineStr">
        <is>
          <t>https://www.une.edu.py/web/index.php/contacto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 Vicerrectorado sin correo propio; solicitar derivación vía Rectorado.</t>
        </is>
      </c>
    </row>
    <row r="4">
      <c r="A4" s="227" t="inlineStr">
        <is>
          <t>Paraguay</t>
        </is>
      </c>
      <c r="B4" s="227" t="inlineStr">
        <is>
          <t>Universidades públicas</t>
        </is>
      </c>
      <c r="C4" s="227" t="inlineStr">
        <is>
          <t>Universidad Nacional</t>
        </is>
      </c>
      <c r="D4" s="227" t="inlineStr">
        <is>
          <t>Universidad Nacional de Itapúa (UNI)</t>
        </is>
      </c>
      <c r="E4" s="227" t="n"/>
      <c r="F4" s="227" t="inlineStr">
        <is>
          <t>Secretaría General</t>
        </is>
      </c>
      <c r="G4" s="227" t="inlineStr">
        <is>
          <t>https://uni.edu.py/</t>
        </is>
      </c>
      <c r="H4" s="227" t="inlineStr">
        <is>
          <t>Prof. Dra. Nelly Monges de Insfrán (Vicerrectora 2023-2028)</t>
        </is>
      </c>
      <c r="I4" s="227" t="inlineStr">
        <is>
          <t>+595 71 206990 / +595 986 668545</t>
        </is>
      </c>
      <c r="J4" s="227" t="inlineStr">
        <is>
          <t>secgral@uni.edu.py</t>
        </is>
      </c>
      <c r="K4" s="227" t="inlineStr">
        <is>
          <t>https://uni.edu.py/contactos/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 Vicerrectora según https://uni.edu.py/autoridades/</t>
        </is>
      </c>
    </row>
    <row r="5">
      <c r="A5" s="227" t="inlineStr">
        <is>
          <t>Paraguay</t>
        </is>
      </c>
      <c r="B5" s="227" t="inlineStr">
        <is>
          <t>Universidades públicas</t>
        </is>
      </c>
      <c r="C5" s="227" t="inlineStr">
        <is>
          <t>Universidad Nacional</t>
        </is>
      </c>
      <c r="D5" s="227" t="inlineStr">
        <is>
          <t>Universidad Nacional de Villarrica del Espíritu Santo (UNVES)</t>
        </is>
      </c>
      <c r="E5" s="227" t="n"/>
      <c r="F5" s="227" t="inlineStr">
        <is>
          <t>Rectorado / Secretaría General</t>
        </is>
      </c>
      <c r="G5" s="227" t="inlineStr">
        <is>
          <t>https://unves.edu.py/</t>
        </is>
      </c>
      <c r="H5" s="227" t="inlineStr">
        <is>
          <t>Mst. Evangelina Cristaldo Denis (Secretaria General) / Prof. Dra. Alba María González López (Vicerrectora)</t>
        </is>
      </c>
      <c r="I5" s="227" t="inlineStr">
        <is>
          <t>+595 541 44535</t>
        </is>
      </c>
      <c r="J5" s="227" t="inlineStr">
        <is>
          <t>rectorado@unves.edu.py</t>
        </is>
      </c>
      <c r="K5" s="227" t="inlineStr">
        <is>
          <t>https://unves.edu.py/institucional/direcciones/secretaria-general</t>
        </is>
      </c>
      <c r="L5" s="227" t="inlineStr">
        <is>
          <t>VERIFICAR</t>
        </is>
      </c>
      <c r="M5" s="227" t="inlineStr">
        <is>
          <t>Agregado auditoría 08-oct-2026. Correo de fuente institucional única; no reproducido en búsqueda independiente.</t>
        </is>
      </c>
    </row>
    <row r="6">
      <c r="A6" s="227" t="inlineStr">
        <is>
          <t>Paraguay</t>
        </is>
      </c>
      <c r="B6" s="227" t="inlineStr">
        <is>
          <t>Universidades públicas</t>
        </is>
      </c>
      <c r="C6" s="227" t="inlineStr">
        <is>
          <t>Universidad Nacional</t>
        </is>
      </c>
      <c r="D6" s="227" t="inlineStr">
        <is>
          <t>Universidad Nacional de Pilar (UNP)</t>
        </is>
      </c>
      <c r="E6" s="227" t="n"/>
      <c r="F6" s="227" t="inlineStr">
        <is>
          <t>Rectorado</t>
        </is>
      </c>
      <c r="G6" s="227" t="inlineStr">
        <is>
          <t>https://unp.edu.py/</t>
        </is>
      </c>
      <c r="H6" s="227" t="inlineStr">
        <is>
          <t>Prof. Dra. Gladys Emilce Brítez Caballero (Vicerrectora) / Abg. Wilfrido Gustavo Benítez Medina (Secretario General)</t>
        </is>
      </c>
      <c r="I6" s="227" t="inlineStr">
        <is>
          <t>+595 786 232148 / 232511</t>
        </is>
      </c>
      <c r="J6" s="227" t="inlineStr">
        <is>
          <t>rectorado@unp.edu.py</t>
        </is>
      </c>
      <c r="K6" s="227" t="inlineStr">
        <is>
          <t>https://unp.edu.py/autoridades-unp/</t>
        </is>
      </c>
      <c r="L6" s="227" t="inlineStr">
        <is>
          <t>VERIFICAR</t>
        </is>
      </c>
      <c r="M6" s="227" t="inlineStr">
        <is>
          <t>Agregado auditoría 08-oct-2026. Correo de fuente institucional única; no reproducido en búsqueda independiente. Página de autoridades con ~1,5 años sin actualizar.</t>
        </is>
      </c>
    </row>
    <row r="7">
      <c r="A7" s="227" t="inlineStr">
        <is>
          <t>Paraguay</t>
        </is>
      </c>
      <c r="B7" s="227" t="inlineStr">
        <is>
          <t>Universidades públicas</t>
        </is>
      </c>
      <c r="C7" s="227" t="inlineStr">
        <is>
          <t>Universidad Nacional</t>
        </is>
      </c>
      <c r="D7" s="227" t="inlineStr">
        <is>
          <t>Universidad Nacional de Caaguazú (UNCA)</t>
        </is>
      </c>
      <c r="E7" s="227" t="n"/>
      <c r="F7" s="227" t="inlineStr">
        <is>
          <t>Contacto institucional (Secretaría General vía conmutador)</t>
        </is>
      </c>
      <c r="G7" s="227" t="inlineStr">
        <is>
          <t>https://www.unca.edu.py/</t>
        </is>
      </c>
      <c r="H7" s="227" t="inlineStr">
        <is>
          <t>No disponible públicamente</t>
        </is>
      </c>
      <c r="I7" s="227" t="inlineStr">
        <is>
          <t>+595 521 204666</t>
        </is>
      </c>
      <c r="J7" s="227" t="inlineStr">
        <is>
          <t>info@unca.edu.py</t>
        </is>
      </c>
      <c r="K7" s="227" t="inlineStr">
        <is>
          <t>https://www.unca.edu.py/?page_id=1089</t>
        </is>
      </c>
      <c r="L7" s="227" t="inlineStr">
        <is>
          <t>VERIFICAR</t>
        </is>
      </c>
      <c r="M7" s="227" t="inlineStr">
        <is>
          <t>Agregado auditoría 08-oct-2026. Correo de fuente institucional única; no reproducido en búsqueda independiente. No publica correo de Vicerrectorado ni Secretaría General.</t>
        </is>
      </c>
    </row>
    <row r="8">
      <c r="A8" s="227" t="inlineStr">
        <is>
          <t>Paraguay</t>
        </is>
      </c>
      <c r="B8" s="227" t="inlineStr">
        <is>
          <t>Formación técnica pública</t>
        </is>
      </c>
      <c r="C8" s="227" t="inlineStr">
        <is>
          <t>Servicio nacional de formación profesional</t>
        </is>
      </c>
      <c r="D8" s="227" t="inlineStr">
        <is>
          <t>Servicio Nacional de Promoción Profesional (SNPP)</t>
        </is>
      </c>
      <c r="E8" s="227" t="n"/>
      <c r="F8" s="227" t="inlineStr">
        <is>
          <t>Secretaría General</t>
        </is>
      </c>
      <c r="G8" s="227" t="inlineStr">
        <is>
          <t>https://www.snpp.edu.py/</t>
        </is>
      </c>
      <c r="H8" s="227" t="inlineStr">
        <is>
          <t>José Cogliolo (Director General)</t>
        </is>
      </c>
      <c r="I8" s="227" t="inlineStr">
        <is>
          <t>+595 981 200015</t>
        </is>
      </c>
      <c r="J8" s="227" t="inlineStr">
        <is>
          <t>secretaria.general@snpp.edu.py</t>
        </is>
      </c>
      <c r="K8" s="227" t="inlineStr">
        <is>
          <t>https://snpp.edu.py/index.php?Itemid=529&amp;id=11212&amp;lang=es&amp;option=com_content&amp;view=article</t>
        </is>
      </c>
      <c r="L8" s="227" t="inlineStr">
        <is>
          <t>VERIFICAR</t>
        </is>
      </c>
      <c r="M8" s="227" t="inlineStr">
        <is>
          <t>Agregado auditoría 08-oct-2026. Correo de fuente institucional única; no reproducido en búsqueda independiente. Director según portada del sitio (~1 año).</t>
        </is>
      </c>
    </row>
    <row r="9">
      <c r="A9" s="227" t="inlineStr">
        <is>
          <t>Paraguay</t>
        </is>
      </c>
      <c r="B9" s="227" t="inlineStr">
        <is>
          <t>Formación técnica pública</t>
        </is>
      </c>
      <c r="C9" s="227" t="inlineStr">
        <is>
          <t>Sistema nacional de capacitación laboral</t>
        </is>
      </c>
      <c r="D9" s="227" t="inlineStr">
        <is>
          <t>Sistema Nacional de Formación y Capacitación Laboral (SINAFOCAL)</t>
        </is>
      </c>
      <c r="E9" s="227" t="n"/>
      <c r="F9" s="227" t="inlineStr">
        <is>
          <t>Contacto institucional</t>
        </is>
      </c>
      <c r="G9" s="227" t="inlineStr">
        <is>
          <t>https://sinafocal.gov.py/</t>
        </is>
      </c>
      <c r="H9" s="227" t="inlineStr">
        <is>
          <t>No disponible públicamente</t>
        </is>
      </c>
      <c r="I9" s="227" t="inlineStr">
        <is>
          <t>+595 21 495487 / 495488</t>
        </is>
      </c>
      <c r="J9" s="227" t="inlineStr">
        <is>
          <t>info@sinafocal.gov.py</t>
        </is>
      </c>
      <c r="K9" s="227" t="inlineStr">
        <is>
          <t>https://sinafocal.gov.py/</t>
        </is>
      </c>
      <c r="L9" s="227" t="inlineStr">
        <is>
          <t>VERIFICAR</t>
        </is>
      </c>
      <c r="M9" s="227" t="inlineStr">
        <is>
          <t>Agregado auditoría 08-oct-2026. Correo de fuente institucional única; no reproducido en búsqueda independiente.</t>
        </is>
      </c>
    </row>
    <row r="10">
      <c r="A10" s="227" t="inlineStr">
        <is>
          <t>Paraguay</t>
        </is>
      </c>
      <c r="B10" s="227" t="inlineStr">
        <is>
          <t>Organizaciones juveniles</t>
        </is>
      </c>
      <c r="C10" s="227" t="inlineStr">
        <is>
          <t>Organismo público de juventud</t>
        </is>
      </c>
      <c r="D10" s="227" t="inlineStr">
        <is>
          <t>Secretaría Nacional de la Juventud (SNJ)</t>
        </is>
      </c>
      <c r="E10" s="227" t="n"/>
      <c r="F10" s="227" t="inlineStr">
        <is>
          <t>Recepción / Mesa de entrada</t>
        </is>
      </c>
      <c r="G10" s="227" t="inlineStr">
        <is>
          <t>https://snj.gov.py/</t>
        </is>
      </c>
      <c r="H10" s="227" t="inlineStr">
        <is>
          <t>Salma Agüero (Ministra)</t>
        </is>
      </c>
      <c r="I10" s="227" t="inlineStr">
        <is>
          <t>+595 21 729 0022</t>
        </is>
      </c>
      <c r="J10" s="227" t="inlineStr">
        <is>
          <t>recepcion@juventud.gov.py</t>
        </is>
      </c>
      <c r="K10" s="227" t="inlineStr">
        <is>
          <t>https://www.2022.juventud.gov.py/contacto</t>
        </is>
      </c>
      <c r="L10" s="227" t="inlineStr">
        <is>
          <t>VERIFICAR</t>
        </is>
      </c>
      <c r="M10" s="227" t="inlineStr">
        <is>
          <t>Agregado auditoría 08-oct-2026. Correo de fuente institucional única; no reproducido en búsqueda independiente. Otra página SNJ indica recepcion@snj.gov.py; confirmar dominio vigente.</t>
        </is>
      </c>
    </row>
    <row r="11">
      <c r="A11" s="227" t="inlineStr">
        <is>
          <t>Paraguay</t>
        </is>
      </c>
      <c r="B11" s="227" t="inlineStr">
        <is>
          <t>Organizaciones juveniles</t>
        </is>
      </c>
      <c r="C11" s="227" t="inlineStr">
        <is>
          <t>Movimiento juvenil (sociedad civil)</t>
        </is>
      </c>
      <c r="D11" s="227" t="inlineStr">
        <is>
          <t>Asociación de Scouts del Paraguay (ASP)</t>
        </is>
      </c>
      <c r="E11" s="227" t="n"/>
      <c r="F11" s="227" t="inlineStr">
        <is>
          <t>Secretaría / Jefatura Scout Nacional</t>
        </is>
      </c>
      <c r="G11" s="227" t="inlineStr">
        <is>
          <t>https://scouts.org.py/</t>
        </is>
      </c>
      <c r="H11" s="227" t="inlineStr">
        <is>
          <t>Roxana Sánchez (Jefa Scout Nacional y Directora Ejecutiva)</t>
        </is>
      </c>
      <c r="I11" s="227" t="inlineStr">
        <is>
          <t>+595 983 202975 / +595 21 511356</t>
        </is>
      </c>
      <c r="J11" s="227" t="inlineStr">
        <is>
          <t>secretaria@scouts.org.py / hola@scouts.org.py</t>
        </is>
      </c>
      <c r="K11" s="227" t="inlineStr">
        <is>
          <t>https://scouts.org.py/contacto/</t>
        </is>
      </c>
      <c r="L11" s="227" t="inlineStr">
        <is>
          <t>VERIFICAR</t>
        </is>
      </c>
      <c r="M11" s="227" t="inlineStr">
        <is>
          <t>Agregado auditoría 08-oct-2026. Correo de fuente institucional única; no reproducido en búsqueda independiente.</t>
        </is>
      </c>
    </row>
    <row r="12">
      <c r="A12" s="227" t="inlineStr">
        <is>
          <t>Paraguay</t>
        </is>
      </c>
      <c r="B12" s="227" t="inlineStr">
        <is>
          <t>Asociaciones de seguridad social</t>
        </is>
      </c>
      <c r="C12" s="227" t="inlineStr">
        <is>
          <t>Seguro social (entidad pública)</t>
        </is>
      </c>
      <c r="D12" s="227" t="inlineStr">
        <is>
          <t>Instituto de Previsión Social (IPS)</t>
        </is>
      </c>
      <c r="E12" s="227" t="n"/>
      <c r="F12" s="227" t="inlineStr">
        <is>
          <t>Secretaría General – Mesa de Entrada</t>
        </is>
      </c>
      <c r="G12" s="227" t="inlineStr">
        <is>
          <t>https://portal.ips.gov.py/</t>
        </is>
      </c>
      <c r="H12" s="227" t="inlineStr">
        <is>
          <t>No disponible públicamente</t>
        </is>
      </c>
      <c r="I12" s="227" t="inlineStr">
        <is>
          <t>+595 21 219 7000</t>
        </is>
      </c>
      <c r="J12" s="227" t="inlineStr">
        <is>
          <t>sg-mesadeentrada@ips.gov.py</t>
        </is>
      </c>
      <c r="K12" s="227" t="inlineStr">
        <is>
          <t>https://portal.ips.gov.py/sistemas/ipsportal/comunicado.php?cod=165</t>
        </is>
      </c>
      <c r="L12" s="227" t="inlineStr">
        <is>
          <t>VERIFICAR</t>
        </is>
      </c>
      <c r="M12" s="227" t="inlineStr">
        <is>
          <t>Agregado auditoría 08-oct-2026. Correo de fuente institucional única; no reproducido en búsqueda independiente. Correo de comunicado SG N°03/2020.</t>
        </is>
      </c>
    </row>
    <row r="13">
      <c r="A13" s="227" t="inlineStr">
        <is>
          <t>Paraguay</t>
        </is>
      </c>
      <c r="B13" s="227" t="inlineStr">
        <is>
          <t>Asociaciones de seguridad social</t>
        </is>
      </c>
      <c r="C13" s="227" t="inlineStr">
        <is>
          <t>Caja de jubilaciones (entidad pública)</t>
        </is>
      </c>
      <c r="D13" s="227" t="inlineStr">
        <is>
          <t>Caja de Jubilaciones y Pensiones del Personal de Bancos y Afines (Caja Bancaria)</t>
        </is>
      </c>
      <c r="E13" s="227" t="n"/>
      <c r="F13" s="227" t="inlineStr">
        <is>
          <t>Call Center / contacto institucional</t>
        </is>
      </c>
      <c r="G13" s="227" t="inlineStr">
        <is>
          <t>https://www.cajabancaria.gov.py/</t>
        </is>
      </c>
      <c r="H13" s="227" t="inlineStr">
        <is>
          <t>No disponible públicamente</t>
        </is>
      </c>
      <c r="I13" s="227" t="inlineStr">
        <is>
          <t>+595 21 439 7000 / WhatsApp +595 981 608608</t>
        </is>
      </c>
      <c r="J13" s="227" t="inlineStr">
        <is>
          <t>contacto@cajabancaria.gov.py</t>
        </is>
      </c>
      <c r="K13" s="227" t="inlineStr">
        <is>
          <t>https://www.cajabancaria.gov.py/v4/index.php/menu-contactos</t>
        </is>
      </c>
      <c r="L13" s="227" t="inlineStr">
        <is>
          <t>VERIFICAR</t>
        </is>
      </c>
      <c r="M13" s="227" t="inlineStr">
        <is>
          <t>Agregado auditoría 08-oct-2026. Correo de fuente institucional única; no reproducido en búsqueda independiente. Correo tomado de ficha de Facebook.</t>
        </is>
      </c>
    </row>
    <row r="14">
      <c r="A14" s="227" t="inlineStr">
        <is>
          <t>Paraguay</t>
        </is>
      </c>
      <c r="B14" s="227" t="inlineStr">
        <is>
          <t>Escuelas de gobierno y administración pública</t>
        </is>
      </c>
      <c r="C14" s="227" t="inlineStr">
        <is>
          <t>Instituto nacional de administración pública</t>
        </is>
      </c>
      <c r="D14" s="227" t="inlineStr">
        <is>
          <t>Instituto Nacional de Administración Pública del Paraguay (INAPP) – MEF</t>
        </is>
      </c>
      <c r="E14" s="227" t="n"/>
      <c r="F14" s="227" t="inlineStr">
        <is>
          <t>INAPP</t>
        </is>
      </c>
      <c r="G14" s="227" t="inlineStr">
        <is>
          <t>https://www.mef.gov.py/es/dependencias/viceministerio-de-capital-humano-y-gestion-organizacional/inapp</t>
        </is>
      </c>
      <c r="H14" s="227" t="inlineStr">
        <is>
          <t>No disponible públicamente</t>
        </is>
      </c>
      <c r="I14" s="227" t="inlineStr">
        <is>
          <t>+595 21 440 007</t>
        </is>
      </c>
      <c r="J14" s="227" t="inlineStr">
        <is>
          <t>inapp@mef.gov.py</t>
        </is>
      </c>
      <c r="K14" s="227" t="inlineStr">
        <is>
          <t>https://www.mef.gov.py/es/dependencias/viceministerio-de-capital-humano-y-gestion-organizacional/inapp</t>
        </is>
      </c>
      <c r="L14" s="227" t="inlineStr">
        <is>
          <t>VERIFICAR</t>
        </is>
      </c>
      <c r="M14" s="227" t="inlineStr">
        <is>
          <t>Agregado auditoría 08-oct-2026. Correo de fuente institucional única; no reproducido en búsqueda independiente. Correo citado por Ministerio de la Mujer (curso INAPP).</t>
        </is>
      </c>
    </row>
    <row r="15">
      <c r="A15" s="227" t="inlineStr">
        <is>
          <t>Paraguay</t>
        </is>
      </c>
      <c r="B15" s="227" t="inlineStr">
        <is>
          <t>Sindicatos y confederaciones de trabajadores</t>
        </is>
      </c>
      <c r="C15" s="227" t="inlineStr">
        <is>
          <t>Central sindical</t>
        </is>
      </c>
      <c r="D15" s="227" t="inlineStr">
        <is>
          <t>Central Unitaria de Trabajadores Auténtica (CUT-A)</t>
        </is>
      </c>
      <c r="E15" s="227" t="n"/>
      <c r="F15" s="227" t="inlineStr">
        <is>
          <t>Sede central</t>
        </is>
      </c>
      <c r="G15" s="227" t="inlineStr">
        <is>
          <t>https://cutautentica.org.py/</t>
        </is>
      </c>
      <c r="H15" s="227" t="inlineStr">
        <is>
          <t>No disponible públicamente</t>
        </is>
      </c>
      <c r="I15" s="227" t="inlineStr">
        <is>
          <t>+595 21 451212</t>
        </is>
      </c>
      <c r="J15" s="227" t="inlineStr">
        <is>
          <t>cutautentica@hotmail.com</t>
        </is>
      </c>
      <c r="K15" s="227" t="inlineStr">
        <is>
          <t>https://cutautentica.org.py/</t>
        </is>
      </c>
      <c r="L15" s="227" t="inlineStr">
        <is>
          <t>VERIFICAR</t>
        </is>
      </c>
      <c r="M15" s="227" t="inlineStr">
        <is>
          <t>Agregado auditoría 08-oct-2026. Correo de fuente institucional única; no reproducido en búsqueda independiente. Email no institucional; otra fuente indica info@cuta.org.py.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República Dominicana</t>
        </is>
      </c>
      <c r="B2" s="227" t="inlineStr">
        <is>
          <t>Universidades públicas</t>
        </is>
      </c>
      <c r="C2" s="227" t="inlineStr">
        <is>
          <t>Universidad estatal</t>
        </is>
      </c>
      <c r="D2" s="227" t="inlineStr">
        <is>
          <t>Universidad Autónoma de Santo Domingo (UASD)</t>
        </is>
      </c>
      <c r="E2" s="227" t="n"/>
      <c r="F2" s="227" t="inlineStr">
        <is>
          <t>Secretaría General / Vicerrectoría Docente</t>
        </is>
      </c>
      <c r="G2" s="227" t="inlineStr">
        <is>
          <t>https://uasd.edu.do/</t>
        </is>
      </c>
      <c r="H2" s="227" t="inlineStr">
        <is>
          <t>No disponible públicamente</t>
        </is>
      </c>
      <c r="I2" s="227" t="inlineStr">
        <is>
          <t>+1 809 535 8273 ext. 3005 (Secretaría General)</t>
        </is>
      </c>
      <c r="J2" s="227" t="inlineStr">
        <is>
          <t>secretaria@uasd.edu.do</t>
        </is>
      </c>
      <c r="K2" s="227" t="inlineStr">
        <is>
          <t>https://uasd.edu.do/secretaria-general/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Email y extensión de directorio 2012; confirmar con conmutador.</t>
        </is>
      </c>
    </row>
    <row r="3">
      <c r="A3" s="227" t="inlineStr">
        <is>
          <t>República Dominicana</t>
        </is>
      </c>
      <c r="B3" s="227" t="inlineStr">
        <is>
          <t>Universidades públicas</t>
        </is>
      </c>
      <c r="C3" s="227" t="inlineStr">
        <is>
          <t>Instituto superior estatal (formación docente)</t>
        </is>
      </c>
      <c r="D3" s="227" t="inlineStr">
        <is>
          <t>Instituto Superior de Formación Docente Salomé Ureña (ISFODOSU)</t>
        </is>
      </c>
      <c r="E3" s="227" t="n"/>
      <c r="F3" s="227" t="inlineStr">
        <is>
          <t>Rectoría / Vicerrectoría Académica</t>
        </is>
      </c>
      <c r="G3" s="227" t="inlineStr">
        <is>
          <t>https://isfodosu.edu.do/</t>
        </is>
      </c>
      <c r="H3" s="227" t="inlineStr">
        <is>
          <t>No disponible públicamente (proceso de elección de rector 2026-2030)</t>
        </is>
      </c>
      <c r="I3" s="227" t="inlineStr">
        <is>
          <t>+1 809 482 3797</t>
        </is>
      </c>
      <c r="J3" s="227" t="inlineStr">
        <is>
          <t>No disponible públicamente</t>
        </is>
      </c>
      <c r="K3" s="227" t="inlineStr">
        <is>
          <t>https://publicaciones.isfodosu.edu.do/index.php/publicacionesisfodosu/catalog/view/187/239/928-1</t>
        </is>
      </c>
      <c r="L3" s="227" t="inlineStr">
        <is>
          <t>VERIFICAR</t>
        </is>
      </c>
      <c r="M3" s="227" t="inlineStr">
        <is>
          <t>Agregado auditoría 08-oct-2026. Sin correo publicado en fuente oficial; contactar por teléfono/web. Solo se halló investigacionrect@isfodosu.edu.do (Vicerrectoría de Investigación).</t>
        </is>
      </c>
    </row>
    <row r="4">
      <c r="A4" s="227" t="inlineStr">
        <is>
          <t>República Dominicana</t>
        </is>
      </c>
      <c r="B4" s="227" t="inlineStr">
        <is>
          <t>Formación técnica pública</t>
        </is>
      </c>
      <c r="C4" s="227" t="inlineStr">
        <is>
          <t>Instituto nacional de formación técnico profesional</t>
        </is>
      </c>
      <c r="D4" s="227" t="inlineStr">
        <is>
          <t>Instituto Nacional de Formación Técnico Profesional (INFOTEP)</t>
        </is>
      </c>
      <c r="E4" s="227" t="n"/>
      <c r="F4" s="227" t="inlineStr">
        <is>
          <t>Contacto institucional</t>
        </is>
      </c>
      <c r="G4" s="227" t="inlineStr">
        <is>
          <t>https://www.infotep.gob.do/</t>
        </is>
      </c>
      <c r="H4" s="227" t="inlineStr">
        <is>
          <t>No disponible públicamente</t>
        </is>
      </c>
      <c r="I4" s="227" t="inlineStr">
        <is>
          <t>+1 809 566 4161</t>
        </is>
      </c>
      <c r="J4" s="227" t="inlineStr">
        <is>
          <t>contacto@infotep.gob.do</t>
        </is>
      </c>
      <c r="K4" s="227" t="inlineStr">
        <is>
          <t>https://map.gob.do/COEDOM/Home/CreatePdf/112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 Directorio estatal sin fecha.</t>
        </is>
      </c>
    </row>
    <row r="5">
      <c r="A5" s="227" t="inlineStr">
        <is>
          <t>República Dominicana</t>
        </is>
      </c>
      <c r="B5" s="227" t="inlineStr">
        <is>
          <t>Formación técnica pública</t>
        </is>
      </c>
      <c r="C5" s="227" t="inlineStr">
        <is>
          <t>Instituto técnico superior estatal</t>
        </is>
      </c>
      <c r="D5" s="227" t="inlineStr">
        <is>
          <t>Instituto Tecnológico de Las Américas (ITLA)</t>
        </is>
      </c>
      <c r="E5" s="227" t="n"/>
      <c r="F5" s="227" t="inlineStr">
        <is>
          <t>Rectoría (vía contacto general)</t>
        </is>
      </c>
      <c r="G5" s="227" t="inlineStr">
        <is>
          <t>https://www.itla.edu.do/</t>
        </is>
      </c>
      <c r="H5" s="227" t="inlineStr">
        <is>
          <t>Ing. Jimmy Rosario Bernard (Rector, Decreto 65-26)</t>
        </is>
      </c>
      <c r="I5" s="227" t="inlineStr">
        <is>
          <t>+1 809 738 4852</t>
        </is>
      </c>
      <c r="J5" s="227" t="inlineStr">
        <is>
          <t>info@itla.edu.do</t>
        </is>
      </c>
      <c r="K5" s="227" t="inlineStr">
        <is>
          <t>https://map.gob.do/COEDOM/Home/CreatePdf/274</t>
        </is>
      </c>
      <c r="L5" s="227" t="inlineStr">
        <is>
          <t>VERIFICAR</t>
        </is>
      </c>
      <c r="M5" s="227" t="inlineStr">
        <is>
          <t>Agregado auditoría 08-oct-2026. Correo de fuente institucional única; no reproducido en búsqueda independiente.</t>
        </is>
      </c>
    </row>
    <row r="6">
      <c r="A6" s="227" t="inlineStr">
        <is>
          <t>República Dominicana</t>
        </is>
      </c>
      <c r="B6" s="227" t="inlineStr">
        <is>
          <t>Organizaciones juveniles</t>
        </is>
      </c>
      <c r="C6" s="227" t="inlineStr">
        <is>
          <t>Organismo público de juventud</t>
        </is>
      </c>
      <c r="D6" s="227" t="inlineStr">
        <is>
          <t>Ministerio de la Juventud</t>
        </is>
      </c>
      <c r="E6" s="227" t="n"/>
      <c r="F6" s="227" t="inlineStr">
        <is>
          <t>Contacto institucional</t>
        </is>
      </c>
      <c r="G6" s="227" t="inlineStr">
        <is>
          <t>https://juventud.gob.do/</t>
        </is>
      </c>
      <c r="H6" s="227" t="inlineStr">
        <is>
          <t>No disponible públicamente</t>
        </is>
      </c>
      <c r="I6" s="227" t="inlineStr">
        <is>
          <t>+1 809 508 7227</t>
        </is>
      </c>
      <c r="J6" s="227" t="inlineStr">
        <is>
          <t>info@juventud.gob.do</t>
        </is>
      </c>
      <c r="K6" s="227" t="inlineStr">
        <is>
          <t>https://map.gob.do/COEDOM/Home/CreatePdf/139</t>
        </is>
      </c>
      <c r="L6" s="227" t="inlineStr">
        <is>
          <t>VERIFICAR</t>
        </is>
      </c>
      <c r="M6" s="227" t="inlineStr">
        <is>
          <t>Agregado auditoría 08-oct-2026. Correo de fuente institucional única; no reproducido en búsqueda independiente.</t>
        </is>
      </c>
    </row>
    <row r="7">
      <c r="A7" s="227" t="inlineStr">
        <is>
          <t>República Dominicana</t>
        </is>
      </c>
      <c r="B7" s="227" t="inlineStr">
        <is>
          <t>Asociaciones de seguridad social</t>
        </is>
      </c>
      <c r="C7" s="227" t="inlineStr">
        <is>
          <t>Órgano rector de seguridad social</t>
        </is>
      </c>
      <c r="D7" s="227" t="inlineStr">
        <is>
          <t>Consejo Nacional de Seguridad Social (CNSS)</t>
        </is>
      </c>
      <c r="E7" s="227" t="n"/>
      <c r="F7" s="227" t="inlineStr">
        <is>
          <t>Contacto institucional</t>
        </is>
      </c>
      <c r="G7" s="227" t="inlineStr">
        <is>
          <t>https://www.cnss.gob.do/</t>
        </is>
      </c>
      <c r="H7" s="227" t="inlineStr">
        <is>
          <t>No disponible públicamente</t>
        </is>
      </c>
      <c r="I7" s="227" t="inlineStr">
        <is>
          <t>+1 809 472 8701 / 809 200 0550</t>
        </is>
      </c>
      <c r="J7" s="227" t="inlineStr">
        <is>
          <t>No disponible públicamente</t>
        </is>
      </c>
      <c r="K7" s="227" t="inlineStr">
        <is>
          <t>https://www.cnss.gob.do/index.php/contacto</t>
        </is>
      </c>
      <c r="L7" s="227" t="inlineStr">
        <is>
          <t>VERIFICAR</t>
        </is>
      </c>
      <c r="M7" s="227" t="inlineStr">
        <is>
          <t>Agregado auditoría 08-oct-2026. Sin correo publicado en fuente oficial; contactar por teléfono/web. El email aparece en el sitio pero ofuscado.</t>
        </is>
      </c>
    </row>
    <row r="8">
      <c r="A8" s="229" t="inlineStr">
        <is>
          <t>República Dominicana</t>
        </is>
      </c>
      <c r="B8" s="229" t="inlineStr">
        <is>
          <t>Asociaciones de seguridad social</t>
        </is>
      </c>
      <c r="C8" s="229" t="inlineStr">
        <is>
          <t>Riesgos laborales (entidad pública)</t>
        </is>
      </c>
      <c r="D8" s="229" t="inlineStr">
        <is>
          <t>Instituto Dominicano de Prevención y Protección de Riesgos Laborales (IDOPPRIL)</t>
        </is>
      </c>
      <c r="E8" s="229" t="n"/>
      <c r="F8" s="229" t="inlineStr">
        <is>
          <t>Servicio al Cliente</t>
        </is>
      </c>
      <c r="G8" s="229" t="inlineStr">
        <is>
          <t>https://idoppril.gob.do/</t>
        </is>
      </c>
      <c r="H8" s="229" t="inlineStr">
        <is>
          <t>No disponible públicamente</t>
        </is>
      </c>
      <c r="I8" s="229" t="inlineStr">
        <is>
          <t>+1 809 563 2757</t>
        </is>
      </c>
      <c r="J8" s="229" t="inlineStr">
        <is>
          <t>servicio.cliente@idoppril.gob.do</t>
        </is>
      </c>
      <c r="K8" s="229" t="inlineStr">
        <is>
          <t>https://idoppril.gob.do/contactos/</t>
        </is>
      </c>
      <c r="L8" s="229" t="inlineStr">
        <is>
          <t>CONFIRMADO</t>
        </is>
      </c>
      <c r="M8" s="229" t="inlineStr">
        <is>
          <t>Agregado auditoría 08-oct-2026. Doble verificación OK: correo reproducido en https://map.gob.do/COEDOM/Home/CreatePdf/1690</t>
        </is>
      </c>
    </row>
    <row r="9">
      <c r="A9" s="227" t="inlineStr">
        <is>
          <t>República Dominicana</t>
        </is>
      </c>
      <c r="B9" s="227" t="inlineStr">
        <is>
          <t>Escuelas de gobierno y administración pública</t>
        </is>
      </c>
      <c r="C9" s="227" t="inlineStr">
        <is>
          <t>Instituto nacional de administración pública</t>
        </is>
      </c>
      <c r="D9" s="227" t="inlineStr">
        <is>
          <t>Instituto Nacional de Administración Pública (INAP)</t>
        </is>
      </c>
      <c r="E9" s="227" t="n"/>
      <c r="F9" s="227" t="inlineStr">
        <is>
          <t>Dirección</t>
        </is>
      </c>
      <c r="G9" s="227" t="inlineStr">
        <is>
          <t>https://www.inap.gob.do/</t>
        </is>
      </c>
      <c r="H9" s="227" t="inlineStr">
        <is>
          <t>Gregorio de Jesús Montero (Director)</t>
        </is>
      </c>
      <c r="I9" s="227" t="inlineStr">
        <is>
          <t>+1 809 689 8955</t>
        </is>
      </c>
      <c r="J9" s="227" t="inlineStr">
        <is>
          <t>No disponible públicamente</t>
        </is>
      </c>
      <c r="K9" s="227" t="inlineStr">
        <is>
          <t>https://inap.gob.do/transparencia/download/13305</t>
        </is>
      </c>
      <c r="L9" s="227" t="inlineStr">
        <is>
          <t>VERIFICAR</t>
        </is>
      </c>
      <c r="M9" s="227" t="inlineStr">
        <is>
          <t>Agregado auditoría 08-oct-2026. Sin correo publicado en fuente oficial; contactar por teléfono/web. Director según nota de Presidencia.</t>
        </is>
      </c>
    </row>
    <row r="10">
      <c r="A10" s="227" t="inlineStr">
        <is>
          <t>República Dominicana</t>
        </is>
      </c>
      <c r="B10" s="227" t="inlineStr">
        <is>
          <t>Sindicatos y confederaciones de trabajadores</t>
        </is>
      </c>
      <c r="C10" s="227" t="inlineStr">
        <is>
          <t>Confederación sindical</t>
        </is>
      </c>
      <c r="D10" s="227" t="inlineStr">
        <is>
          <t>Confederación Autónoma Sindical Clasista (CASC)</t>
        </is>
      </c>
      <c r="E10" s="227" t="n"/>
      <c r="F10" s="227" t="inlineStr">
        <is>
          <t>Secretaría General</t>
        </is>
      </c>
      <c r="G10" s="227" t="inlineStr">
        <is>
          <t>https://casc.org.do/</t>
        </is>
      </c>
      <c r="H10" s="227" t="inlineStr">
        <is>
          <t>Gabriel del Río Doñé (Secretario General)</t>
        </is>
      </c>
      <c r="I10" s="227" t="inlineStr">
        <is>
          <t>No disponible públicamente</t>
        </is>
      </c>
      <c r="J10" s="227" t="inlineStr">
        <is>
          <t>No disponible públicamente</t>
        </is>
      </c>
      <c r="K10" s="227" t="inlineStr">
        <is>
          <t>https://presidencia.gob.do/noticias/secretario-de-la-casc-felicita-al-presidente-abinader-por-acciones-tomadas-para-enfrentar</t>
        </is>
      </c>
      <c r="L10" s="227" t="inlineStr">
        <is>
          <t>VERIFICAR</t>
        </is>
      </c>
      <c r="M10" s="227" t="inlineStr">
        <is>
          <t>Agregado auditoría 08-oct-2026. Sin correo publicado en fuente oficial; contactar por teléfono/web. Sin contacto publicado; usar web/redes.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San Cristóbal y Nieves</t>
        </is>
      </c>
      <c r="B2" s="227" t="inlineStr">
        <is>
          <t>Universidades públicas</t>
        </is>
      </c>
      <c r="C2" s="227" t="inlineStr">
        <is>
          <t>College estatal de educación superior</t>
        </is>
      </c>
      <c r="D2" s="227" t="inlineStr">
        <is>
          <t>Clarence Fitzroy Bryant College (CFBC)</t>
        </is>
      </c>
      <c r="E2" s="227" t="n"/>
      <c r="F2" s="227" t="inlineStr">
        <is>
          <t>Administración / Presidencia</t>
        </is>
      </c>
      <c r="G2" s="227" t="inlineStr">
        <is>
          <t>https://cfbc.edu.kn/</t>
        </is>
      </c>
      <c r="H2" s="227" t="inlineStr">
        <is>
          <t>Jacqueline Austin (President)</t>
        </is>
      </c>
      <c r="I2" s="227" t="inlineStr">
        <is>
          <t>+1 869 465 2856</t>
        </is>
      </c>
      <c r="J2" s="227" t="inlineStr">
        <is>
          <t>admin@cfbc.edu.kn</t>
        </is>
      </c>
      <c r="K2" s="227" t="inlineStr">
        <is>
          <t>https://cfbc.edu.kn/sp_faq/i-recently-wrote-my-cxc-csec-examinations-and-the-grades-have-not-been-released-can-i-still-apply-to-the-college/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</t>
        </is>
      </c>
    </row>
    <row r="3">
      <c r="A3" s="227" t="inlineStr">
        <is>
          <t>San Cristóbal y Nieves</t>
        </is>
      </c>
      <c r="B3" s="227" t="inlineStr">
        <is>
          <t>Organizaciones juveniles</t>
        </is>
      </c>
      <c r="C3" s="227" t="inlineStr">
        <is>
          <t>Organismo público de juventud</t>
        </is>
      </c>
      <c r="D3" s="227" t="inlineStr">
        <is>
          <t>Department of Youth, St. Kitts and Nevis</t>
        </is>
      </c>
      <c r="E3" s="227" t="n"/>
      <c r="F3" s="227" t="inlineStr">
        <is>
          <t>Department of Youth (Church Street, Basseterre)</t>
        </is>
      </c>
      <c r="G3" s="227" t="inlineStr">
        <is>
          <t>https://www.gov.kn/department-of-youth-about-us/</t>
        </is>
      </c>
      <c r="H3" s="227" t="inlineStr">
        <is>
          <t>No disponible públicamente</t>
        </is>
      </c>
      <c r="I3" s="227" t="inlineStr">
        <is>
          <t>+1 869 467 1502</t>
        </is>
      </c>
      <c r="J3" s="227" t="inlineStr">
        <is>
          <t>info@gov.kn</t>
        </is>
      </c>
      <c r="K3" s="227" t="inlineStr">
        <is>
          <t>https://www.gov.kn/department-of-youth-about-us/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 Email general del gobierno.</t>
        </is>
      </c>
    </row>
    <row r="4">
      <c r="A4" s="227" t="inlineStr">
        <is>
          <t>San Cristóbal y Nieves</t>
        </is>
      </c>
      <c r="B4" s="227" t="inlineStr">
        <is>
          <t>Asociaciones de seguridad social</t>
        </is>
      </c>
      <c r="C4" s="227" t="inlineStr">
        <is>
          <t>Seguro social (entidad pública)</t>
        </is>
      </c>
      <c r="D4" s="227" t="inlineStr">
        <is>
          <t>St. Christopher and Nevis Social Security Board</t>
        </is>
      </c>
      <c r="E4" s="227" t="n"/>
      <c r="F4" s="227" t="inlineStr">
        <is>
          <t>Public Information (Bay Road, Basseterre)</t>
        </is>
      </c>
      <c r="G4" s="227" t="inlineStr">
        <is>
          <t>https://socialsecurity.kn/</t>
        </is>
      </c>
      <c r="H4" s="227" t="inlineStr">
        <is>
          <t>No disponible públicamente</t>
        </is>
      </c>
      <c r="I4" s="227" t="inlineStr">
        <is>
          <t>+1 869 465 2535</t>
        </is>
      </c>
      <c r="J4" s="227" t="inlineStr">
        <is>
          <t>pubinfo@socialsecurity.kn</t>
        </is>
      </c>
      <c r="K4" s="227" t="inlineStr">
        <is>
          <t>https://socialsecurity.kn/contact-us-2/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San Vicente y las Granadinas</t>
        </is>
      </c>
      <c r="B2" s="227" t="inlineStr">
        <is>
          <t>Universidades públicas</t>
        </is>
      </c>
      <c r="C2" s="227" t="inlineStr">
        <is>
          <t>College comunitario estatal</t>
        </is>
      </c>
      <c r="D2" s="227" t="inlineStr">
        <is>
          <t>St. Vincent and the Grenadines Community College (SVGCC)</t>
        </is>
      </c>
      <c r="E2" s="227" t="n"/>
      <c r="F2" s="227" t="inlineStr">
        <is>
          <t>Director's Office</t>
        </is>
      </c>
      <c r="G2" s="227" t="inlineStr">
        <is>
          <t>https://svgcc.vc/</t>
        </is>
      </c>
      <c r="H2" s="227" t="inlineStr">
        <is>
          <t>Dr. Karen Thomas (Director)</t>
        </is>
      </c>
      <c r="I2" s="227" t="inlineStr">
        <is>
          <t>+1 784 457 4503</t>
        </is>
      </c>
      <c r="J2" s="227" t="inlineStr">
        <is>
          <t>directorsoffice@svgcc.vc</t>
        </is>
      </c>
      <c r="K2" s="227" t="inlineStr">
        <is>
          <t>https://svgcc.vc/contact/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</t>
        </is>
      </c>
    </row>
    <row r="3">
      <c r="A3" s="227" t="inlineStr">
        <is>
          <t>San Vicente y las Granadinas</t>
        </is>
      </c>
      <c r="B3" s="227" t="inlineStr">
        <is>
          <t>Asociaciones de seguridad social</t>
        </is>
      </c>
      <c r="C3" s="227" t="inlineStr">
        <is>
          <t>Seguro social (entidad pública)</t>
        </is>
      </c>
      <c r="D3" s="227" t="inlineStr">
        <is>
          <t>National Insurance Services (NIS SVG)</t>
        </is>
      </c>
      <c r="E3" s="227" t="n"/>
      <c r="F3" s="227" t="inlineStr">
        <is>
          <t>Head Office (Kingstown)</t>
        </is>
      </c>
      <c r="G3" s="227" t="inlineStr">
        <is>
          <t>https://www.nissvg.org/</t>
        </is>
      </c>
      <c r="H3" s="227" t="inlineStr">
        <is>
          <t>No disponible públicamente</t>
        </is>
      </c>
      <c r="I3" s="227" t="inlineStr">
        <is>
          <t>+1 784 456 1514</t>
        </is>
      </c>
      <c r="J3" s="227" t="inlineStr">
        <is>
          <t>nis@nissvg.org</t>
        </is>
      </c>
      <c r="K3" s="227" t="inlineStr">
        <is>
          <t>https://www.nissvg.org/contact-us/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Santa Lucía</t>
        </is>
      </c>
      <c r="B2" s="227" t="inlineStr">
        <is>
          <t>Universidades públicas</t>
        </is>
      </c>
      <c r="C2" s="227" t="inlineStr">
        <is>
          <t>College comunitario estatal</t>
        </is>
      </c>
      <c r="D2" s="227" t="inlineStr">
        <is>
          <t>Sir Arthur Lewis Community College (SALCC)</t>
        </is>
      </c>
      <c r="E2" s="227" t="n"/>
      <c r="F2" s="227" t="inlineStr">
        <is>
          <t>Office of the Principal</t>
        </is>
      </c>
      <c r="G2" s="227" t="inlineStr">
        <is>
          <t>https://salcc.edu.lc/</t>
        </is>
      </c>
      <c r="H2" s="227" t="inlineStr">
        <is>
          <t>Dr. Madgerie Jameson-Charles (Principal)</t>
        </is>
      </c>
      <c r="I2" s="227" t="inlineStr">
        <is>
          <t>+1 758 457 7300</t>
        </is>
      </c>
      <c r="J2" s="227" t="inlineStr">
        <is>
          <t>info@salcc.edu.lc</t>
        </is>
      </c>
      <c r="K2" s="227" t="inlineStr">
        <is>
          <t>https://salcc.edu.lc/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Nombre del Principal de fuente de terceros.</t>
        </is>
      </c>
    </row>
    <row r="3">
      <c r="A3" s="227" t="inlineStr">
        <is>
          <t>Santa Lucía</t>
        </is>
      </c>
      <c r="B3" s="227" t="inlineStr">
        <is>
          <t>Sindicatos y confederaciones de trabajadores</t>
        </is>
      </c>
      <c r="C3" s="227" t="inlineStr">
        <is>
          <t>Federación sindical</t>
        </is>
      </c>
      <c r="D3" s="227" t="inlineStr">
        <is>
          <t>Saint Lucia Trade Union Federation (TUF)</t>
        </is>
      </c>
      <c r="E3" s="227" t="n"/>
      <c r="F3" s="227" t="inlineStr">
        <is>
          <t>Secretariat</t>
        </is>
      </c>
      <c r="G3" s="227" t="inlineStr">
        <is>
          <t>https://slutuf.org/</t>
        </is>
      </c>
      <c r="H3" s="227" t="inlineStr">
        <is>
          <t>No disponible públicamente</t>
        </is>
      </c>
      <c r="I3" s="227" t="inlineStr">
        <is>
          <t>No disponible públicamente</t>
        </is>
      </c>
      <c r="J3" s="227" t="inlineStr">
        <is>
          <t>No disponible públicamente</t>
        </is>
      </c>
      <c r="K3" s="227" t="inlineStr">
        <is>
          <t>https://slutuf.org/about-us</t>
        </is>
      </c>
      <c r="L3" s="227" t="inlineStr">
        <is>
          <t>VERIFICAR</t>
        </is>
      </c>
      <c r="M3" s="227" t="inlineStr">
        <is>
          <t>Agregado auditoría 08-oct-2026. Sin correo publicado en fuente oficial; contactar por teléfono/web. Sin contacto publicado.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Surinam</t>
        </is>
      </c>
      <c r="B2" s="227" t="inlineStr">
        <is>
          <t>Universidades públicas</t>
        </is>
      </c>
      <c r="C2" s="227" t="inlineStr">
        <is>
          <t>Universidad pública nacional</t>
        </is>
      </c>
      <c r="D2" s="227" t="inlineStr">
        <is>
          <t>Anton de Kom Universiteit van Suriname (AdeKUS)</t>
        </is>
      </c>
      <c r="E2" s="227" t="n"/>
      <c r="F2" s="227" t="inlineStr">
        <is>
          <t>Bureau / Secretariaat</t>
        </is>
      </c>
      <c r="G2" s="227" t="inlineStr">
        <is>
          <t>https://www.uvs.edu/</t>
        </is>
      </c>
      <c r="H2" s="227" t="inlineStr">
        <is>
          <t>No disponible públicamente</t>
        </is>
      </c>
      <c r="I2" s="227" t="inlineStr">
        <is>
          <t>+597 465558</t>
        </is>
      </c>
      <c r="J2" s="227" t="inlineStr">
        <is>
          <t>bureau@uvs.edu / info@uvs.edu</t>
        </is>
      </c>
      <c r="K2" s="227" t="inlineStr">
        <is>
          <t>https://www.uvs.edu/adekus/dit-is-adekus/bureau/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</t>
        </is>
      </c>
    </row>
    <row r="3">
      <c r="A3" s="227" t="inlineStr">
        <is>
          <t>Surinam</t>
        </is>
      </c>
      <c r="B3" s="227" t="inlineStr">
        <is>
          <t>Organizaciones juveniles</t>
        </is>
      </c>
      <c r="C3" s="227" t="inlineStr">
        <is>
          <t>Consejo nacional de juventud</t>
        </is>
      </c>
      <c r="D3" s="227" t="inlineStr">
        <is>
          <t>Jeugdraad Suriname (Nationaal Jeugd Instituut)</t>
        </is>
      </c>
      <c r="E3" s="227" t="n"/>
      <c r="F3" s="227" t="inlineStr">
        <is>
          <t>Secretariaat</t>
        </is>
      </c>
      <c r="G3" s="227" t="inlineStr">
        <is>
          <t>https://jeugdraad.sr/</t>
        </is>
      </c>
      <c r="H3" s="227" t="inlineStr">
        <is>
          <t>No disponible públicamente</t>
        </is>
      </c>
      <c r="I3" s="227" t="inlineStr">
        <is>
          <t>+597 475241</t>
        </is>
      </c>
      <c r="J3" s="227" t="inlineStr">
        <is>
          <t>jeugdraadsuriname@gmail.com</t>
        </is>
      </c>
      <c r="K3" s="227" t="inlineStr">
        <is>
          <t>https://www.jeugdraad.sr/over-ons</t>
        </is>
      </c>
      <c r="L3" s="227" t="inlineStr">
        <is>
          <t>VERIFICAR</t>
        </is>
      </c>
      <c r="M3" s="227" t="inlineStr">
        <is>
          <t>Agregado auditoría 08-oct-2026. Correo de fuente institucional única; no reproducido en búsqueda independiente. Email no institucional.</t>
        </is>
      </c>
    </row>
    <row r="4">
      <c r="A4" s="227" t="inlineStr">
        <is>
          <t>Surinam</t>
        </is>
      </c>
      <c r="B4" s="227" t="inlineStr">
        <is>
          <t>Asociaciones de seguridad social</t>
        </is>
      </c>
      <c r="C4" s="227" t="inlineStr">
        <is>
          <t>Seguro de salud estatal</t>
        </is>
      </c>
      <c r="D4" s="227" t="inlineStr">
        <is>
          <t>Stichting Staatsziekenfonds (SZF)</t>
        </is>
      </c>
      <c r="E4" s="227" t="n"/>
      <c r="F4" s="227" t="inlineStr">
        <is>
          <t>Hoofdkantoor</t>
        </is>
      </c>
      <c r="G4" s="227" t="inlineStr">
        <is>
          <t>https://www.szf.sr/</t>
        </is>
      </c>
      <c r="H4" s="227" t="inlineStr">
        <is>
          <t>No disponible públicamente</t>
        </is>
      </c>
      <c r="I4" s="227" t="inlineStr">
        <is>
          <t>+597 477101</t>
        </is>
      </c>
      <c r="J4" s="227" t="inlineStr">
        <is>
          <t>info@staatsziekenfonds.sr</t>
        </is>
      </c>
      <c r="K4" s="227" t="inlineStr">
        <is>
          <t>https://www.szf.sr/contact-ons/hoofdkantoor/</t>
        </is>
      </c>
      <c r="L4" s="227" t="inlineStr">
        <is>
          <t>VERIFICAR</t>
        </is>
      </c>
      <c r="M4" s="227" t="inlineStr">
        <is>
          <t>Agregado auditoría 08-oct-2026. Correo de fuente institucional única; no reproducido en búsqueda independiente.</t>
        </is>
      </c>
    </row>
    <row r="5">
      <c r="A5" s="227" t="inlineStr">
        <is>
          <t>Surinam</t>
        </is>
      </c>
      <c r="B5" s="227" t="inlineStr">
        <is>
          <t>Asociaciones de seguridad social</t>
        </is>
      </c>
      <c r="C5" s="227" t="inlineStr">
        <is>
          <t>Fondo de pensiones público</t>
        </is>
      </c>
      <c r="D5" s="227" t="inlineStr">
        <is>
          <t>Stichting Pensioenfonds Suriname (PFS)</t>
        </is>
      </c>
      <c r="E5" s="227" t="n"/>
      <c r="F5" s="227" t="inlineStr">
        <is>
          <t>Contacto institucional</t>
        </is>
      </c>
      <c r="G5" s="227" t="inlineStr">
        <is>
          <t>https://pensioenfondssuriname.org/</t>
        </is>
      </c>
      <c r="H5" s="227" t="inlineStr">
        <is>
          <t>No disponible públicamente</t>
        </is>
      </c>
      <c r="I5" s="227" t="inlineStr">
        <is>
          <t>+597 471678</t>
        </is>
      </c>
      <c r="J5" s="227" t="inlineStr">
        <is>
          <t>info@pensioenfondssuriname.org</t>
        </is>
      </c>
      <c r="K5" s="227" t="inlineStr">
        <is>
          <t>https://gov.sr/pfs/</t>
        </is>
      </c>
      <c r="L5" s="227" t="inlineStr">
        <is>
          <t>VERIFICAR</t>
        </is>
      </c>
      <c r="M5" s="227" t="inlineStr">
        <is>
          <t>Agregado auditoría 08-oct-2026. Correo de fuente institucional única; no reproducido en búsqueda independiente.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Trinidad y Tobago</t>
        </is>
      </c>
      <c r="B2" s="227" t="inlineStr">
        <is>
          <t>Universidades públicas</t>
        </is>
      </c>
      <c r="C2" s="227" t="inlineStr">
        <is>
          <t>Universidad pública nacional</t>
        </is>
      </c>
      <c r="D2" s="227" t="inlineStr">
        <is>
          <t>The University of Trinidad and Tobago (UTT)</t>
        </is>
      </c>
      <c r="E2" s="227" t="n"/>
      <c r="F2" s="227" t="inlineStr">
        <is>
          <t>Office of the President</t>
        </is>
      </c>
      <c r="G2" s="227" t="inlineStr">
        <is>
          <t>https://utt.edu.tt/</t>
        </is>
      </c>
      <c r="H2" s="227" t="inlineStr">
        <is>
          <t>Prof. Rean Maharaj (President, Ag.)</t>
        </is>
      </c>
      <c r="I2" s="227" t="inlineStr">
        <is>
          <t>+1 868 642 8888 ext. 21150</t>
        </is>
      </c>
      <c r="J2" s="227" t="inlineStr">
        <is>
          <t>rean.maharaj@utt.edu.tt</t>
        </is>
      </c>
      <c r="K2" s="227" t="inlineStr">
        <is>
          <t>https://utt.edu.tt/?staff=1&amp;wk=1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 Presidencia interina cambia con frecuencia; confirmar.</t>
        </is>
      </c>
    </row>
    <row r="3">
      <c r="A3" s="229" t="inlineStr">
        <is>
          <t>Trinidad y Tobago</t>
        </is>
      </c>
      <c r="B3" s="229" t="inlineStr">
        <is>
          <t>Asociaciones de seguridad social</t>
        </is>
      </c>
      <c r="C3" s="229" t="inlineStr">
        <is>
          <t>Seguro social (entidad pública)</t>
        </is>
      </c>
      <c r="D3" s="229" t="inlineStr">
        <is>
          <t>National Insurance Board of Trinidad and Tobago (NIBTT)</t>
        </is>
      </c>
      <c r="E3" s="229" t="n"/>
      <c r="F3" s="229" t="inlineStr">
        <is>
          <t>Customer Care / Corporate Communications</t>
        </is>
      </c>
      <c r="G3" s="229" t="inlineStr">
        <is>
          <t>https://www.nibtt.net/</t>
        </is>
      </c>
      <c r="H3" s="229" t="inlineStr">
        <is>
          <t>No disponible públicamente</t>
        </is>
      </c>
      <c r="I3" s="229" t="inlineStr">
        <is>
          <t>+1 868 625 4647</t>
        </is>
      </c>
      <c r="J3" s="229" t="inlineStr">
        <is>
          <t>customercare@nibtt.net</t>
        </is>
      </c>
      <c r="K3" s="229" t="inlineStr">
        <is>
          <t>https://www.nibtt.net/</t>
        </is>
      </c>
      <c r="L3" s="229" t="inlineStr">
        <is>
          <t>CONFIRMADO</t>
        </is>
      </c>
      <c r="M3" s="229" t="inlineStr">
        <is>
          <t>Agregado auditoría 08-oct-2026. Doble verificación OK: correo reproducido en https://www.nibtt.net/NIBTT/ServCentres_rev.html</t>
        </is>
      </c>
    </row>
    <row r="4">
      <c r="A4" s="229" t="inlineStr">
        <is>
          <t>Trinidad y Tobago</t>
        </is>
      </c>
      <c r="B4" s="229" t="inlineStr">
        <is>
          <t>Escuelas de gobierno y administración pública</t>
        </is>
      </c>
      <c r="C4" s="229" t="inlineStr">
        <is>
          <t>Academia de servicio público</t>
        </is>
      </c>
      <c r="D4" s="229" t="inlineStr">
        <is>
          <t>Public Service Academy – Ministry of Public Administration</t>
        </is>
      </c>
      <c r="E4" s="229" t="n"/>
      <c r="F4" s="229" t="inlineStr">
        <is>
          <t>Training and Coordination Unit</t>
        </is>
      </c>
      <c r="G4" s="229" t="inlineStr">
        <is>
          <t>https://mpaai.gov.tt/divisions/public-service-academy</t>
        </is>
      </c>
      <c r="H4" s="229" t="inlineStr">
        <is>
          <t>No disponible públicamente</t>
        </is>
      </c>
      <c r="I4" s="229" t="inlineStr">
        <is>
          <t>+1 868 623 4724 ext. 31963</t>
        </is>
      </c>
      <c r="J4" s="229" t="inlineStr">
        <is>
          <t>tcu_training@gov.tt</t>
        </is>
      </c>
      <c r="K4" s="229" t="inlineStr">
        <is>
          <t>https://www.mpa.gov.tt/node/107</t>
        </is>
      </c>
      <c r="L4" s="229" t="inlineStr">
        <is>
          <t>CONFIRMADO</t>
        </is>
      </c>
      <c r="M4" s="229" t="inlineStr">
        <is>
          <t>Agregado auditoría 08-oct-2026. Doble verificación OK: correo reproducido en https://www.mpa.gov.tt/node/107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82" min="1" max="1"/>
    <col width="24" customWidth="1" style="182" min="2" max="2"/>
    <col width="24" customWidth="1" style="182" min="3" max="3"/>
    <col width="24" customWidth="1" style="182" min="4" max="4"/>
    <col width="24" customWidth="1" style="182" min="5" max="5"/>
    <col width="24" customWidth="1" style="182" min="6" max="6"/>
    <col width="24" customWidth="1" style="182" min="7" max="7"/>
    <col width="24" customWidth="1" style="182" min="8" max="8"/>
    <col width="24" customWidth="1" style="182" min="9" max="9"/>
    <col width="24" customWidth="1" style="182" min="10" max="10"/>
    <col width="24" customWidth="1" style="182" min="11" max="11"/>
    <col width="24" customWidth="1" style="182" min="12" max="12"/>
    <col width="24" customWidth="1" style="182" min="13" max="13"/>
  </cols>
  <sheetData>
    <row r="1">
      <c r="A1" s="8" t="inlineStr">
        <is>
          <t>Columna 1</t>
        </is>
      </c>
      <c r="B1" s="9" t="inlineStr">
        <is>
          <t>Categoría</t>
        </is>
      </c>
      <c r="C1" s="9" t="inlineStr">
        <is>
          <t>Sub categoría</t>
        </is>
      </c>
      <c r="D1" s="9" t="inlineStr">
        <is>
          <t>Nombre de la institución</t>
        </is>
      </c>
      <c r="E1" s="9" t="inlineStr">
        <is>
          <t>Visación Dirección del programa</t>
        </is>
      </c>
      <c r="F1" s="9" t="inlineStr">
        <is>
          <t>Unidad de contacto</t>
        </is>
      </c>
      <c r="G1" s="9" t="inlineStr">
        <is>
          <t>Página web</t>
        </is>
      </c>
      <c r="H1" s="9" t="inlineStr">
        <is>
          <t>Nombre de contacto</t>
        </is>
      </c>
      <c r="I1" s="9" t="inlineStr">
        <is>
          <t>Teléfono de contacto</t>
        </is>
      </c>
      <c r="J1" s="9" t="inlineStr">
        <is>
          <t>Email de contacto</t>
        </is>
      </c>
      <c r="K1" s="9" t="inlineStr">
        <is>
          <t>Fuente de identificación</t>
        </is>
      </c>
      <c r="L1" s="9" t="inlineStr">
        <is>
          <t>Estado de Revisión</t>
        </is>
      </c>
      <c r="M1" s="11" t="inlineStr">
        <is>
          <t xml:space="preserve">Notas de revisión </t>
        </is>
      </c>
    </row>
    <row r="2">
      <c r="A2" s="227" t="inlineStr">
        <is>
          <t>Venezuela</t>
        </is>
      </c>
      <c r="B2" s="227" t="inlineStr">
        <is>
          <t>Universidades públicas</t>
        </is>
      </c>
      <c r="C2" s="227" t="inlineStr">
        <is>
          <t>Universidad autónoma nacional</t>
        </is>
      </c>
      <c r="D2" s="227" t="inlineStr">
        <is>
          <t>Universidad de Los Andes (ULA)</t>
        </is>
      </c>
      <c r="E2" s="227" t="n"/>
      <c r="F2" s="227" t="inlineStr">
        <is>
          <t>Secretaría de la Universidad</t>
        </is>
      </c>
      <c r="G2" s="227" t="inlineStr">
        <is>
          <t>https://www.ula.ve/</t>
        </is>
      </c>
      <c r="H2" s="227" t="inlineStr">
        <is>
          <t>No disponible públicamente</t>
        </is>
      </c>
      <c r="I2" s="227" t="inlineStr">
        <is>
          <t>+58 274 240 2305 / 240 2333</t>
        </is>
      </c>
      <c r="J2" s="227" t="inlineStr">
        <is>
          <t>secretario@ula.ve</t>
        </is>
      </c>
      <c r="K2" s="227" t="inlineStr">
        <is>
          <t>http://web.ula.ve/secretaria/contactenos-2/</t>
        </is>
      </c>
      <c r="L2" s="227" t="inlineStr">
        <is>
          <t>VERIFICAR</t>
        </is>
      </c>
      <c r="M2" s="227" t="inlineStr">
        <is>
          <t>Agregado auditoría 08-oct-2026. Correo de fuente institucional única; no reproducido en búsqueda independiente.</t>
        </is>
      </c>
    </row>
    <row r="3">
      <c r="A3" s="227" t="inlineStr">
        <is>
          <t>Venezuela</t>
        </is>
      </c>
      <c r="B3" s="227" t="inlineStr">
        <is>
          <t>Universidades públicas</t>
        </is>
      </c>
      <c r="C3" s="227" t="inlineStr">
        <is>
          <t>Universidad autónoma nacional</t>
        </is>
      </c>
      <c r="D3" s="227" t="inlineStr">
        <is>
          <t>Universidad del Zulia (LUZ)</t>
        </is>
      </c>
      <c r="E3" s="227" t="n"/>
      <c r="F3" s="227" t="inlineStr">
        <is>
          <t>Secretaría</t>
        </is>
      </c>
      <c r="G3" s="227" t="inlineStr">
        <is>
          <t>https://www.luz.edu.ve/</t>
        </is>
      </c>
      <c r="H3" s="227" t="inlineStr">
        <is>
          <t>No disponible públicamente</t>
        </is>
      </c>
      <c r="I3" s="227" t="inlineStr">
        <is>
          <t>+58 261 759 8414 / 759 8441</t>
        </is>
      </c>
      <c r="J3" s="227" t="inlineStr">
        <is>
          <t>No disponible públicamente</t>
        </is>
      </c>
      <c r="K3" s="227" t="inlineStr">
        <is>
          <t>https://secretarialuz.org/sec/index.html</t>
        </is>
      </c>
      <c r="L3" s="227" t="inlineStr">
        <is>
          <t>VERIFICAR</t>
        </is>
      </c>
      <c r="M3" s="227" t="inlineStr">
        <is>
          <t>Agregado auditoría 08-oct-2026. Sin correo publicado en fuente oficial; contactar por teléfono/web. Sin correo publicado de Secretaría.</t>
        </is>
      </c>
    </row>
    <row r="4">
      <c r="A4" s="227" t="inlineStr">
        <is>
          <t>Venezuela</t>
        </is>
      </c>
      <c r="B4" s="227" t="inlineStr">
        <is>
          <t>Formación técnica pública</t>
        </is>
      </c>
      <c r="C4" s="227" t="inlineStr">
        <is>
          <t>Instituto nacional de capacitación</t>
        </is>
      </c>
      <c r="D4" s="227" t="inlineStr">
        <is>
          <t>Instituto Nacional de Capacitación y Educación Socialista (INCES)</t>
        </is>
      </c>
      <c r="E4" s="227" t="n"/>
      <c r="F4" s="227" t="inlineStr">
        <is>
          <t>Sede central</t>
        </is>
      </c>
      <c r="G4" s="227" t="inlineStr">
        <is>
          <t>https://inces.gob.ve/</t>
        </is>
      </c>
      <c r="H4" s="227" t="inlineStr">
        <is>
          <t>No disponible públicamente</t>
        </is>
      </c>
      <c r="I4" s="227" t="inlineStr">
        <is>
          <t>No disponible públicamente</t>
        </is>
      </c>
      <c r="J4" s="227" t="inlineStr">
        <is>
          <t>No disponible públicamente</t>
        </is>
      </c>
      <c r="K4" s="227" t="inlineStr">
        <is>
          <t>https://inces.gob.ve/</t>
        </is>
      </c>
      <c r="L4" s="227" t="inlineStr">
        <is>
          <t>VERIFICAR</t>
        </is>
      </c>
      <c r="M4" s="227" t="inlineStr">
        <is>
          <t>Agregado auditoría 08-oct-2026. Sin correo publicado en fuente oficial; contactar por teléfono/web. Solo dirección (Av. Nueva Granada c/ calle Chile, Caracas).</t>
        </is>
      </c>
    </row>
    <row r="5">
      <c r="A5" s="227" t="inlineStr">
        <is>
          <t>Venezuela</t>
        </is>
      </c>
      <c r="B5" s="227" t="inlineStr">
        <is>
          <t>Asociaciones de seguridad social</t>
        </is>
      </c>
      <c r="C5" s="227" t="inlineStr">
        <is>
          <t>Seguro social (entidad pública)</t>
        </is>
      </c>
      <c r="D5" s="227" t="inlineStr">
        <is>
          <t>Instituto Venezolano de los Seguros Sociales (IVSS)</t>
        </is>
      </c>
      <c r="E5" s="227" t="n"/>
      <c r="F5" s="227" t="inlineStr">
        <is>
          <t>Sede central / Pensionados en el exterior</t>
        </is>
      </c>
      <c r="G5" s="227" t="inlineStr">
        <is>
          <t>http://www.ivss.gov.ve/</t>
        </is>
      </c>
      <c r="H5" s="227" t="inlineStr">
        <is>
          <t>No disponible públicamente</t>
        </is>
      </c>
      <c r="I5" s="227" t="inlineStr">
        <is>
          <t>+58 212 762 5931</t>
        </is>
      </c>
      <c r="J5" s="227" t="inlineStr">
        <is>
          <t>pensionalexterior@ivss.gob.ve</t>
        </is>
      </c>
      <c r="K5" s="227" t="inlineStr">
        <is>
          <t>http://www.ivss.gov.ve/contenido/Contacto</t>
        </is>
      </c>
      <c r="L5" s="227" t="inlineStr">
        <is>
          <t>VERIFICAR</t>
        </is>
      </c>
      <c r="M5" s="227" t="inlineStr">
        <is>
          <t>Agregado auditoría 08-oct-2026. Correo de fuente institucional única; no reproducido en búsqueda independiente. Único correo publicado es de pensiones exterior.</t>
        </is>
      </c>
    </row>
    <row r="6">
      <c r="A6" s="227" t="inlineStr">
        <is>
          <t>Venezuela</t>
        </is>
      </c>
      <c r="B6" s="227" t="inlineStr">
        <is>
          <t>Escuelas de gobierno y administración pública</t>
        </is>
      </c>
      <c r="C6" s="227" t="inlineStr">
        <is>
          <t>Escuela de planificación pública</t>
        </is>
      </c>
      <c r="D6" s="227" t="inlineStr">
        <is>
          <t>Fundación Escuela Venezolana de Planificación (FEVP)</t>
        </is>
      </c>
      <c r="E6" s="227" t="n"/>
      <c r="F6" s="227" t="inlineStr">
        <is>
          <t>Administración / Estudios</t>
        </is>
      </c>
      <c r="G6" s="227" t="inlineStr">
        <is>
          <t>https://fevp.gob.ve/</t>
        </is>
      </c>
      <c r="H6" s="227" t="inlineStr">
        <is>
          <t>No disponible públicamente</t>
        </is>
      </c>
      <c r="I6" s="227" t="inlineStr">
        <is>
          <t>+58 212 682 6826 / 682 1219</t>
        </is>
      </c>
      <c r="J6" s="227" t="inlineStr">
        <is>
          <t>administracion@fevp.gob.ve / estudios@fevp.gob.ve</t>
        </is>
      </c>
      <c r="K6" s="227" t="inlineStr">
        <is>
          <t>https://fevp.gob.ve/</t>
        </is>
      </c>
      <c r="L6" s="227" t="inlineStr">
        <is>
          <t>VERIFICAR</t>
        </is>
      </c>
      <c r="M6" s="227" t="inlineStr">
        <is>
          <t>Agregado auditoría 08-oct-2026. Correo de fuente institucional única; no reproducido en búsqueda independiente.</t>
        </is>
      </c>
    </row>
    <row r="7">
      <c r="A7" s="227" t="inlineStr">
        <is>
          <t>Venezuela</t>
        </is>
      </c>
      <c r="B7" s="227" t="inlineStr">
        <is>
          <t>Sindicatos y confederaciones de trabajadores</t>
        </is>
      </c>
      <c r="C7" s="227" t="inlineStr">
        <is>
          <t>Central sindical</t>
        </is>
      </c>
      <c r="D7" s="227" t="inlineStr">
        <is>
          <t>Central Bolivariana Socialista de Trabajadores (CBST)</t>
        </is>
      </c>
      <c r="E7" s="227" t="n"/>
      <c r="F7" s="227" t="inlineStr">
        <is>
          <t>Sede central</t>
        </is>
      </c>
      <c r="G7" s="227" t="inlineStr">
        <is>
          <t>https://cbolivariana.org.ve/</t>
        </is>
      </c>
      <c r="H7" s="227" t="inlineStr">
        <is>
          <t>No disponible públicamente</t>
        </is>
      </c>
      <c r="I7" s="227" t="inlineStr">
        <is>
          <t>No disponible públicamente</t>
        </is>
      </c>
      <c r="J7" s="227" t="inlineStr">
        <is>
          <t>No disponible públicamente</t>
        </is>
      </c>
      <c r="K7" s="227" t="inlineStr">
        <is>
          <t>https://cbolivariana.org.ve/</t>
        </is>
      </c>
      <c r="L7" s="227" t="inlineStr">
        <is>
          <t>VERIFICAR</t>
        </is>
      </c>
      <c r="M7" s="227" t="inlineStr">
        <is>
          <t>Agregado auditoría 08-oct-2026. Sin correo publicado en fuente oficial; contactar por teléfono/web. Solo dirección y redes sociales.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2026-07-28T01:27:02Z</dcterms:created>
  <dcterms:modified xmlns:dcterms="http://purl.org/dc/terms/" xmlns:xsi="http://www.w3.org/2001/XMLSchema-instance" xsi:type="dcterms:W3CDTF">2026-10-08T14:50:31Z</dcterms:modified>
</cp:coreProperties>
</file>